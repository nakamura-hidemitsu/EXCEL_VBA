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24226"/>
  <mc:AlternateContent xmlns:mc="http://schemas.openxmlformats.org/markup-compatibility/2006">
    <mc:Choice Requires="x15">
      <x15ac:absPath xmlns:x15ac="http://schemas.microsoft.com/office/spreadsheetml/2010/11/ac" url="C:\EXCEL VBA\"/>
    </mc:Choice>
  </mc:AlternateContent>
  <xr:revisionPtr revIDLastSave="0" documentId="13_ncr:1_{66DF8C12-782E-4B54-948F-5281A82EA72D}" xr6:coauthVersionLast="47" xr6:coauthVersionMax="47" xr10:uidLastSave="{00000000-0000-0000-0000-000000000000}"/>
  <bookViews>
    <workbookView xWindow="-120" yWindow="-120" windowWidth="20730" windowHeight="11040" tabRatio="885" xr2:uid="{00000000-000D-0000-FFFF-FFFF00000000}"/>
  </bookViews>
  <sheets>
    <sheet name="登録" sheetId="72" r:id="rId1"/>
    <sheet name="使い方" sheetId="68" r:id="rId2"/>
    <sheet name="グループ作成" sheetId="69" r:id="rId3"/>
    <sheet name="集計表(1～3月) " sheetId="54" r:id="rId4"/>
    <sheet name="DB" sheetId="78" r:id="rId5"/>
    <sheet name="1月" sheetId="27" r:id="rId6"/>
    <sheet name="1月集計表" sheetId="62" r:id="rId7"/>
    <sheet name="2月" sheetId="41" r:id="rId8"/>
    <sheet name="2月集計表" sheetId="75" r:id="rId9"/>
    <sheet name="3月" sheetId="43" r:id="rId10"/>
    <sheet name="3月集計表" sheetId="76" r:id="rId11"/>
    <sheet name="1~3月口数有" sheetId="64" r:id="rId12"/>
    <sheet name="グラフ" sheetId="74" r:id="rId13"/>
    <sheet name="ツール予備" sheetId="70" r:id="rId14"/>
    <sheet name="従業員マスタ" sheetId="79" r:id="rId15"/>
    <sheet name="加入契機マスタ" sheetId="84" r:id="rId16"/>
  </sheets>
  <definedNames>
    <definedName name="_xlnm._FilterDatabase" localSheetId="5" hidden="1">'1月'!$B$264:$B$281</definedName>
    <definedName name="_xlnm._FilterDatabase" localSheetId="7" hidden="1">'2月'!$B$264:$B$281</definedName>
    <definedName name="_xlnm._FilterDatabase" localSheetId="9" hidden="1">'3月'!$B$264:$B$281</definedName>
    <definedName name="_xlnm.Print_Area" localSheetId="11">'1~3月口数有'!$A$1:$S$93</definedName>
    <definedName name="_xlnm.Print_Area" localSheetId="5">'1月'!$A$1:$BQ$408</definedName>
    <definedName name="_xlnm.Print_Area" localSheetId="6">'1月集計表'!$A$1:$O$63</definedName>
    <definedName name="_xlnm.Print_Area" localSheetId="7">'2月'!$A$1:$BQ$409</definedName>
    <definedName name="_xlnm.Print_Area" localSheetId="8">'2月集計表'!$A$1:$O$63</definedName>
    <definedName name="_xlnm.Print_Area" localSheetId="9">'3月'!$A$1:$BQ$408</definedName>
    <definedName name="_xlnm.Print_Area" localSheetId="10">'3月集計表'!$A$1:$O$63</definedName>
    <definedName name="_xlnm.Print_Area" localSheetId="12">グラフ!$A$55:$Y$112</definedName>
    <definedName name="_xlnm.Print_Area" localSheetId="3">'集計表(1～3月) '!$A$1:$O$63</definedName>
    <definedName name="ケアスタッフ">従業員マスタ!$Q$2:$Q$9</definedName>
    <definedName name="サポーター">従業員マスタ!$R$2:$R$17</definedName>
    <definedName name="ハチレイ">従業員マスタ!$J$2:$J$13</definedName>
    <definedName name="マスタ" localSheetId="5">#REF!</definedName>
    <definedName name="マスタ" localSheetId="7">#REF!</definedName>
    <definedName name="マスタ" localSheetId="9">#REF!</definedName>
    <definedName name="マスタ">#REF!</definedName>
    <definedName name="ムツ湊">従業員マスタ!$F$2</definedName>
    <definedName name="会館ホール">従業員マスタ!$K$2:$K$25</definedName>
    <definedName name="経理部">従業員マスタ!$D$2:$D$4</definedName>
    <definedName name="互助会パートナー">従業員マスタ!$O$2:$O$20</definedName>
    <definedName name="互助会集金">従業員マスタ!$N$2:$N$5</definedName>
    <definedName name="仕入部">従業員マスタ!$G$2:$G$5</definedName>
    <definedName name="取引先業者">従業員マスタ!$S$2:$S$4</definedName>
    <definedName name="生花部">従業員マスタ!$I$2:$I$10</definedName>
    <definedName name="担当者">従業員マスタ!$B$2:$B$18</definedName>
    <definedName name="調理部・ギフト">従業員マスタ!$L$2:$L$16</definedName>
    <definedName name="典礼部">従業員マスタ!$A$2:$A$16</definedName>
    <definedName name="納棺部">従業員マスタ!$C$2:$C$7</definedName>
    <definedName name="販売部">従業員マスタ!$E$2:$E$8</definedName>
    <definedName name="報恩SV事務">従業員マスタ!$H$2:$H$13</definedName>
    <definedName name="報恩互助会">従業員マスタ!$M$2:$M$20</definedName>
    <definedName name="報恩八田P社員">従業員マスタ!$P$2:$P$27</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65" i="43" l="1"/>
  <c r="F365" i="43"/>
  <c r="G365" i="43"/>
  <c r="H365" i="43"/>
  <c r="I365" i="43"/>
  <c r="J365" i="43"/>
  <c r="K365" i="43"/>
  <c r="L365" i="43"/>
  <c r="M365" i="43"/>
  <c r="N365" i="43"/>
  <c r="O365" i="43"/>
  <c r="P365" i="43"/>
  <c r="Q365" i="43"/>
  <c r="R365" i="43"/>
  <c r="S365" i="43"/>
  <c r="T365" i="43"/>
  <c r="U365" i="43"/>
  <c r="V365" i="43"/>
  <c r="W365" i="43"/>
  <c r="X365" i="43"/>
  <c r="Y365" i="43"/>
  <c r="Z365" i="43"/>
  <c r="AA365" i="43"/>
  <c r="AB365" i="43"/>
  <c r="AC365" i="43"/>
  <c r="AD365" i="43"/>
  <c r="AE365" i="43"/>
  <c r="AF365" i="43"/>
  <c r="AG365" i="43"/>
  <c r="AH365" i="43"/>
  <c r="AI365" i="43"/>
  <c r="AJ365" i="43"/>
  <c r="AK365" i="43"/>
  <c r="AL365" i="43"/>
  <c r="AM365" i="43"/>
  <c r="AN365" i="43"/>
  <c r="AO365" i="43"/>
  <c r="AP365" i="43"/>
  <c r="AQ365" i="43"/>
  <c r="AR365" i="43"/>
  <c r="AS365" i="43"/>
  <c r="AT365" i="43"/>
  <c r="AU365" i="43"/>
  <c r="AV365" i="43"/>
  <c r="AW365" i="43"/>
  <c r="AX365" i="43"/>
  <c r="AY365" i="43"/>
  <c r="AZ365" i="43"/>
  <c r="BA365" i="43"/>
  <c r="BB365" i="43"/>
  <c r="BC365" i="43"/>
  <c r="BD365" i="43"/>
  <c r="BE365" i="43"/>
  <c r="BF365" i="43"/>
  <c r="BG365" i="43"/>
  <c r="BH365" i="43"/>
  <c r="BI365" i="43"/>
  <c r="BJ365" i="43"/>
  <c r="BK365" i="43"/>
  <c r="BL365" i="43"/>
  <c r="BM365" i="43"/>
  <c r="D365" i="43"/>
  <c r="E365" i="41"/>
  <c r="F365" i="41"/>
  <c r="G365" i="41"/>
  <c r="H365" i="41"/>
  <c r="I365" i="41"/>
  <c r="J365" i="41"/>
  <c r="K365" i="41"/>
  <c r="L365" i="41"/>
  <c r="M365" i="41"/>
  <c r="N365" i="41"/>
  <c r="O365" i="41"/>
  <c r="P365" i="41"/>
  <c r="Q365" i="41"/>
  <c r="R365" i="41"/>
  <c r="S365" i="41"/>
  <c r="T365" i="41"/>
  <c r="U365" i="41"/>
  <c r="V365" i="41"/>
  <c r="W365" i="41"/>
  <c r="X365" i="41"/>
  <c r="Y365" i="41"/>
  <c r="Z365" i="41"/>
  <c r="AA365" i="41"/>
  <c r="AB365" i="41"/>
  <c r="AC365" i="41"/>
  <c r="AD365" i="41"/>
  <c r="AE365" i="41"/>
  <c r="AF365" i="41"/>
  <c r="AG365" i="41"/>
  <c r="AH365" i="41"/>
  <c r="AI365" i="41"/>
  <c r="AJ365" i="41"/>
  <c r="AK365" i="41"/>
  <c r="AL365" i="41"/>
  <c r="AM365" i="41"/>
  <c r="AN365" i="41"/>
  <c r="AO365" i="41"/>
  <c r="AP365" i="41"/>
  <c r="AQ365" i="41"/>
  <c r="AR365" i="41"/>
  <c r="AS365" i="41"/>
  <c r="AT365" i="41"/>
  <c r="AU365" i="41"/>
  <c r="AV365" i="41"/>
  <c r="AW365" i="41"/>
  <c r="AX365" i="41"/>
  <c r="AY365" i="41"/>
  <c r="AZ365" i="41"/>
  <c r="BA365" i="41"/>
  <c r="BB365" i="41"/>
  <c r="BC365" i="41"/>
  <c r="BD365" i="41"/>
  <c r="BE365" i="41"/>
  <c r="BF365" i="41"/>
  <c r="BG365" i="41"/>
  <c r="BH365" i="41"/>
  <c r="BI365" i="41"/>
  <c r="BJ365" i="41"/>
  <c r="BK365" i="41"/>
  <c r="BL365" i="41"/>
  <c r="BM365" i="41"/>
  <c r="D365" i="41"/>
  <c r="C346" i="27"/>
  <c r="E365" i="27"/>
  <c r="F365" i="27"/>
  <c r="G365" i="27"/>
  <c r="H365" i="27"/>
  <c r="I365" i="27"/>
  <c r="J365" i="27"/>
  <c r="K365" i="27"/>
  <c r="L365" i="27"/>
  <c r="M365" i="27"/>
  <c r="N365" i="27"/>
  <c r="O365" i="27"/>
  <c r="P365" i="27"/>
  <c r="Q365" i="27"/>
  <c r="R365" i="27"/>
  <c r="S365" i="27"/>
  <c r="T365" i="27"/>
  <c r="U365" i="27"/>
  <c r="V365" i="27"/>
  <c r="W365" i="27"/>
  <c r="X365" i="27"/>
  <c r="Y365" i="27"/>
  <c r="Z365" i="27"/>
  <c r="AA365" i="27"/>
  <c r="AB365" i="27"/>
  <c r="AC365" i="27"/>
  <c r="AD365" i="27"/>
  <c r="AE365" i="27"/>
  <c r="AF365" i="27"/>
  <c r="AG365" i="27"/>
  <c r="AH365" i="27"/>
  <c r="AI365" i="27"/>
  <c r="AJ365" i="27"/>
  <c r="AK365" i="27"/>
  <c r="AL365" i="27"/>
  <c r="AM365" i="27"/>
  <c r="AN365" i="27"/>
  <c r="AO365" i="27"/>
  <c r="AP365" i="27"/>
  <c r="AQ365" i="27"/>
  <c r="AR365" i="27"/>
  <c r="AS365" i="27"/>
  <c r="AT365" i="27"/>
  <c r="AU365" i="27"/>
  <c r="AV365" i="27"/>
  <c r="AW365" i="27"/>
  <c r="AX365" i="27"/>
  <c r="AY365" i="27"/>
  <c r="AZ365" i="27"/>
  <c r="BA365" i="27"/>
  <c r="BB365" i="27"/>
  <c r="BC365" i="27"/>
  <c r="BD365" i="27"/>
  <c r="BE365" i="27"/>
  <c r="BF365" i="27"/>
  <c r="BG365" i="27"/>
  <c r="BH365" i="27"/>
  <c r="BI365" i="27"/>
  <c r="BJ365" i="27"/>
  <c r="BK365" i="27"/>
  <c r="BL365" i="27"/>
  <c r="BM365" i="27"/>
  <c r="D365" i="27"/>
  <c r="BN349" i="43"/>
  <c r="BO349" i="43"/>
  <c r="BN350" i="43"/>
  <c r="BO350" i="43"/>
  <c r="BN351" i="43"/>
  <c r="BO351" i="43"/>
  <c r="BN352" i="43"/>
  <c r="BO352" i="43"/>
  <c r="BN353" i="43"/>
  <c r="BO353" i="43"/>
  <c r="BN354" i="43"/>
  <c r="BO354" i="43"/>
  <c r="BN363" i="43"/>
  <c r="BO363" i="43"/>
  <c r="B363" i="43"/>
  <c r="B363" i="41"/>
  <c r="BN363" i="41"/>
  <c r="BO363" i="41"/>
  <c r="BN363" i="27"/>
  <c r="BP363" i="27" s="1"/>
  <c r="BO363" i="27"/>
  <c r="BQ363" i="27" s="1"/>
  <c r="E2" i="54"/>
  <c r="BN236" i="41"/>
  <c r="BO236" i="41"/>
  <c r="B254" i="41"/>
  <c r="E45" i="54"/>
  <c r="A45" i="54"/>
  <c r="I30" i="54"/>
  <c r="P44" i="64"/>
  <c r="I75" i="64"/>
  <c r="H75" i="64"/>
  <c r="I74" i="64"/>
  <c r="H74" i="64"/>
  <c r="H78" i="64"/>
  <c r="I78" i="64"/>
  <c r="I79" i="64"/>
  <c r="H79" i="64"/>
  <c r="C84" i="64"/>
  <c r="D84" i="64"/>
  <c r="C85" i="64"/>
  <c r="D85" i="64"/>
  <c r="D83" i="64"/>
  <c r="C83" i="64"/>
  <c r="E292" i="43"/>
  <c r="F292" i="43"/>
  <c r="G292" i="43"/>
  <c r="H292" i="43"/>
  <c r="I292" i="43"/>
  <c r="J292" i="43"/>
  <c r="K292" i="43"/>
  <c r="L292" i="43"/>
  <c r="M292" i="43"/>
  <c r="N292" i="43"/>
  <c r="O292" i="43"/>
  <c r="P292" i="43"/>
  <c r="Q292" i="43"/>
  <c r="R292" i="43"/>
  <c r="S292" i="43"/>
  <c r="T292" i="43"/>
  <c r="U292" i="43"/>
  <c r="V292" i="43"/>
  <c r="W292" i="43"/>
  <c r="X292" i="43"/>
  <c r="Y292" i="43"/>
  <c r="Z292" i="43"/>
  <c r="AA292" i="43"/>
  <c r="AB292" i="43"/>
  <c r="AC292" i="43"/>
  <c r="AD292" i="43"/>
  <c r="AE292" i="43"/>
  <c r="AF292" i="43"/>
  <c r="AG292" i="43"/>
  <c r="AH292" i="43"/>
  <c r="AI292" i="43"/>
  <c r="AJ292" i="43"/>
  <c r="AK292" i="43"/>
  <c r="AL292" i="43"/>
  <c r="AM292" i="43"/>
  <c r="AN292" i="43"/>
  <c r="AO292" i="43"/>
  <c r="AP292" i="43"/>
  <c r="AQ292" i="43"/>
  <c r="AR292" i="43"/>
  <c r="AS292" i="43"/>
  <c r="AT292" i="43"/>
  <c r="AU292" i="43"/>
  <c r="AV292" i="43"/>
  <c r="AW292" i="43"/>
  <c r="AX292" i="43"/>
  <c r="AY292" i="43"/>
  <c r="AZ292" i="43"/>
  <c r="BA292" i="43"/>
  <c r="BB292" i="43"/>
  <c r="BC292" i="43"/>
  <c r="BD292" i="43"/>
  <c r="BE292" i="43"/>
  <c r="BF292" i="43"/>
  <c r="BG292" i="43"/>
  <c r="BH292" i="43"/>
  <c r="BI292" i="43"/>
  <c r="BJ292" i="43"/>
  <c r="BK292" i="43"/>
  <c r="BL292" i="43"/>
  <c r="BM292" i="43"/>
  <c r="D292" i="43"/>
  <c r="E292" i="41"/>
  <c r="F292" i="41"/>
  <c r="G292" i="41"/>
  <c r="H292" i="41"/>
  <c r="I292" i="41"/>
  <c r="J292" i="41"/>
  <c r="K292" i="41"/>
  <c r="L292" i="41"/>
  <c r="M292" i="41"/>
  <c r="N292" i="41"/>
  <c r="O292" i="41"/>
  <c r="P292" i="41"/>
  <c r="Q292" i="41"/>
  <c r="R292" i="41"/>
  <c r="S292" i="41"/>
  <c r="T292" i="41"/>
  <c r="U292" i="41"/>
  <c r="V292" i="41"/>
  <c r="W292" i="41"/>
  <c r="X292" i="41"/>
  <c r="Y292" i="41"/>
  <c r="Z292" i="41"/>
  <c r="AA292" i="41"/>
  <c r="AB292" i="41"/>
  <c r="AC292" i="41"/>
  <c r="AD292" i="41"/>
  <c r="AE292" i="41"/>
  <c r="AF292" i="41"/>
  <c r="AG292" i="41"/>
  <c r="AH292" i="41"/>
  <c r="AI292" i="41"/>
  <c r="AJ292" i="41"/>
  <c r="AK292" i="41"/>
  <c r="AL292" i="41"/>
  <c r="AM292" i="41"/>
  <c r="AN292" i="41"/>
  <c r="AO292" i="41"/>
  <c r="AP292" i="41"/>
  <c r="AQ292" i="41"/>
  <c r="AR292" i="41"/>
  <c r="AS292" i="41"/>
  <c r="AT292" i="41"/>
  <c r="AU292" i="41"/>
  <c r="AV292" i="41"/>
  <c r="AW292" i="41"/>
  <c r="AX292" i="41"/>
  <c r="AY292" i="41"/>
  <c r="AZ292" i="41"/>
  <c r="BA292" i="41"/>
  <c r="BB292" i="41"/>
  <c r="BC292" i="41"/>
  <c r="BD292" i="41"/>
  <c r="BE292" i="41"/>
  <c r="BF292" i="41"/>
  <c r="BG292" i="41"/>
  <c r="BH292" i="41"/>
  <c r="BI292" i="41"/>
  <c r="BJ292" i="41"/>
  <c r="BK292" i="41"/>
  <c r="BL292" i="41"/>
  <c r="BM292" i="41"/>
  <c r="D292" i="41"/>
  <c r="C261" i="27"/>
  <c r="E292" i="27"/>
  <c r="F292" i="27"/>
  <c r="G292" i="27"/>
  <c r="H292" i="27"/>
  <c r="I292" i="27"/>
  <c r="J292" i="27"/>
  <c r="K292" i="27"/>
  <c r="L292" i="27"/>
  <c r="M292" i="27"/>
  <c r="N292" i="27"/>
  <c r="O292" i="27"/>
  <c r="P292" i="27"/>
  <c r="Q292" i="27"/>
  <c r="R292" i="27"/>
  <c r="S292" i="27"/>
  <c r="T292" i="27"/>
  <c r="U292" i="27"/>
  <c r="V292" i="27"/>
  <c r="W292" i="27"/>
  <c r="X292" i="27"/>
  <c r="Y292" i="27"/>
  <c r="Z292" i="27"/>
  <c r="AA292" i="27"/>
  <c r="AB292" i="27"/>
  <c r="AC292" i="27"/>
  <c r="AD292" i="27"/>
  <c r="AE292" i="27"/>
  <c r="AF292" i="27"/>
  <c r="AG292" i="27"/>
  <c r="AH292" i="27"/>
  <c r="AI292" i="27"/>
  <c r="AJ292" i="27"/>
  <c r="AK292" i="27"/>
  <c r="AL292" i="27"/>
  <c r="AM292" i="27"/>
  <c r="AN292" i="27"/>
  <c r="AO292" i="27"/>
  <c r="AP292" i="27"/>
  <c r="AQ292" i="27"/>
  <c r="AR292" i="27"/>
  <c r="AS292" i="27"/>
  <c r="AT292" i="27"/>
  <c r="AU292" i="27"/>
  <c r="AV292" i="27"/>
  <c r="AW292" i="27"/>
  <c r="AX292" i="27"/>
  <c r="AY292" i="27"/>
  <c r="AZ292" i="27"/>
  <c r="BA292" i="27"/>
  <c r="BB292" i="27"/>
  <c r="BC292" i="27"/>
  <c r="BD292" i="27"/>
  <c r="BE292" i="27"/>
  <c r="BF292" i="27"/>
  <c r="BG292" i="27"/>
  <c r="BH292" i="27"/>
  <c r="BI292" i="27"/>
  <c r="BJ292" i="27"/>
  <c r="BK292" i="27"/>
  <c r="BL292" i="27"/>
  <c r="BM292" i="27"/>
  <c r="D292" i="27"/>
  <c r="K41" i="64"/>
  <c r="M41" i="64" s="1"/>
  <c r="L41" i="64"/>
  <c r="B133" i="41"/>
  <c r="BN132" i="27"/>
  <c r="BP132" i="27" s="1"/>
  <c r="BP133" i="41" s="1"/>
  <c r="BO132" i="27"/>
  <c r="BQ132" i="27" s="1"/>
  <c r="I41" i="62"/>
  <c r="J41" i="62"/>
  <c r="E143" i="74"/>
  <c r="F143" i="74"/>
  <c r="G143" i="74"/>
  <c r="H143" i="74"/>
  <c r="I143" i="74"/>
  <c r="J143" i="74"/>
  <c r="K143" i="74"/>
  <c r="L143" i="74"/>
  <c r="M143" i="74"/>
  <c r="N143" i="74"/>
  <c r="O143" i="74"/>
  <c r="P143" i="74"/>
  <c r="Q143" i="74"/>
  <c r="R143" i="74"/>
  <c r="S143" i="74"/>
  <c r="T143" i="74"/>
  <c r="U143" i="74"/>
  <c r="V143" i="74"/>
  <c r="W143" i="74"/>
  <c r="X143" i="74"/>
  <c r="Y143" i="74"/>
  <c r="Z143" i="74"/>
  <c r="AA143" i="74"/>
  <c r="AB143" i="74"/>
  <c r="AC143" i="74"/>
  <c r="AD143" i="74"/>
  <c r="AE143" i="74"/>
  <c r="AF143" i="74"/>
  <c r="AG143" i="74"/>
  <c r="AH143" i="74"/>
  <c r="AI143" i="74"/>
  <c r="AJ143" i="74"/>
  <c r="AK143" i="74"/>
  <c r="AL143" i="74"/>
  <c r="AM143" i="74"/>
  <c r="AN143" i="74"/>
  <c r="AO143" i="74"/>
  <c r="AP143" i="74"/>
  <c r="AQ143" i="74"/>
  <c r="AR143" i="74"/>
  <c r="AS143" i="74"/>
  <c r="D143" i="74"/>
  <c r="E142" i="43"/>
  <c r="F142" i="43"/>
  <c r="G142" i="43"/>
  <c r="H142" i="43"/>
  <c r="I142" i="43"/>
  <c r="J142" i="43"/>
  <c r="K142" i="43"/>
  <c r="L142" i="43"/>
  <c r="M142" i="43"/>
  <c r="N142" i="43"/>
  <c r="O142" i="43"/>
  <c r="P142" i="43"/>
  <c r="Q142" i="43"/>
  <c r="R142" i="43"/>
  <c r="S142" i="43"/>
  <c r="T142" i="43"/>
  <c r="U142" i="43"/>
  <c r="V142" i="43"/>
  <c r="W142" i="43"/>
  <c r="X142" i="43"/>
  <c r="Y142" i="43"/>
  <c r="Z142" i="43"/>
  <c r="AA142" i="43"/>
  <c r="AB142" i="43"/>
  <c r="AC142" i="43"/>
  <c r="AD142" i="43"/>
  <c r="AE142" i="43"/>
  <c r="AF142" i="43"/>
  <c r="AG142" i="43"/>
  <c r="AH142" i="43"/>
  <c r="AI142" i="43"/>
  <c r="AJ142" i="43"/>
  <c r="AK142" i="43"/>
  <c r="AL142" i="43"/>
  <c r="AM142" i="43"/>
  <c r="AN142" i="43"/>
  <c r="AO142" i="43"/>
  <c r="AP142" i="43"/>
  <c r="AQ142" i="43"/>
  <c r="AR142" i="43"/>
  <c r="AS142" i="43"/>
  <c r="D142" i="43"/>
  <c r="C130" i="62"/>
  <c r="E143" i="62"/>
  <c r="F143" i="62"/>
  <c r="G143" i="62"/>
  <c r="H143" i="62"/>
  <c r="I143" i="62"/>
  <c r="J143" i="62"/>
  <c r="K143" i="62"/>
  <c r="L143" i="62"/>
  <c r="M143" i="62"/>
  <c r="N143" i="62"/>
  <c r="O143" i="62"/>
  <c r="P143" i="62"/>
  <c r="Q143" i="62"/>
  <c r="R143" i="62"/>
  <c r="S143" i="62"/>
  <c r="T143" i="62"/>
  <c r="U143" i="62"/>
  <c r="V143" i="62"/>
  <c r="W143" i="62"/>
  <c r="X143" i="62"/>
  <c r="Y143" i="62"/>
  <c r="Z143" i="62"/>
  <c r="AA143" i="62"/>
  <c r="AB143" i="62"/>
  <c r="AC143" i="62"/>
  <c r="AD143" i="62"/>
  <c r="AE143" i="62"/>
  <c r="AF143" i="62"/>
  <c r="AG143" i="62"/>
  <c r="AH143" i="62"/>
  <c r="AI143" i="62"/>
  <c r="AJ143" i="62"/>
  <c r="AK143" i="62"/>
  <c r="AL143" i="62"/>
  <c r="AM143" i="62"/>
  <c r="AN143" i="62"/>
  <c r="AO143" i="62"/>
  <c r="AP143" i="62"/>
  <c r="AQ143" i="62"/>
  <c r="AR143" i="62"/>
  <c r="AS143" i="62"/>
  <c r="D143" i="62"/>
  <c r="C130" i="64"/>
  <c r="E143" i="64"/>
  <c r="F143" i="64"/>
  <c r="G143" i="64"/>
  <c r="H143" i="64"/>
  <c r="I143" i="64"/>
  <c r="J143" i="64"/>
  <c r="K143" i="64"/>
  <c r="L143" i="64"/>
  <c r="M143" i="64"/>
  <c r="N143" i="64"/>
  <c r="O143" i="64"/>
  <c r="P143" i="64"/>
  <c r="Q143" i="64"/>
  <c r="R143" i="64"/>
  <c r="S143" i="64"/>
  <c r="T143" i="64"/>
  <c r="U143" i="64"/>
  <c r="V143" i="64"/>
  <c r="W143" i="64"/>
  <c r="X143" i="64"/>
  <c r="Y143" i="64"/>
  <c r="Z143" i="64"/>
  <c r="AA143" i="64"/>
  <c r="AB143" i="64"/>
  <c r="AC143" i="64"/>
  <c r="AD143" i="64"/>
  <c r="AE143" i="64"/>
  <c r="AF143" i="64"/>
  <c r="AG143" i="64"/>
  <c r="AH143" i="64"/>
  <c r="AI143" i="64"/>
  <c r="AJ143" i="64"/>
  <c r="AK143" i="64"/>
  <c r="D143" i="64"/>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D143" i="75"/>
  <c r="C129" i="27"/>
  <c r="E142" i="27"/>
  <c r="F142" i="27"/>
  <c r="G142" i="27"/>
  <c r="H142" i="27"/>
  <c r="I142" i="27"/>
  <c r="J142" i="27"/>
  <c r="K142" i="27"/>
  <c r="L142" i="27"/>
  <c r="M142" i="27"/>
  <c r="N142" i="27"/>
  <c r="O142" i="27"/>
  <c r="P142" i="27"/>
  <c r="Q142" i="27"/>
  <c r="R142" i="27"/>
  <c r="S142" i="27"/>
  <c r="T142" i="27"/>
  <c r="U142" i="27"/>
  <c r="V142" i="27"/>
  <c r="W142" i="27"/>
  <c r="X142" i="27"/>
  <c r="Y142" i="27"/>
  <c r="Z142" i="27"/>
  <c r="AA142" i="27"/>
  <c r="AB142" i="27"/>
  <c r="AC142" i="27"/>
  <c r="AD142" i="27"/>
  <c r="AE142" i="27"/>
  <c r="AF142" i="27"/>
  <c r="AG142" i="27"/>
  <c r="AH142" i="27"/>
  <c r="AI142" i="27"/>
  <c r="AJ142" i="27"/>
  <c r="AK142" i="27"/>
  <c r="D142" i="27"/>
  <c r="B133" i="74"/>
  <c r="C130" i="74" s="1"/>
  <c r="B132" i="43"/>
  <c r="BQ363" i="41" l="1"/>
  <c r="BP363" i="41"/>
  <c r="BQ133" i="41"/>
  <c r="N41" i="64"/>
  <c r="K41" i="62"/>
  <c r="F55" i="64" l="1"/>
  <c r="G55" i="64"/>
  <c r="P40" i="64"/>
  <c r="Q40" i="64"/>
  <c r="P41" i="64"/>
  <c r="Q41" i="64"/>
  <c r="K33" i="64"/>
  <c r="L33" i="64"/>
  <c r="K34" i="64"/>
  <c r="L34" i="64"/>
  <c r="K35" i="64"/>
  <c r="L35" i="64"/>
  <c r="K36" i="64"/>
  <c r="L36" i="64"/>
  <c r="K37" i="64"/>
  <c r="L37" i="64"/>
  <c r="K38" i="64"/>
  <c r="L38" i="64"/>
  <c r="K39" i="64"/>
  <c r="L39" i="64"/>
  <c r="K40" i="64"/>
  <c r="L40" i="64"/>
  <c r="F34" i="64"/>
  <c r="G34" i="64"/>
  <c r="F35" i="64"/>
  <c r="G35" i="64"/>
  <c r="F36" i="64"/>
  <c r="G36" i="64"/>
  <c r="F37" i="64"/>
  <c r="G37" i="64"/>
  <c r="F38" i="64"/>
  <c r="G38" i="64"/>
  <c r="F39" i="64"/>
  <c r="G39" i="64"/>
  <c r="F40" i="64"/>
  <c r="G40" i="64"/>
  <c r="F41" i="64"/>
  <c r="G41" i="64"/>
  <c r="A32" i="64"/>
  <c r="B32" i="64"/>
  <c r="A33" i="64"/>
  <c r="B33" i="64"/>
  <c r="A34" i="64"/>
  <c r="B34" i="64"/>
  <c r="A35" i="64"/>
  <c r="B35" i="64"/>
  <c r="A36" i="64"/>
  <c r="B36" i="64"/>
  <c r="A37" i="64"/>
  <c r="B37" i="64"/>
  <c r="A38" i="64"/>
  <c r="B38" i="64"/>
  <c r="A39" i="64"/>
  <c r="B39" i="64"/>
  <c r="A40" i="64"/>
  <c r="B40" i="64"/>
  <c r="A41" i="64"/>
  <c r="B41" i="64"/>
  <c r="P13" i="64"/>
  <c r="Q13" i="64"/>
  <c r="BN402" i="43"/>
  <c r="BO402" i="43"/>
  <c r="BN403" i="43"/>
  <c r="BO403" i="43"/>
  <c r="BN372" i="43"/>
  <c r="BO372" i="43"/>
  <c r="BN373" i="43"/>
  <c r="BO373" i="43"/>
  <c r="BN374" i="43"/>
  <c r="BO374" i="43"/>
  <c r="BN375" i="43"/>
  <c r="BO375" i="43"/>
  <c r="BN355" i="43"/>
  <c r="BO355" i="43"/>
  <c r="BN356" i="43"/>
  <c r="BO356" i="43"/>
  <c r="BN357" i="43"/>
  <c r="BO357" i="43"/>
  <c r="BN358" i="43"/>
  <c r="BO358" i="43"/>
  <c r="BN359" i="43"/>
  <c r="BO359" i="43"/>
  <c r="BN360" i="43"/>
  <c r="BO360" i="43"/>
  <c r="BN361" i="43"/>
  <c r="BO361" i="43"/>
  <c r="BN362" i="43"/>
  <c r="BO362" i="43"/>
  <c r="BN364" i="43"/>
  <c r="BO364" i="43"/>
  <c r="BN334" i="43"/>
  <c r="BO334" i="43"/>
  <c r="BN335" i="43"/>
  <c r="BO335" i="43"/>
  <c r="BN336" i="43"/>
  <c r="BO336" i="43"/>
  <c r="BN337" i="43"/>
  <c r="BO337" i="43"/>
  <c r="BN338" i="43"/>
  <c r="BO338" i="43"/>
  <c r="BN339" i="43"/>
  <c r="BO339" i="43"/>
  <c r="BN340" i="43"/>
  <c r="BO340" i="43"/>
  <c r="BN341" i="43"/>
  <c r="BO341" i="43"/>
  <c r="BN342" i="43"/>
  <c r="BO342" i="43"/>
  <c r="BN299" i="43"/>
  <c r="BO299" i="43"/>
  <c r="BN300" i="43"/>
  <c r="BO300" i="43"/>
  <c r="BN301" i="43"/>
  <c r="BO301" i="43"/>
  <c r="BN302" i="43"/>
  <c r="BO302" i="43"/>
  <c r="BN303" i="43"/>
  <c r="BO303" i="43"/>
  <c r="BN304" i="43"/>
  <c r="BO304" i="43"/>
  <c r="BN305" i="43"/>
  <c r="BO305" i="43"/>
  <c r="BN306" i="43"/>
  <c r="BO306" i="43"/>
  <c r="BN307" i="43"/>
  <c r="BO307" i="43"/>
  <c r="BN308" i="43"/>
  <c r="BO308" i="43"/>
  <c r="BN309" i="43"/>
  <c r="BO309" i="43"/>
  <c r="BN310" i="43"/>
  <c r="BO310" i="43"/>
  <c r="BN311" i="43"/>
  <c r="BO311" i="43"/>
  <c r="BN312" i="43"/>
  <c r="BO312" i="43"/>
  <c r="BN313" i="43"/>
  <c r="BO313" i="43"/>
  <c r="BN314" i="43"/>
  <c r="BO314" i="43"/>
  <c r="BN315" i="43"/>
  <c r="BO315" i="43"/>
  <c r="BN316" i="43"/>
  <c r="BO316" i="43"/>
  <c r="BN317" i="43"/>
  <c r="BO317" i="43"/>
  <c r="BN318" i="43"/>
  <c r="BO318" i="43"/>
  <c r="BN319" i="43"/>
  <c r="BO319" i="43"/>
  <c r="BN320" i="43"/>
  <c r="BO320" i="43"/>
  <c r="BN321" i="43"/>
  <c r="BO321" i="43"/>
  <c r="BN322" i="43"/>
  <c r="BO322" i="43"/>
  <c r="BN323" i="43"/>
  <c r="BO323" i="43"/>
  <c r="BN324" i="43"/>
  <c r="BO324" i="43"/>
  <c r="BN325" i="43"/>
  <c r="BO325" i="43"/>
  <c r="BN326" i="43"/>
  <c r="BO326" i="43"/>
  <c r="BN265" i="43"/>
  <c r="BO265" i="43"/>
  <c r="BN266" i="43"/>
  <c r="BO266" i="43"/>
  <c r="BN267" i="43"/>
  <c r="BO267" i="43"/>
  <c r="BN268" i="43"/>
  <c r="BO268" i="43"/>
  <c r="BN269" i="43"/>
  <c r="BO269" i="43"/>
  <c r="BN270" i="43"/>
  <c r="BO270" i="43"/>
  <c r="BN271" i="43"/>
  <c r="BO271" i="43"/>
  <c r="BN272" i="43"/>
  <c r="BO272" i="43"/>
  <c r="BN273" i="43"/>
  <c r="BO273" i="43"/>
  <c r="BN274" i="43"/>
  <c r="BO274" i="43"/>
  <c r="BN275" i="43"/>
  <c r="BO275" i="43"/>
  <c r="BN276" i="43"/>
  <c r="BO276" i="43"/>
  <c r="BN277" i="43"/>
  <c r="BO277" i="43"/>
  <c r="BN278" i="43"/>
  <c r="BO278" i="43"/>
  <c r="BN279" i="43"/>
  <c r="BO279" i="43"/>
  <c r="BN280" i="43"/>
  <c r="BO280" i="43"/>
  <c r="BN281" i="43"/>
  <c r="BO281" i="43"/>
  <c r="BN282" i="43"/>
  <c r="BO282" i="43"/>
  <c r="BN283" i="43"/>
  <c r="BO283" i="43"/>
  <c r="BN284" i="43"/>
  <c r="BO284" i="43"/>
  <c r="BN285" i="43"/>
  <c r="BO285" i="43"/>
  <c r="BN286" i="43"/>
  <c r="BO286" i="43"/>
  <c r="BN287" i="43"/>
  <c r="BO287" i="43"/>
  <c r="BN288" i="43"/>
  <c r="BO288" i="43"/>
  <c r="BN289" i="43"/>
  <c r="BO289" i="43"/>
  <c r="BN290" i="43"/>
  <c r="BO290" i="43"/>
  <c r="BN291" i="43"/>
  <c r="BO291" i="43"/>
  <c r="BN253" i="43"/>
  <c r="BO253" i="43"/>
  <c r="BN254" i="43"/>
  <c r="BO254" i="43"/>
  <c r="BN255" i="43"/>
  <c r="BO255" i="43"/>
  <c r="BN256" i="43"/>
  <c r="BO256" i="43"/>
  <c r="BN257" i="43"/>
  <c r="BO257" i="43"/>
  <c r="BN227" i="43"/>
  <c r="BO227" i="43"/>
  <c r="BN228" i="43"/>
  <c r="BO228" i="43"/>
  <c r="BN229" i="43"/>
  <c r="BO229" i="43"/>
  <c r="BN230" i="43"/>
  <c r="BO230" i="43"/>
  <c r="BN231" i="43"/>
  <c r="BO231" i="43"/>
  <c r="BN232" i="43"/>
  <c r="BO232" i="43"/>
  <c r="BN233" i="43"/>
  <c r="BO233" i="43"/>
  <c r="BN234" i="43"/>
  <c r="BO234" i="43"/>
  <c r="BN235" i="43"/>
  <c r="BO235" i="43"/>
  <c r="BN237" i="43"/>
  <c r="BO237" i="43"/>
  <c r="BN238" i="43"/>
  <c r="BO238" i="43"/>
  <c r="BN239" i="43"/>
  <c r="BO239" i="43"/>
  <c r="BN240" i="43"/>
  <c r="BO240" i="43"/>
  <c r="BN241" i="43"/>
  <c r="BO241" i="43"/>
  <c r="BN242" i="43"/>
  <c r="BO242" i="43"/>
  <c r="BN243" i="43"/>
  <c r="BO243" i="43"/>
  <c r="BN244" i="43"/>
  <c r="G78" i="76" s="1"/>
  <c r="BO244" i="43"/>
  <c r="BN245" i="43"/>
  <c r="G79" i="76" s="1"/>
  <c r="BO245" i="43"/>
  <c r="BN203" i="43"/>
  <c r="BO203" i="43"/>
  <c r="BN204" i="43"/>
  <c r="BO204" i="43"/>
  <c r="BN205" i="43"/>
  <c r="BO205" i="43"/>
  <c r="BN206" i="43"/>
  <c r="BO206" i="43"/>
  <c r="BN207" i="43"/>
  <c r="BO207" i="43"/>
  <c r="BN208" i="43"/>
  <c r="BO208" i="43"/>
  <c r="BN209" i="43"/>
  <c r="BO209" i="43"/>
  <c r="BN210" i="43"/>
  <c r="BO210" i="43"/>
  <c r="BN211" i="43"/>
  <c r="BO211" i="43"/>
  <c r="BN212" i="43"/>
  <c r="BO212" i="43"/>
  <c r="BN213" i="43"/>
  <c r="BO213" i="43"/>
  <c r="BN214" i="43"/>
  <c r="BO214" i="43"/>
  <c r="BN215" i="43"/>
  <c r="BO215" i="43"/>
  <c r="BN216" i="43"/>
  <c r="BO216" i="43"/>
  <c r="BN217" i="43"/>
  <c r="BO217" i="43"/>
  <c r="BN218" i="43"/>
  <c r="BO218" i="43"/>
  <c r="BN219" i="43"/>
  <c r="BO219" i="43"/>
  <c r="BN220" i="43"/>
  <c r="BO220" i="43"/>
  <c r="BN167" i="43"/>
  <c r="BO167" i="43"/>
  <c r="BN168" i="43"/>
  <c r="BO168" i="43"/>
  <c r="BN169" i="43"/>
  <c r="BO169" i="43"/>
  <c r="BN170" i="43"/>
  <c r="BO170" i="43"/>
  <c r="BN171" i="43"/>
  <c r="BO171" i="43"/>
  <c r="BN172" i="43"/>
  <c r="BO172" i="43"/>
  <c r="BN173" i="43"/>
  <c r="BO173" i="43"/>
  <c r="BN174" i="43"/>
  <c r="BO174" i="43"/>
  <c r="BN175" i="43"/>
  <c r="BO175" i="43"/>
  <c r="BN176" i="43"/>
  <c r="BO176" i="43"/>
  <c r="BN177" i="43"/>
  <c r="BO177" i="43"/>
  <c r="BN178" i="43"/>
  <c r="BO178" i="43"/>
  <c r="BN179" i="43"/>
  <c r="BO179" i="43"/>
  <c r="BN180" i="43"/>
  <c r="BO180" i="43"/>
  <c r="BN181" i="43"/>
  <c r="BO181" i="43"/>
  <c r="BN182" i="43"/>
  <c r="BO182" i="43"/>
  <c r="BN183" i="43"/>
  <c r="BO183" i="43"/>
  <c r="BN184" i="43"/>
  <c r="BO184" i="43"/>
  <c r="BN185" i="43"/>
  <c r="BO185" i="43"/>
  <c r="BN186" i="43"/>
  <c r="BO186" i="43"/>
  <c r="BN187" i="43"/>
  <c r="BO187" i="43"/>
  <c r="BN188" i="43"/>
  <c r="BO188" i="43"/>
  <c r="BN189" i="43"/>
  <c r="BO189" i="43"/>
  <c r="BN149" i="43"/>
  <c r="BO149" i="43"/>
  <c r="BN150" i="43"/>
  <c r="BO150" i="43"/>
  <c r="BN151" i="43"/>
  <c r="BO151" i="43"/>
  <c r="BN152" i="43"/>
  <c r="BO152" i="43"/>
  <c r="BN153" i="43"/>
  <c r="BO153" i="43"/>
  <c r="BN154" i="43"/>
  <c r="BO154" i="43"/>
  <c r="BN155" i="43"/>
  <c r="BO155" i="43"/>
  <c r="BN156" i="43"/>
  <c r="BO156" i="43"/>
  <c r="BN157" i="43"/>
  <c r="BO157" i="43"/>
  <c r="BN158" i="43"/>
  <c r="BO158" i="43"/>
  <c r="BN159" i="43"/>
  <c r="BO159" i="43"/>
  <c r="BN134" i="43"/>
  <c r="BO134" i="43"/>
  <c r="BN135" i="43"/>
  <c r="BO135" i="43"/>
  <c r="BN136" i="43"/>
  <c r="BO136" i="43"/>
  <c r="BN137" i="43"/>
  <c r="BO137" i="43"/>
  <c r="BN138" i="43"/>
  <c r="BO138" i="43"/>
  <c r="BN139" i="43"/>
  <c r="BO139" i="43"/>
  <c r="BN140" i="43"/>
  <c r="BO140" i="43"/>
  <c r="BN141" i="43"/>
  <c r="BO141" i="43"/>
  <c r="BN115" i="43"/>
  <c r="BO115" i="43"/>
  <c r="BN116" i="43"/>
  <c r="BO116" i="43"/>
  <c r="BN117" i="43"/>
  <c r="BO117" i="43"/>
  <c r="BN118" i="43"/>
  <c r="BO118" i="43"/>
  <c r="BN119" i="43"/>
  <c r="BO119" i="43"/>
  <c r="BN120" i="43"/>
  <c r="BO120" i="43"/>
  <c r="BN121" i="43"/>
  <c r="BO121" i="43"/>
  <c r="BN122" i="43"/>
  <c r="BO122" i="43"/>
  <c r="BN123" i="43"/>
  <c r="BO123" i="43"/>
  <c r="BN124" i="43"/>
  <c r="BO124" i="43"/>
  <c r="BN125" i="43"/>
  <c r="BO125" i="43"/>
  <c r="BN104" i="43"/>
  <c r="BO104" i="43"/>
  <c r="BN105" i="43"/>
  <c r="BO105" i="43"/>
  <c r="BN106" i="43"/>
  <c r="BO106" i="43"/>
  <c r="BN107" i="43"/>
  <c r="BO107" i="43"/>
  <c r="BN95" i="43"/>
  <c r="BO95" i="43"/>
  <c r="BN96" i="43"/>
  <c r="BO96" i="43"/>
  <c r="BN81" i="43"/>
  <c r="BO81" i="43"/>
  <c r="BN82" i="43"/>
  <c r="BO82" i="43"/>
  <c r="BN83" i="43"/>
  <c r="BO83" i="43"/>
  <c r="BN84" i="43"/>
  <c r="BO84" i="43"/>
  <c r="BN85" i="43"/>
  <c r="BO85" i="43"/>
  <c r="BN86" i="43"/>
  <c r="BO86" i="43"/>
  <c r="BN87" i="43"/>
  <c r="BO87" i="43"/>
  <c r="BN72" i="43"/>
  <c r="BO72" i="43"/>
  <c r="BN73" i="43"/>
  <c r="BO73" i="43"/>
  <c r="BN74" i="43"/>
  <c r="BO74" i="43"/>
  <c r="BN61" i="43"/>
  <c r="BO61" i="43"/>
  <c r="BN62" i="43"/>
  <c r="BO62" i="43"/>
  <c r="BN63" i="43"/>
  <c r="BO63" i="43"/>
  <c r="BN64" i="43"/>
  <c r="BO64" i="43"/>
  <c r="BN65" i="43"/>
  <c r="BO65" i="43"/>
  <c r="BN31" i="43"/>
  <c r="BO31" i="43"/>
  <c r="BN32" i="43"/>
  <c r="BO32" i="43"/>
  <c r="BN33" i="43"/>
  <c r="BO33" i="43"/>
  <c r="BN34" i="43"/>
  <c r="BO34" i="43"/>
  <c r="BN35" i="43"/>
  <c r="BO35" i="43"/>
  <c r="BN36" i="43"/>
  <c r="BO36" i="43"/>
  <c r="BN37" i="43"/>
  <c r="BO37" i="43"/>
  <c r="BN38" i="43"/>
  <c r="BO38" i="43"/>
  <c r="BN39" i="43"/>
  <c r="BO39" i="43"/>
  <c r="BN40" i="43"/>
  <c r="BO40" i="43"/>
  <c r="BN41" i="43"/>
  <c r="BO41" i="43"/>
  <c r="BN42" i="43"/>
  <c r="BO42" i="43"/>
  <c r="BN43" i="43"/>
  <c r="BO43" i="43"/>
  <c r="BN44" i="43"/>
  <c r="BO44" i="43"/>
  <c r="BN45" i="43"/>
  <c r="BO45" i="43"/>
  <c r="BN46" i="43"/>
  <c r="BO46" i="43"/>
  <c r="BN47" i="43"/>
  <c r="BO47" i="43"/>
  <c r="BN48" i="43"/>
  <c r="BO48" i="43"/>
  <c r="BN49" i="43"/>
  <c r="BO49" i="43"/>
  <c r="BN50" i="43"/>
  <c r="BO50" i="43"/>
  <c r="BN51" i="43"/>
  <c r="BO51" i="43"/>
  <c r="BN52" i="43"/>
  <c r="BO52" i="43"/>
  <c r="BN53" i="43"/>
  <c r="BO53" i="43"/>
  <c r="BO371" i="43"/>
  <c r="BN371" i="43"/>
  <c r="BO333" i="43"/>
  <c r="BN333" i="43"/>
  <c r="BO298" i="43"/>
  <c r="BN298" i="43"/>
  <c r="BO264" i="43"/>
  <c r="BN264" i="43"/>
  <c r="BO252" i="43"/>
  <c r="BN252" i="43"/>
  <c r="BO202" i="43"/>
  <c r="BN202" i="43"/>
  <c r="BO166" i="43"/>
  <c r="BN166" i="43"/>
  <c r="BO148" i="43"/>
  <c r="BN148" i="43"/>
  <c r="BO133" i="43"/>
  <c r="BN133" i="43"/>
  <c r="BO114" i="43"/>
  <c r="BN114" i="43"/>
  <c r="BO103" i="43"/>
  <c r="BN103" i="43"/>
  <c r="BO94" i="43"/>
  <c r="BN94" i="43"/>
  <c r="BO80" i="43"/>
  <c r="BN80" i="43"/>
  <c r="BO71" i="43"/>
  <c r="BN71" i="43"/>
  <c r="BO60" i="43"/>
  <c r="BN60" i="43"/>
  <c r="BO30" i="43"/>
  <c r="BN30" i="43"/>
  <c r="BN5" i="43"/>
  <c r="BO5" i="43"/>
  <c r="BN6" i="43"/>
  <c r="BO6" i="43"/>
  <c r="BN7" i="43"/>
  <c r="BO7" i="43"/>
  <c r="BN8" i="43"/>
  <c r="BO8" i="43"/>
  <c r="BN9" i="43"/>
  <c r="BO9" i="43"/>
  <c r="BN10" i="43"/>
  <c r="BO10" i="43"/>
  <c r="BN11" i="43"/>
  <c r="BO11" i="43"/>
  <c r="BN12" i="43"/>
  <c r="BO12" i="43"/>
  <c r="BN13" i="43"/>
  <c r="BO13" i="43"/>
  <c r="BN14" i="43"/>
  <c r="BO14" i="43"/>
  <c r="BN15" i="43"/>
  <c r="BO15" i="43"/>
  <c r="BN16" i="43"/>
  <c r="BO16" i="43"/>
  <c r="BN17" i="43"/>
  <c r="BO17" i="43"/>
  <c r="BN18" i="43"/>
  <c r="BO18" i="43"/>
  <c r="BN19" i="43"/>
  <c r="BO19" i="43"/>
  <c r="BN20" i="43"/>
  <c r="BO20" i="43"/>
  <c r="BN21" i="43"/>
  <c r="BO21" i="43"/>
  <c r="BN22" i="43"/>
  <c r="BO22" i="43"/>
  <c r="BN23" i="43"/>
  <c r="BO23" i="43"/>
  <c r="BN4" i="43"/>
  <c r="BO4" i="43"/>
  <c r="I91" i="76"/>
  <c r="I90" i="76"/>
  <c r="I89" i="76"/>
  <c r="I88" i="76"/>
  <c r="I87" i="76"/>
  <c r="I86" i="76"/>
  <c r="I85" i="76"/>
  <c r="I84" i="76"/>
  <c r="I83" i="76"/>
  <c r="A83" i="76"/>
  <c r="I82" i="76"/>
  <c r="A82" i="76"/>
  <c r="I81" i="76"/>
  <c r="A81" i="76"/>
  <c r="I80" i="76"/>
  <c r="I79" i="76"/>
  <c r="E79" i="76"/>
  <c r="I78" i="76"/>
  <c r="E78" i="76"/>
  <c r="I77" i="76"/>
  <c r="A77" i="76"/>
  <c r="I76" i="76"/>
  <c r="A76" i="76"/>
  <c r="I75" i="76"/>
  <c r="E75" i="76"/>
  <c r="A75" i="76"/>
  <c r="I74" i="76"/>
  <c r="E74" i="76"/>
  <c r="A74" i="76"/>
  <c r="I73" i="76"/>
  <c r="A73" i="76"/>
  <c r="I72" i="76"/>
  <c r="A72" i="76"/>
  <c r="I71" i="76"/>
  <c r="E71" i="76"/>
  <c r="A71" i="76"/>
  <c r="I70" i="76"/>
  <c r="E70" i="76"/>
  <c r="A70" i="76"/>
  <c r="I69" i="76"/>
  <c r="E69" i="76"/>
  <c r="A69" i="76"/>
  <c r="I68" i="76"/>
  <c r="E68" i="76"/>
  <c r="A68" i="76"/>
  <c r="I67" i="76"/>
  <c r="E67" i="76"/>
  <c r="A67" i="76"/>
  <c r="F56" i="76"/>
  <c r="E56" i="76"/>
  <c r="B56" i="76"/>
  <c r="A56" i="76"/>
  <c r="I55" i="76"/>
  <c r="F55" i="76"/>
  <c r="E55" i="76"/>
  <c r="B55" i="76"/>
  <c r="A55" i="76"/>
  <c r="I54" i="76"/>
  <c r="F54" i="76"/>
  <c r="E54" i="76"/>
  <c r="B54" i="76"/>
  <c r="A54" i="76"/>
  <c r="I53" i="76"/>
  <c r="F53" i="76"/>
  <c r="E53" i="76"/>
  <c r="B53" i="76"/>
  <c r="A53" i="76"/>
  <c r="I52" i="76"/>
  <c r="F52" i="76"/>
  <c r="E52" i="76"/>
  <c r="B52" i="76"/>
  <c r="A52" i="76"/>
  <c r="I51" i="76"/>
  <c r="F51" i="76"/>
  <c r="E51" i="76"/>
  <c r="B51" i="76"/>
  <c r="A51" i="76"/>
  <c r="I50" i="76"/>
  <c r="F50" i="76"/>
  <c r="E50" i="76"/>
  <c r="B50" i="76"/>
  <c r="A50" i="76"/>
  <c r="I49" i="76"/>
  <c r="F49" i="76"/>
  <c r="E49" i="76"/>
  <c r="B49" i="76"/>
  <c r="A49" i="76"/>
  <c r="I48" i="76"/>
  <c r="F48" i="76"/>
  <c r="E48" i="76"/>
  <c r="B48" i="76"/>
  <c r="A48" i="76"/>
  <c r="I47" i="76"/>
  <c r="F47" i="76"/>
  <c r="E47" i="76"/>
  <c r="B47" i="76"/>
  <c r="A47" i="76"/>
  <c r="I46" i="76"/>
  <c r="F46" i="76"/>
  <c r="E46" i="76"/>
  <c r="B46" i="76"/>
  <c r="A46" i="76"/>
  <c r="M44" i="76"/>
  <c r="N43" i="76"/>
  <c r="M43" i="76"/>
  <c r="F43" i="76"/>
  <c r="E43" i="76"/>
  <c r="B43" i="76"/>
  <c r="A43" i="76"/>
  <c r="B42" i="76"/>
  <c r="N41" i="76"/>
  <c r="M41" i="76"/>
  <c r="F41" i="76"/>
  <c r="E41" i="76"/>
  <c r="B41" i="76"/>
  <c r="A41" i="76"/>
  <c r="N40" i="76"/>
  <c r="M40" i="76"/>
  <c r="J40" i="76"/>
  <c r="I40" i="76"/>
  <c r="F40" i="76"/>
  <c r="E40" i="76"/>
  <c r="B40" i="76"/>
  <c r="A40" i="76"/>
  <c r="N39" i="76"/>
  <c r="M39" i="76"/>
  <c r="J39" i="76"/>
  <c r="I39" i="76"/>
  <c r="F39" i="76"/>
  <c r="E39" i="76"/>
  <c r="B39" i="76"/>
  <c r="A39" i="76"/>
  <c r="N38" i="76"/>
  <c r="M38" i="76"/>
  <c r="J38" i="76"/>
  <c r="I38" i="76"/>
  <c r="F38" i="76"/>
  <c r="E38" i="76"/>
  <c r="B38" i="76"/>
  <c r="A38" i="76"/>
  <c r="N37" i="76"/>
  <c r="M37" i="76"/>
  <c r="J37" i="76"/>
  <c r="I37" i="76"/>
  <c r="F37" i="76"/>
  <c r="E37" i="76"/>
  <c r="B37" i="76"/>
  <c r="A37" i="76"/>
  <c r="N36" i="76"/>
  <c r="M36" i="76"/>
  <c r="J36" i="76"/>
  <c r="I36" i="76"/>
  <c r="F36" i="76"/>
  <c r="E36" i="76"/>
  <c r="B36" i="76"/>
  <c r="A36" i="76"/>
  <c r="N35" i="76"/>
  <c r="M35" i="76"/>
  <c r="J35" i="76"/>
  <c r="I35" i="76"/>
  <c r="F35" i="76"/>
  <c r="E35" i="76"/>
  <c r="B35" i="76"/>
  <c r="A35" i="76"/>
  <c r="P34" i="76"/>
  <c r="N34" i="76"/>
  <c r="M34" i="76"/>
  <c r="J34" i="76"/>
  <c r="I34" i="76"/>
  <c r="F34" i="76"/>
  <c r="E34" i="76"/>
  <c r="B34" i="76"/>
  <c r="A34" i="76"/>
  <c r="N33" i="76"/>
  <c r="M33" i="76"/>
  <c r="J33" i="76"/>
  <c r="I33" i="76"/>
  <c r="F33" i="76"/>
  <c r="E33" i="76"/>
  <c r="B33" i="76"/>
  <c r="A33" i="76"/>
  <c r="N32" i="76"/>
  <c r="M32" i="76"/>
  <c r="J32" i="76"/>
  <c r="I32" i="76"/>
  <c r="F32" i="76"/>
  <c r="E32" i="76"/>
  <c r="B32" i="76"/>
  <c r="A32" i="76"/>
  <c r="N31" i="76"/>
  <c r="M31" i="76"/>
  <c r="J31" i="76"/>
  <c r="I31" i="76"/>
  <c r="F31" i="76"/>
  <c r="E31" i="76"/>
  <c r="B31" i="76"/>
  <c r="A31" i="76"/>
  <c r="H30" i="76"/>
  <c r="F28" i="76"/>
  <c r="E28" i="76"/>
  <c r="B28" i="76"/>
  <c r="A28" i="76"/>
  <c r="N27" i="76"/>
  <c r="M27" i="76"/>
  <c r="J27" i="76"/>
  <c r="I27" i="76"/>
  <c r="F27" i="76"/>
  <c r="E27" i="76"/>
  <c r="B27" i="76"/>
  <c r="A27" i="76"/>
  <c r="N26" i="76"/>
  <c r="M26" i="76"/>
  <c r="J26" i="76"/>
  <c r="I26" i="76"/>
  <c r="F26" i="76"/>
  <c r="E26" i="76"/>
  <c r="B26" i="76"/>
  <c r="A26" i="76"/>
  <c r="N25" i="76"/>
  <c r="M25" i="76"/>
  <c r="J25" i="76"/>
  <c r="I25" i="76"/>
  <c r="F25" i="76"/>
  <c r="E25" i="76"/>
  <c r="B25" i="76"/>
  <c r="A25" i="76"/>
  <c r="N24" i="76"/>
  <c r="M24" i="76"/>
  <c r="J24" i="76"/>
  <c r="I24" i="76"/>
  <c r="F24" i="76"/>
  <c r="E24" i="76"/>
  <c r="B24" i="76"/>
  <c r="A24" i="76"/>
  <c r="N23" i="76"/>
  <c r="M23" i="76"/>
  <c r="J23" i="76"/>
  <c r="I23" i="76"/>
  <c r="F23" i="76"/>
  <c r="E23" i="76"/>
  <c r="B23" i="76"/>
  <c r="A23" i="76"/>
  <c r="N22" i="76"/>
  <c r="M22" i="76"/>
  <c r="J22" i="76"/>
  <c r="I22" i="76"/>
  <c r="F22" i="76"/>
  <c r="E22" i="76"/>
  <c r="B22" i="76"/>
  <c r="A22" i="76"/>
  <c r="N21" i="76"/>
  <c r="M21" i="76"/>
  <c r="J21" i="76"/>
  <c r="I21" i="76"/>
  <c r="F21" i="76"/>
  <c r="E21" i="76"/>
  <c r="B21" i="76"/>
  <c r="A21" i="76"/>
  <c r="N20" i="76"/>
  <c r="M20" i="76"/>
  <c r="J20" i="76"/>
  <c r="I20" i="76"/>
  <c r="F20" i="76"/>
  <c r="E20" i="76"/>
  <c r="B20" i="76"/>
  <c r="A20" i="76"/>
  <c r="P19" i="76"/>
  <c r="N19" i="76"/>
  <c r="M19" i="76"/>
  <c r="J19" i="76"/>
  <c r="I19" i="76"/>
  <c r="F19" i="76"/>
  <c r="E19" i="76"/>
  <c r="B19" i="76"/>
  <c r="A19" i="76"/>
  <c r="N18" i="76"/>
  <c r="M18" i="76"/>
  <c r="J18" i="76"/>
  <c r="I18" i="76"/>
  <c r="F18" i="76"/>
  <c r="E18" i="76"/>
  <c r="B18" i="76"/>
  <c r="A18" i="76"/>
  <c r="N17" i="76"/>
  <c r="M17" i="76"/>
  <c r="J17" i="76"/>
  <c r="I17" i="76"/>
  <c r="F17" i="76"/>
  <c r="E17" i="76"/>
  <c r="B17" i="76"/>
  <c r="A17" i="76"/>
  <c r="H16" i="76"/>
  <c r="N14" i="76"/>
  <c r="M14" i="76"/>
  <c r="J14" i="76"/>
  <c r="I14" i="76"/>
  <c r="F14" i="76"/>
  <c r="E14" i="76"/>
  <c r="B14" i="76"/>
  <c r="A14" i="76"/>
  <c r="J13" i="76"/>
  <c r="I13" i="76"/>
  <c r="F13" i="76"/>
  <c r="E13" i="76"/>
  <c r="B13" i="76"/>
  <c r="A13" i="76"/>
  <c r="N12" i="76"/>
  <c r="M12" i="76"/>
  <c r="J12" i="76"/>
  <c r="I12" i="76"/>
  <c r="F12" i="76"/>
  <c r="E12" i="76"/>
  <c r="B12" i="76"/>
  <c r="A12" i="76"/>
  <c r="N11" i="76"/>
  <c r="M11" i="76"/>
  <c r="J11" i="76"/>
  <c r="I11" i="76"/>
  <c r="F11" i="76"/>
  <c r="E11" i="76"/>
  <c r="B11" i="76"/>
  <c r="A11" i="76"/>
  <c r="N10" i="76"/>
  <c r="M10" i="76"/>
  <c r="J10" i="76"/>
  <c r="I10" i="76"/>
  <c r="F10" i="76"/>
  <c r="E10" i="76"/>
  <c r="B10" i="76"/>
  <c r="A10" i="76"/>
  <c r="N9" i="76"/>
  <c r="M9" i="76"/>
  <c r="J9" i="76"/>
  <c r="I9" i="76"/>
  <c r="F9" i="76"/>
  <c r="E9" i="76"/>
  <c r="B9" i="76"/>
  <c r="A9" i="76"/>
  <c r="N8" i="76"/>
  <c r="M8" i="76"/>
  <c r="J8" i="76"/>
  <c r="I8" i="76"/>
  <c r="F8" i="76"/>
  <c r="E8" i="76"/>
  <c r="B8" i="76"/>
  <c r="A8" i="76"/>
  <c r="N7" i="76"/>
  <c r="M7" i="76"/>
  <c r="J7" i="76"/>
  <c r="I7" i="76"/>
  <c r="F7" i="76"/>
  <c r="E7" i="76"/>
  <c r="B7" i="76"/>
  <c r="A7" i="76"/>
  <c r="N6" i="76"/>
  <c r="M6" i="76"/>
  <c r="J6" i="76"/>
  <c r="I6" i="76"/>
  <c r="F6" i="76"/>
  <c r="E6" i="76"/>
  <c r="B6" i="76"/>
  <c r="A6" i="76"/>
  <c r="N5" i="76"/>
  <c r="M5" i="76"/>
  <c r="J5" i="76"/>
  <c r="I5" i="76"/>
  <c r="F5" i="76"/>
  <c r="E5" i="76"/>
  <c r="B5" i="76"/>
  <c r="A5" i="76"/>
  <c r="N4" i="76"/>
  <c r="M4" i="76"/>
  <c r="J4" i="76"/>
  <c r="I4" i="76"/>
  <c r="F4" i="76"/>
  <c r="E4" i="76"/>
  <c r="B4" i="76"/>
  <c r="A4" i="76"/>
  <c r="N3" i="76"/>
  <c r="M3" i="76"/>
  <c r="J3" i="76"/>
  <c r="I3" i="76"/>
  <c r="F3" i="76"/>
  <c r="E3" i="76"/>
  <c r="B3" i="76"/>
  <c r="A3" i="76"/>
  <c r="H2" i="76"/>
  <c r="BN372" i="41"/>
  <c r="BO372" i="41"/>
  <c r="BN373" i="41"/>
  <c r="BO373" i="41"/>
  <c r="BN374" i="41"/>
  <c r="BO374" i="41"/>
  <c r="BN375" i="41"/>
  <c r="BO375" i="41"/>
  <c r="BN350" i="41"/>
  <c r="BO350" i="41"/>
  <c r="BN351" i="41"/>
  <c r="BO351" i="41"/>
  <c r="BN352" i="41"/>
  <c r="BO352" i="41"/>
  <c r="BN353" i="41"/>
  <c r="BO353" i="41"/>
  <c r="BN354" i="41"/>
  <c r="BO354" i="41"/>
  <c r="BN355" i="41"/>
  <c r="BO355" i="41"/>
  <c r="BN356" i="41"/>
  <c r="BO356" i="41"/>
  <c r="BN357" i="41"/>
  <c r="BO357" i="41"/>
  <c r="BN358" i="41"/>
  <c r="BO358" i="41"/>
  <c r="BN359" i="41"/>
  <c r="BO359" i="41"/>
  <c r="BN360" i="41"/>
  <c r="BO360" i="41"/>
  <c r="BN361" i="41"/>
  <c r="BO361" i="41"/>
  <c r="BN362" i="41"/>
  <c r="BO362" i="41"/>
  <c r="BN364" i="41"/>
  <c r="BO364" i="41"/>
  <c r="BN334" i="41"/>
  <c r="BO334" i="41"/>
  <c r="BN335" i="41"/>
  <c r="BO335" i="41"/>
  <c r="BN336" i="41"/>
  <c r="BO336" i="41"/>
  <c r="BN337" i="41"/>
  <c r="BO337" i="41"/>
  <c r="BN338" i="41"/>
  <c r="BO338" i="41"/>
  <c r="BN339" i="41"/>
  <c r="BO339" i="41"/>
  <c r="BN340" i="41"/>
  <c r="BO340" i="41"/>
  <c r="BN341" i="41"/>
  <c r="BO341" i="41"/>
  <c r="BN342" i="41"/>
  <c r="BO342" i="41"/>
  <c r="BN299" i="41"/>
  <c r="BO299" i="41"/>
  <c r="BN300" i="41"/>
  <c r="BO300" i="41"/>
  <c r="BN301" i="41"/>
  <c r="BO301" i="41"/>
  <c r="BN302" i="41"/>
  <c r="BO302" i="41"/>
  <c r="BN303" i="41"/>
  <c r="BO303" i="41"/>
  <c r="BN304" i="41"/>
  <c r="BO304" i="41"/>
  <c r="BN305" i="41"/>
  <c r="BO305" i="41"/>
  <c r="BN306" i="41"/>
  <c r="BO306" i="41"/>
  <c r="BN307" i="41"/>
  <c r="BO307" i="41"/>
  <c r="BN308" i="41"/>
  <c r="BO308" i="41"/>
  <c r="BN309" i="41"/>
  <c r="BO309" i="41"/>
  <c r="BN310" i="41"/>
  <c r="BO310" i="41"/>
  <c r="BN311" i="41"/>
  <c r="BO311" i="41"/>
  <c r="BN312" i="41"/>
  <c r="BO312" i="41"/>
  <c r="BN313" i="41"/>
  <c r="BO313" i="41"/>
  <c r="BN314" i="41"/>
  <c r="BO314" i="41"/>
  <c r="BN315" i="41"/>
  <c r="BO315" i="41"/>
  <c r="BN316" i="41"/>
  <c r="BO316" i="41"/>
  <c r="BN317" i="41"/>
  <c r="BO317" i="41"/>
  <c r="BN318" i="41"/>
  <c r="BO318" i="41"/>
  <c r="BN319" i="41"/>
  <c r="BO319" i="41"/>
  <c r="BN320" i="41"/>
  <c r="BO320" i="41"/>
  <c r="BN321" i="41"/>
  <c r="BO321" i="41"/>
  <c r="BN322" i="41"/>
  <c r="BO322" i="41"/>
  <c r="BN323" i="41"/>
  <c r="BO323" i="41"/>
  <c r="BN324" i="41"/>
  <c r="BO324" i="41"/>
  <c r="BN325" i="41"/>
  <c r="BO325" i="41"/>
  <c r="BN326" i="41"/>
  <c r="BO326" i="41"/>
  <c r="BN265" i="41"/>
  <c r="BO265" i="41"/>
  <c r="BN266" i="41"/>
  <c r="BO266" i="41"/>
  <c r="BN267" i="41"/>
  <c r="BO267" i="41"/>
  <c r="BN268" i="41"/>
  <c r="BO268" i="41"/>
  <c r="BN269" i="41"/>
  <c r="BO269" i="41"/>
  <c r="BN270" i="41"/>
  <c r="BO270" i="41"/>
  <c r="BN271" i="41"/>
  <c r="BO271" i="41"/>
  <c r="BN272" i="41"/>
  <c r="BO272" i="41"/>
  <c r="BN273" i="41"/>
  <c r="BO273" i="41"/>
  <c r="BN274" i="41"/>
  <c r="BO274" i="41"/>
  <c r="BN275" i="41"/>
  <c r="BO275" i="41"/>
  <c r="BN276" i="41"/>
  <c r="BO276" i="41"/>
  <c r="BN277" i="41"/>
  <c r="BO277" i="41"/>
  <c r="BN278" i="41"/>
  <c r="BO278" i="41"/>
  <c r="BN279" i="41"/>
  <c r="BO279" i="41"/>
  <c r="BN280" i="41"/>
  <c r="BO280" i="41"/>
  <c r="BN281" i="41"/>
  <c r="BO281" i="41"/>
  <c r="BN282" i="41"/>
  <c r="BO282" i="41"/>
  <c r="BN283" i="41"/>
  <c r="BO283" i="41"/>
  <c r="BN284" i="41"/>
  <c r="BO284" i="41"/>
  <c r="BN285" i="41"/>
  <c r="BO285" i="41"/>
  <c r="BN286" i="41"/>
  <c r="BO286" i="41"/>
  <c r="BN287" i="41"/>
  <c r="BO287" i="41"/>
  <c r="BN288" i="41"/>
  <c r="BO288" i="41"/>
  <c r="BN289" i="41"/>
  <c r="BO289" i="41"/>
  <c r="BN290" i="41"/>
  <c r="BO290" i="41"/>
  <c r="BN291" i="41"/>
  <c r="BO291" i="41"/>
  <c r="BN253" i="41"/>
  <c r="BO253" i="41"/>
  <c r="BN254" i="41"/>
  <c r="BO254" i="41"/>
  <c r="BN255" i="41"/>
  <c r="BO255" i="41"/>
  <c r="BN256" i="41"/>
  <c r="BO256" i="41"/>
  <c r="BN257" i="41"/>
  <c r="BO257" i="41"/>
  <c r="BN227" i="41"/>
  <c r="BO227" i="41"/>
  <c r="BN228" i="41"/>
  <c r="BO228" i="41"/>
  <c r="BN229" i="41"/>
  <c r="BO229" i="41"/>
  <c r="BN230" i="41"/>
  <c r="BO230" i="41"/>
  <c r="BN231" i="41"/>
  <c r="BO231" i="41"/>
  <c r="BN232" i="41"/>
  <c r="BO232" i="41"/>
  <c r="BN233" i="41"/>
  <c r="BO233" i="41"/>
  <c r="BN234" i="41"/>
  <c r="BO234" i="41"/>
  <c r="BN235" i="41"/>
  <c r="BO235" i="41"/>
  <c r="BN237" i="41"/>
  <c r="BO237" i="41"/>
  <c r="BN238" i="41"/>
  <c r="BO238" i="41"/>
  <c r="BN239" i="41"/>
  <c r="BO239" i="41"/>
  <c r="BN240" i="41"/>
  <c r="BO240" i="41"/>
  <c r="BN241" i="41"/>
  <c r="BO241" i="41"/>
  <c r="BN242" i="41"/>
  <c r="BO242" i="41"/>
  <c r="BN243" i="41"/>
  <c r="BO243" i="41"/>
  <c r="BN244" i="41"/>
  <c r="G78" i="75" s="1"/>
  <c r="BO244" i="41"/>
  <c r="BN245" i="41"/>
  <c r="G79" i="75" s="1"/>
  <c r="BO245" i="41"/>
  <c r="BN203" i="41"/>
  <c r="BO203" i="41"/>
  <c r="BN204" i="41"/>
  <c r="BO204" i="41"/>
  <c r="BN205" i="41"/>
  <c r="BO205" i="41"/>
  <c r="BN206" i="41"/>
  <c r="BO206" i="41"/>
  <c r="BN207" i="41"/>
  <c r="BO207" i="41"/>
  <c r="BN208" i="41"/>
  <c r="BO208" i="41"/>
  <c r="BN209" i="41"/>
  <c r="BO209" i="41"/>
  <c r="BN210" i="41"/>
  <c r="BO210" i="41"/>
  <c r="BN211" i="41"/>
  <c r="BO211" i="41"/>
  <c r="BN212" i="41"/>
  <c r="BO212" i="41"/>
  <c r="BN213" i="41"/>
  <c r="BO213" i="41"/>
  <c r="BN214" i="41"/>
  <c r="BO214" i="41"/>
  <c r="BN215" i="41"/>
  <c r="BO215" i="41"/>
  <c r="BN216" i="41"/>
  <c r="BO216" i="41"/>
  <c r="BN217" i="41"/>
  <c r="BO217" i="41"/>
  <c r="BN218" i="41"/>
  <c r="BO218" i="41"/>
  <c r="BN219" i="41"/>
  <c r="BO219" i="41"/>
  <c r="BN220" i="41"/>
  <c r="BO220" i="41"/>
  <c r="BN167" i="41"/>
  <c r="BO167" i="41"/>
  <c r="BN168" i="41"/>
  <c r="BO168" i="41"/>
  <c r="BN169" i="41"/>
  <c r="BO169" i="41"/>
  <c r="BN170" i="41"/>
  <c r="BO170" i="41"/>
  <c r="BN171" i="41"/>
  <c r="BO171" i="41"/>
  <c r="BN172" i="41"/>
  <c r="BO172" i="41"/>
  <c r="BN173" i="41"/>
  <c r="BO173" i="41"/>
  <c r="BN174" i="41"/>
  <c r="BO174" i="41"/>
  <c r="BN175" i="41"/>
  <c r="BO175" i="41"/>
  <c r="BN176" i="41"/>
  <c r="BO176" i="41"/>
  <c r="BN177" i="41"/>
  <c r="BO177" i="41"/>
  <c r="BN178" i="41"/>
  <c r="BO178" i="41"/>
  <c r="BN179" i="41"/>
  <c r="BO179" i="41"/>
  <c r="BN180" i="41"/>
  <c r="BO180" i="41"/>
  <c r="BN181" i="41"/>
  <c r="BO181" i="41"/>
  <c r="BN182" i="41"/>
  <c r="BO182" i="41"/>
  <c r="BN183" i="41"/>
  <c r="BO183" i="41"/>
  <c r="BN184" i="41"/>
  <c r="BO184" i="41"/>
  <c r="BN185" i="41"/>
  <c r="BO185" i="41"/>
  <c r="BN186" i="41"/>
  <c r="BO186" i="41"/>
  <c r="BN187" i="41"/>
  <c r="BO187" i="41"/>
  <c r="BN188" i="41"/>
  <c r="BO188" i="41"/>
  <c r="BN189" i="41"/>
  <c r="BO189" i="41"/>
  <c r="BN190" i="41"/>
  <c r="BO190" i="41"/>
  <c r="BN191" i="41"/>
  <c r="BO191" i="41"/>
  <c r="BN192" i="41"/>
  <c r="BO192" i="41"/>
  <c r="BN193" i="41"/>
  <c r="BO193" i="41"/>
  <c r="BN194" i="41"/>
  <c r="BO194" i="41"/>
  <c r="BN195" i="41"/>
  <c r="BO195" i="41"/>
  <c r="BN149" i="41"/>
  <c r="BO149" i="41"/>
  <c r="BN150" i="41"/>
  <c r="BO150" i="41"/>
  <c r="BN151" i="41"/>
  <c r="BO151" i="41"/>
  <c r="BN152" i="41"/>
  <c r="BO152" i="41"/>
  <c r="BN153" i="41"/>
  <c r="BO153" i="41"/>
  <c r="BN154" i="41"/>
  <c r="BO154" i="41"/>
  <c r="BN155" i="41"/>
  <c r="BO155" i="41"/>
  <c r="BN156" i="41"/>
  <c r="BO156" i="41"/>
  <c r="BN157" i="41"/>
  <c r="BO157" i="41"/>
  <c r="BN158" i="41"/>
  <c r="BO158" i="41"/>
  <c r="BN159" i="41"/>
  <c r="BO159" i="41"/>
  <c r="BN137" i="41"/>
  <c r="BO137" i="41"/>
  <c r="BN135" i="41"/>
  <c r="BO135" i="41"/>
  <c r="BN138" i="41"/>
  <c r="BO138" i="41"/>
  <c r="BN140" i="41"/>
  <c r="BO140" i="41"/>
  <c r="BN132" i="41"/>
  <c r="BO132" i="41"/>
  <c r="BN134" i="41"/>
  <c r="BO134" i="41"/>
  <c r="BN139" i="41"/>
  <c r="BO139" i="41"/>
  <c r="BN141" i="41"/>
  <c r="BO141" i="41"/>
  <c r="BN115" i="41"/>
  <c r="BO115" i="41"/>
  <c r="BN116" i="41"/>
  <c r="BO116" i="41"/>
  <c r="BN117" i="41"/>
  <c r="BO117" i="41"/>
  <c r="BN118" i="41"/>
  <c r="BO118" i="41"/>
  <c r="BN119" i="41"/>
  <c r="BO119" i="41"/>
  <c r="BN120" i="41"/>
  <c r="BO120" i="41"/>
  <c r="BN121" i="41"/>
  <c r="BO121" i="41"/>
  <c r="BN122" i="41"/>
  <c r="BO122" i="41"/>
  <c r="BN123" i="41"/>
  <c r="BO123" i="41"/>
  <c r="BN124" i="41"/>
  <c r="BO124" i="41"/>
  <c r="BN125" i="41"/>
  <c r="BO125" i="41"/>
  <c r="BN104" i="41"/>
  <c r="BO104" i="41"/>
  <c r="BN105" i="41"/>
  <c r="BO105" i="41"/>
  <c r="BN106" i="41"/>
  <c r="BO106" i="41"/>
  <c r="BN107" i="41"/>
  <c r="BO107" i="41"/>
  <c r="BN95" i="41"/>
  <c r="BO95" i="41"/>
  <c r="BN96" i="41"/>
  <c r="BO96" i="41"/>
  <c r="BN81" i="41"/>
  <c r="BO81" i="41"/>
  <c r="BN82" i="41"/>
  <c r="BO82" i="41"/>
  <c r="BN83" i="41"/>
  <c r="BO83" i="41"/>
  <c r="BN84" i="41"/>
  <c r="BO84" i="41"/>
  <c r="BN85" i="41"/>
  <c r="BO85" i="41"/>
  <c r="BN86" i="41"/>
  <c r="BO86" i="41"/>
  <c r="BN87" i="41"/>
  <c r="BO87" i="41"/>
  <c r="BN88" i="41"/>
  <c r="BO88" i="41"/>
  <c r="BN72" i="41"/>
  <c r="BO72" i="41"/>
  <c r="BN73" i="41"/>
  <c r="BO73" i="41"/>
  <c r="BN74" i="41"/>
  <c r="BO74" i="41"/>
  <c r="BN61" i="41"/>
  <c r="BO61" i="41"/>
  <c r="BN62" i="41"/>
  <c r="BO62" i="41"/>
  <c r="BN63" i="41"/>
  <c r="BO63" i="41"/>
  <c r="BN64" i="41"/>
  <c r="BO64" i="41"/>
  <c r="BN65" i="41"/>
  <c r="BO65" i="41"/>
  <c r="BN31" i="41"/>
  <c r="BO31" i="41"/>
  <c r="BN32" i="41"/>
  <c r="BO32" i="41"/>
  <c r="BN33" i="41"/>
  <c r="BO33" i="41"/>
  <c r="BN34" i="41"/>
  <c r="BO34" i="41"/>
  <c r="BN35" i="41"/>
  <c r="BO35" i="41"/>
  <c r="BN36" i="41"/>
  <c r="BO36" i="41"/>
  <c r="BN37" i="41"/>
  <c r="BO37" i="41"/>
  <c r="BN38" i="41"/>
  <c r="BO38" i="41"/>
  <c r="BN39" i="41"/>
  <c r="BO39" i="41"/>
  <c r="BN40" i="41"/>
  <c r="BO40" i="41"/>
  <c r="BN41" i="41"/>
  <c r="BO41" i="41"/>
  <c r="BN42" i="41"/>
  <c r="BO42" i="41"/>
  <c r="BN43" i="41"/>
  <c r="BO43" i="41"/>
  <c r="BN44" i="41"/>
  <c r="BO44" i="41"/>
  <c r="BN45" i="41"/>
  <c r="BO45" i="41"/>
  <c r="BN46" i="41"/>
  <c r="BO46" i="41"/>
  <c r="BN47" i="41"/>
  <c r="BO47" i="41"/>
  <c r="BN48" i="41"/>
  <c r="BO48" i="41"/>
  <c r="BN49" i="41"/>
  <c r="BO49" i="41"/>
  <c r="BN50" i="41"/>
  <c r="BO50" i="41"/>
  <c r="BN51" i="41"/>
  <c r="BO51" i="41"/>
  <c r="BN52" i="41"/>
  <c r="BO52" i="41"/>
  <c r="BN53" i="41"/>
  <c r="BO53" i="41"/>
  <c r="BN402" i="41"/>
  <c r="BO402" i="41"/>
  <c r="BN403" i="41"/>
  <c r="BO403" i="41"/>
  <c r="BO371" i="41"/>
  <c r="BN371" i="41"/>
  <c r="BO349" i="41"/>
  <c r="BN349" i="41"/>
  <c r="BO333" i="41"/>
  <c r="BN333" i="41"/>
  <c r="BO298" i="41"/>
  <c r="BN298" i="41"/>
  <c r="BO264" i="41"/>
  <c r="BN264" i="41"/>
  <c r="BO252" i="41"/>
  <c r="BN252" i="41"/>
  <c r="BO202" i="41"/>
  <c r="BN202" i="41"/>
  <c r="BO166" i="41"/>
  <c r="BN166" i="41"/>
  <c r="BO148" i="41"/>
  <c r="BN148" i="41"/>
  <c r="BO136" i="41"/>
  <c r="BN136" i="41"/>
  <c r="BO114" i="41"/>
  <c r="BN114" i="41"/>
  <c r="BO103" i="41"/>
  <c r="BN103" i="41"/>
  <c r="BO94" i="41"/>
  <c r="BN94" i="41"/>
  <c r="BO80" i="41"/>
  <c r="BN80" i="41"/>
  <c r="BO71" i="41"/>
  <c r="BN71" i="41"/>
  <c r="BO60" i="41"/>
  <c r="BN60" i="41"/>
  <c r="BO30" i="41"/>
  <c r="BN30" i="41"/>
  <c r="BN5" i="41"/>
  <c r="BO5" i="41"/>
  <c r="BN6" i="41"/>
  <c r="BO6" i="41"/>
  <c r="BN7" i="41"/>
  <c r="BO7" i="41"/>
  <c r="BN8" i="41"/>
  <c r="BO8" i="41"/>
  <c r="BN9" i="41"/>
  <c r="BO9" i="41"/>
  <c r="BN10" i="41"/>
  <c r="BO10" i="41"/>
  <c r="BN11" i="41"/>
  <c r="BO11" i="41"/>
  <c r="BN12" i="41"/>
  <c r="BO12" i="41"/>
  <c r="BN13" i="41"/>
  <c r="BO13" i="41"/>
  <c r="BN14" i="41"/>
  <c r="BO14" i="41"/>
  <c r="BN15" i="41"/>
  <c r="BO15" i="41"/>
  <c r="BN16" i="41"/>
  <c r="BO16" i="41"/>
  <c r="BN17" i="41"/>
  <c r="BO17" i="41"/>
  <c r="BN18" i="41"/>
  <c r="BO18" i="41"/>
  <c r="BN19" i="41"/>
  <c r="BO19" i="41"/>
  <c r="BN20" i="41"/>
  <c r="BO20" i="41"/>
  <c r="BN21" i="41"/>
  <c r="BO21" i="41"/>
  <c r="BN22" i="41"/>
  <c r="BO22" i="41"/>
  <c r="BN23" i="41"/>
  <c r="BO23" i="41"/>
  <c r="BN4" i="41"/>
  <c r="BO4" i="41"/>
  <c r="I91" i="75"/>
  <c r="I90" i="75"/>
  <c r="I89" i="75"/>
  <c r="I88" i="75"/>
  <c r="I87" i="75"/>
  <c r="I86" i="75"/>
  <c r="I85" i="75"/>
  <c r="I84" i="75"/>
  <c r="I83" i="75"/>
  <c r="A83" i="75"/>
  <c r="I82" i="75"/>
  <c r="A82" i="75"/>
  <c r="I81" i="75"/>
  <c r="A81" i="75"/>
  <c r="I80" i="75"/>
  <c r="I79" i="75"/>
  <c r="E79" i="75"/>
  <c r="I78" i="75"/>
  <c r="E78" i="75"/>
  <c r="I77" i="75"/>
  <c r="A77" i="75"/>
  <c r="I76" i="75"/>
  <c r="A76" i="75"/>
  <c r="I75" i="75"/>
  <c r="E75" i="75"/>
  <c r="A75" i="75"/>
  <c r="I74" i="75"/>
  <c r="E74" i="75"/>
  <c r="A74" i="75"/>
  <c r="I73" i="75"/>
  <c r="A73" i="75"/>
  <c r="I72" i="75"/>
  <c r="A72" i="75"/>
  <c r="I71" i="75"/>
  <c r="E71" i="75"/>
  <c r="A71" i="75"/>
  <c r="I70" i="75"/>
  <c r="E70" i="75"/>
  <c r="A70" i="75"/>
  <c r="I69" i="75"/>
  <c r="E69" i="75"/>
  <c r="A69" i="75"/>
  <c r="I68" i="75"/>
  <c r="E68" i="75"/>
  <c r="A68" i="75"/>
  <c r="I67" i="75"/>
  <c r="E67" i="75"/>
  <c r="A67" i="75"/>
  <c r="F56" i="75"/>
  <c r="E56" i="75"/>
  <c r="B56" i="75"/>
  <c r="A56" i="75"/>
  <c r="I55" i="75"/>
  <c r="F55" i="75"/>
  <c r="E55" i="75"/>
  <c r="B55" i="75"/>
  <c r="A55" i="75"/>
  <c r="I54" i="75"/>
  <c r="F54" i="75"/>
  <c r="E54" i="75"/>
  <c r="B54" i="75"/>
  <c r="A54" i="75"/>
  <c r="I53" i="75"/>
  <c r="F53" i="75"/>
  <c r="E53" i="75"/>
  <c r="B53" i="75"/>
  <c r="A53" i="75"/>
  <c r="I52" i="75"/>
  <c r="F52" i="75"/>
  <c r="E52" i="75"/>
  <c r="B52" i="75"/>
  <c r="A52" i="75"/>
  <c r="I51" i="75"/>
  <c r="F51" i="75"/>
  <c r="E51" i="75"/>
  <c r="B51" i="75"/>
  <c r="A51" i="75"/>
  <c r="I50" i="75"/>
  <c r="F50" i="75"/>
  <c r="E50" i="75"/>
  <c r="B50" i="75"/>
  <c r="A50" i="75"/>
  <c r="I49" i="75"/>
  <c r="F49" i="75"/>
  <c r="E49" i="75"/>
  <c r="B49" i="75"/>
  <c r="A49" i="75"/>
  <c r="I48" i="75"/>
  <c r="F48" i="75"/>
  <c r="E48" i="75"/>
  <c r="B48" i="75"/>
  <c r="A48" i="75"/>
  <c r="I47" i="75"/>
  <c r="F47" i="75"/>
  <c r="E47" i="75"/>
  <c r="B47" i="75"/>
  <c r="A47" i="75"/>
  <c r="I46" i="75"/>
  <c r="F46" i="75"/>
  <c r="E46" i="75"/>
  <c r="B46" i="75"/>
  <c r="A46" i="75"/>
  <c r="M44" i="75"/>
  <c r="N43" i="75"/>
  <c r="M43" i="75"/>
  <c r="F43" i="75"/>
  <c r="E43" i="75"/>
  <c r="B43" i="75"/>
  <c r="A43" i="75"/>
  <c r="B42" i="75"/>
  <c r="N41" i="75"/>
  <c r="M41" i="75"/>
  <c r="F41" i="75"/>
  <c r="E41" i="75"/>
  <c r="B41" i="75"/>
  <c r="A41" i="75"/>
  <c r="N40" i="75"/>
  <c r="M40" i="75"/>
  <c r="J40" i="75"/>
  <c r="I40" i="75"/>
  <c r="F40" i="75"/>
  <c r="E40" i="75"/>
  <c r="B40" i="75"/>
  <c r="A40" i="75"/>
  <c r="N39" i="75"/>
  <c r="M39" i="75"/>
  <c r="J39" i="75"/>
  <c r="I39" i="75"/>
  <c r="F39" i="75"/>
  <c r="E39" i="75"/>
  <c r="B39" i="75"/>
  <c r="A39" i="75"/>
  <c r="N38" i="75"/>
  <c r="M38" i="75"/>
  <c r="J38" i="75"/>
  <c r="I38" i="75"/>
  <c r="F38" i="75"/>
  <c r="E38" i="75"/>
  <c r="B38" i="75"/>
  <c r="A38" i="75"/>
  <c r="N37" i="75"/>
  <c r="M37" i="75"/>
  <c r="J37" i="75"/>
  <c r="I37" i="75"/>
  <c r="F37" i="75"/>
  <c r="E37" i="75"/>
  <c r="B37" i="75"/>
  <c r="A37" i="75"/>
  <c r="N36" i="75"/>
  <c r="M36" i="75"/>
  <c r="J36" i="75"/>
  <c r="I36" i="75"/>
  <c r="F36" i="75"/>
  <c r="E36" i="75"/>
  <c r="B36" i="75"/>
  <c r="A36" i="75"/>
  <c r="N35" i="75"/>
  <c r="M35" i="75"/>
  <c r="J35" i="75"/>
  <c r="I35" i="75"/>
  <c r="F35" i="75"/>
  <c r="E35" i="75"/>
  <c r="B35" i="75"/>
  <c r="A35" i="75"/>
  <c r="P34" i="75"/>
  <c r="N34" i="75"/>
  <c r="M34" i="75"/>
  <c r="J34" i="75"/>
  <c r="I34" i="75"/>
  <c r="F34" i="75"/>
  <c r="E34" i="75"/>
  <c r="B34" i="75"/>
  <c r="A34" i="75"/>
  <c r="N33" i="75"/>
  <c r="M33" i="75"/>
  <c r="J33" i="75"/>
  <c r="I33" i="75"/>
  <c r="F33" i="75"/>
  <c r="E33" i="75"/>
  <c r="B33" i="75"/>
  <c r="A33" i="75"/>
  <c r="N32" i="75"/>
  <c r="M32" i="75"/>
  <c r="J32" i="75"/>
  <c r="I32" i="75"/>
  <c r="F32" i="75"/>
  <c r="E32" i="75"/>
  <c r="B32" i="75"/>
  <c r="A32" i="75"/>
  <c r="N31" i="75"/>
  <c r="M31" i="75"/>
  <c r="J31" i="75"/>
  <c r="I31" i="75"/>
  <c r="F31" i="75"/>
  <c r="E31" i="75"/>
  <c r="B31" i="75"/>
  <c r="A31" i="75"/>
  <c r="H30" i="75"/>
  <c r="F28" i="75"/>
  <c r="E28" i="75"/>
  <c r="B28" i="75"/>
  <c r="A28" i="75"/>
  <c r="N27" i="75"/>
  <c r="M27" i="75"/>
  <c r="J27" i="75"/>
  <c r="I27" i="75"/>
  <c r="F27" i="75"/>
  <c r="E27" i="75"/>
  <c r="B27" i="75"/>
  <c r="A27" i="75"/>
  <c r="N26" i="75"/>
  <c r="M26" i="75"/>
  <c r="J26" i="75"/>
  <c r="I26" i="75"/>
  <c r="F26" i="75"/>
  <c r="E26" i="75"/>
  <c r="B26" i="75"/>
  <c r="A26" i="75"/>
  <c r="N25" i="75"/>
  <c r="M25" i="75"/>
  <c r="J25" i="75"/>
  <c r="I25" i="75"/>
  <c r="F25" i="75"/>
  <c r="E25" i="75"/>
  <c r="B25" i="75"/>
  <c r="A25" i="75"/>
  <c r="N24" i="75"/>
  <c r="M24" i="75"/>
  <c r="J24" i="75"/>
  <c r="I24" i="75"/>
  <c r="F24" i="75"/>
  <c r="E24" i="75"/>
  <c r="B24" i="75"/>
  <c r="A24" i="75"/>
  <c r="N23" i="75"/>
  <c r="M23" i="75"/>
  <c r="J23" i="75"/>
  <c r="I23" i="75"/>
  <c r="F23" i="75"/>
  <c r="E23" i="75"/>
  <c r="B23" i="75"/>
  <c r="A23" i="75"/>
  <c r="N22" i="75"/>
  <c r="M22" i="75"/>
  <c r="J22" i="75"/>
  <c r="I22" i="75"/>
  <c r="F22" i="75"/>
  <c r="E22" i="75"/>
  <c r="B22" i="75"/>
  <c r="A22" i="75"/>
  <c r="N21" i="75"/>
  <c r="M21" i="75"/>
  <c r="J21" i="75"/>
  <c r="I21" i="75"/>
  <c r="F21" i="75"/>
  <c r="E21" i="75"/>
  <c r="B21" i="75"/>
  <c r="A21" i="75"/>
  <c r="N20" i="75"/>
  <c r="M20" i="75"/>
  <c r="J20" i="75"/>
  <c r="I20" i="75"/>
  <c r="F20" i="75"/>
  <c r="E20" i="75"/>
  <c r="B20" i="75"/>
  <c r="A20" i="75"/>
  <c r="P19" i="75"/>
  <c r="N19" i="75"/>
  <c r="M19" i="75"/>
  <c r="J19" i="75"/>
  <c r="I19" i="75"/>
  <c r="F19" i="75"/>
  <c r="E19" i="75"/>
  <c r="B19" i="75"/>
  <c r="A19" i="75"/>
  <c r="N18" i="75"/>
  <c r="M18" i="75"/>
  <c r="J18" i="75"/>
  <c r="I18" i="75"/>
  <c r="F18" i="75"/>
  <c r="E18" i="75"/>
  <c r="B18" i="75"/>
  <c r="A18" i="75"/>
  <c r="N17" i="75"/>
  <c r="M17" i="75"/>
  <c r="J17" i="75"/>
  <c r="I17" i="75"/>
  <c r="F17" i="75"/>
  <c r="E17" i="75"/>
  <c r="B17" i="75"/>
  <c r="A17" i="75"/>
  <c r="H16" i="75"/>
  <c r="N14" i="75"/>
  <c r="M14" i="75"/>
  <c r="J14" i="75"/>
  <c r="I14" i="75"/>
  <c r="F14" i="75"/>
  <c r="E14" i="75"/>
  <c r="B14" i="75"/>
  <c r="A14" i="75"/>
  <c r="J13" i="75"/>
  <c r="I13" i="75"/>
  <c r="F13" i="75"/>
  <c r="E13" i="75"/>
  <c r="B13" i="75"/>
  <c r="A13" i="75"/>
  <c r="N12" i="75"/>
  <c r="M12" i="75"/>
  <c r="J12" i="75"/>
  <c r="I12" i="75"/>
  <c r="F12" i="75"/>
  <c r="E12" i="75"/>
  <c r="B12" i="75"/>
  <c r="A12" i="75"/>
  <c r="N11" i="75"/>
  <c r="M11" i="75"/>
  <c r="J11" i="75"/>
  <c r="I11" i="75"/>
  <c r="F11" i="75"/>
  <c r="E11" i="75"/>
  <c r="B11" i="75"/>
  <c r="A11" i="75"/>
  <c r="N10" i="75"/>
  <c r="M10" i="75"/>
  <c r="J10" i="75"/>
  <c r="I10" i="75"/>
  <c r="F10" i="75"/>
  <c r="E10" i="75"/>
  <c r="B10" i="75"/>
  <c r="A10" i="75"/>
  <c r="N9" i="75"/>
  <c r="M9" i="75"/>
  <c r="J9" i="75"/>
  <c r="I9" i="75"/>
  <c r="F9" i="75"/>
  <c r="E9" i="75"/>
  <c r="B9" i="75"/>
  <c r="A9" i="75"/>
  <c r="N8" i="75"/>
  <c r="M8" i="75"/>
  <c r="J8" i="75"/>
  <c r="I8" i="75"/>
  <c r="F8" i="75"/>
  <c r="E8" i="75"/>
  <c r="B8" i="75"/>
  <c r="A8" i="75"/>
  <c r="N7" i="75"/>
  <c r="M7" i="75"/>
  <c r="J7" i="75"/>
  <c r="I7" i="75"/>
  <c r="F7" i="75"/>
  <c r="E7" i="75"/>
  <c r="B7" i="75"/>
  <c r="A7" i="75"/>
  <c r="N6" i="75"/>
  <c r="M6" i="75"/>
  <c r="J6" i="75"/>
  <c r="I6" i="75"/>
  <c r="F6" i="75"/>
  <c r="E6" i="75"/>
  <c r="B6" i="75"/>
  <c r="A6" i="75"/>
  <c r="N5" i="75"/>
  <c r="M5" i="75"/>
  <c r="J5" i="75"/>
  <c r="I5" i="75"/>
  <c r="F5" i="75"/>
  <c r="E5" i="75"/>
  <c r="B5" i="75"/>
  <c r="A5" i="75"/>
  <c r="N4" i="75"/>
  <c r="M4" i="75"/>
  <c r="J4" i="75"/>
  <c r="I4" i="75"/>
  <c r="F4" i="75"/>
  <c r="E4" i="75"/>
  <c r="B4" i="75"/>
  <c r="A4" i="75"/>
  <c r="N3" i="75"/>
  <c r="M3" i="75"/>
  <c r="J3" i="75"/>
  <c r="I3" i="75"/>
  <c r="F3" i="75"/>
  <c r="E3" i="75"/>
  <c r="B3" i="75"/>
  <c r="A3" i="75"/>
  <c r="H2" i="75"/>
  <c r="M44" i="62"/>
  <c r="I68" i="62"/>
  <c r="I69" i="62"/>
  <c r="I70" i="62"/>
  <c r="I71" i="62"/>
  <c r="I72" i="62"/>
  <c r="I73" i="62"/>
  <c r="I74" i="62"/>
  <c r="I75" i="62"/>
  <c r="I76" i="62"/>
  <c r="I77" i="62"/>
  <c r="I78" i="62"/>
  <c r="I79" i="62"/>
  <c r="I80" i="62"/>
  <c r="I81" i="62"/>
  <c r="I82" i="62"/>
  <c r="I83" i="62"/>
  <c r="I84" i="62"/>
  <c r="I85" i="62"/>
  <c r="E68" i="62"/>
  <c r="E69" i="62"/>
  <c r="E70" i="62"/>
  <c r="E71" i="62"/>
  <c r="A68" i="62"/>
  <c r="A69" i="62"/>
  <c r="A70" i="62"/>
  <c r="A71" i="62"/>
  <c r="A72" i="62"/>
  <c r="A73" i="62"/>
  <c r="A74" i="62"/>
  <c r="A75" i="62"/>
  <c r="A76" i="62"/>
  <c r="A77" i="62"/>
  <c r="I55" i="62"/>
  <c r="I47" i="62"/>
  <c r="I48" i="62"/>
  <c r="I49" i="62"/>
  <c r="I50" i="62"/>
  <c r="I51" i="62"/>
  <c r="I52" i="62"/>
  <c r="I53" i="62"/>
  <c r="I54" i="62"/>
  <c r="E47" i="62"/>
  <c r="F47" i="62"/>
  <c r="E48" i="62"/>
  <c r="F48" i="62"/>
  <c r="E49" i="62"/>
  <c r="F49" i="62"/>
  <c r="E50" i="62"/>
  <c r="F50" i="62"/>
  <c r="E51" i="62"/>
  <c r="F51" i="62"/>
  <c r="E52" i="62"/>
  <c r="F52" i="62"/>
  <c r="E53" i="62"/>
  <c r="F53" i="62"/>
  <c r="E54" i="62"/>
  <c r="F54" i="62"/>
  <c r="E55" i="62"/>
  <c r="F55" i="62"/>
  <c r="A47" i="62"/>
  <c r="B47" i="62"/>
  <c r="A48" i="62"/>
  <c r="B48" i="62"/>
  <c r="A49" i="62"/>
  <c r="B49" i="62"/>
  <c r="A50" i="62"/>
  <c r="B50" i="62"/>
  <c r="A51" i="62"/>
  <c r="B51" i="62"/>
  <c r="A52" i="62"/>
  <c r="B52" i="62"/>
  <c r="A53" i="62"/>
  <c r="B53" i="62"/>
  <c r="A54" i="62"/>
  <c r="B54" i="62"/>
  <c r="A55" i="62"/>
  <c r="B55" i="62"/>
  <c r="A56" i="62"/>
  <c r="B56" i="62"/>
  <c r="M32" i="62"/>
  <c r="N32" i="62"/>
  <c r="M33" i="62"/>
  <c r="N33" i="62"/>
  <c r="M34" i="62"/>
  <c r="N34" i="62"/>
  <c r="M35" i="62"/>
  <c r="N35" i="62"/>
  <c r="M36" i="62"/>
  <c r="N36" i="62"/>
  <c r="M37" i="62"/>
  <c r="N37" i="62"/>
  <c r="M38" i="62"/>
  <c r="N38" i="62"/>
  <c r="M39" i="62"/>
  <c r="N39" i="62"/>
  <c r="M40" i="62"/>
  <c r="N40" i="62"/>
  <c r="M41" i="62"/>
  <c r="N41" i="62"/>
  <c r="I32" i="62"/>
  <c r="J32" i="62"/>
  <c r="I33" i="62"/>
  <c r="J33" i="62"/>
  <c r="I34" i="62"/>
  <c r="J34" i="62"/>
  <c r="I35" i="62"/>
  <c r="J35" i="62"/>
  <c r="I36" i="62"/>
  <c r="J36" i="62"/>
  <c r="I37" i="62"/>
  <c r="J37" i="62"/>
  <c r="I38" i="62"/>
  <c r="J38" i="62"/>
  <c r="I39" i="62"/>
  <c r="J39" i="62"/>
  <c r="I40" i="62"/>
  <c r="J40" i="62"/>
  <c r="E32" i="62"/>
  <c r="F32" i="62"/>
  <c r="E33" i="62"/>
  <c r="F33" i="62"/>
  <c r="E34" i="62"/>
  <c r="F34" i="62"/>
  <c r="E35" i="62"/>
  <c r="F35" i="62"/>
  <c r="E36" i="62"/>
  <c r="F36" i="62"/>
  <c r="E37" i="62"/>
  <c r="F37" i="62"/>
  <c r="E38" i="62"/>
  <c r="F38" i="62"/>
  <c r="E39" i="62"/>
  <c r="F39" i="62"/>
  <c r="E40" i="62"/>
  <c r="F40" i="62"/>
  <c r="E41" i="62"/>
  <c r="F41" i="62"/>
  <c r="A32" i="62"/>
  <c r="B32" i="62"/>
  <c r="A33" i="62"/>
  <c r="B33" i="62"/>
  <c r="A34" i="62"/>
  <c r="B34" i="62"/>
  <c r="A35" i="62"/>
  <c r="B35" i="62"/>
  <c r="A36" i="62"/>
  <c r="B36" i="62"/>
  <c r="A37" i="62"/>
  <c r="B37" i="62"/>
  <c r="A38" i="62"/>
  <c r="B38" i="62"/>
  <c r="A39" i="62"/>
  <c r="B39" i="62"/>
  <c r="A40" i="62"/>
  <c r="B40" i="62"/>
  <c r="A41" i="62"/>
  <c r="B41" i="62"/>
  <c r="M18" i="62"/>
  <c r="N18" i="62"/>
  <c r="M19" i="62"/>
  <c r="N19" i="62"/>
  <c r="M20" i="62"/>
  <c r="N20" i="62"/>
  <c r="M21" i="62"/>
  <c r="N21" i="62"/>
  <c r="M22" i="62"/>
  <c r="N22" i="62"/>
  <c r="M23" i="62"/>
  <c r="N23" i="62"/>
  <c r="M24" i="62"/>
  <c r="N24" i="62"/>
  <c r="M25" i="62"/>
  <c r="N25" i="62"/>
  <c r="M26" i="62"/>
  <c r="N26" i="62"/>
  <c r="M27" i="62"/>
  <c r="N27" i="62"/>
  <c r="I18" i="62"/>
  <c r="J18" i="62"/>
  <c r="I19" i="62"/>
  <c r="J19" i="62"/>
  <c r="I20" i="62"/>
  <c r="J20" i="62"/>
  <c r="I21" i="62"/>
  <c r="J21" i="62"/>
  <c r="I22" i="62"/>
  <c r="J22" i="62"/>
  <c r="I23" i="62"/>
  <c r="J23" i="62"/>
  <c r="I24" i="62"/>
  <c r="J24" i="62"/>
  <c r="I25" i="62"/>
  <c r="J25" i="62"/>
  <c r="I26" i="62"/>
  <c r="J26" i="62"/>
  <c r="I27" i="62"/>
  <c r="J27" i="62"/>
  <c r="E18" i="62"/>
  <c r="F18" i="62"/>
  <c r="E19" i="62"/>
  <c r="F19" i="62"/>
  <c r="E20" i="62"/>
  <c r="F20" i="62"/>
  <c r="E21" i="62"/>
  <c r="F21" i="62"/>
  <c r="E22" i="62"/>
  <c r="F22" i="62"/>
  <c r="E23" i="62"/>
  <c r="F23" i="62"/>
  <c r="E24" i="62"/>
  <c r="F24" i="62"/>
  <c r="E25" i="62"/>
  <c r="F25" i="62"/>
  <c r="E26" i="62"/>
  <c r="F26" i="62"/>
  <c r="E27" i="62"/>
  <c r="F27" i="62"/>
  <c r="A18" i="62"/>
  <c r="B18" i="62"/>
  <c r="A19" i="62"/>
  <c r="B19" i="62"/>
  <c r="A20" i="62"/>
  <c r="B20" i="62"/>
  <c r="A21" i="62"/>
  <c r="B21" i="62"/>
  <c r="A22" i="62"/>
  <c r="B22" i="62"/>
  <c r="A23" i="62"/>
  <c r="B23" i="62"/>
  <c r="A24" i="62"/>
  <c r="B24" i="62"/>
  <c r="A25" i="62"/>
  <c r="B25" i="62"/>
  <c r="A26" i="62"/>
  <c r="B26" i="62"/>
  <c r="A27" i="62"/>
  <c r="B27" i="62"/>
  <c r="M4" i="62"/>
  <c r="N4" i="62"/>
  <c r="M5" i="62"/>
  <c r="N5" i="62"/>
  <c r="M6" i="62"/>
  <c r="N6" i="62"/>
  <c r="M7" i="62"/>
  <c r="N7" i="62"/>
  <c r="M8" i="62"/>
  <c r="N8" i="62"/>
  <c r="M9" i="62"/>
  <c r="N9" i="62"/>
  <c r="M10" i="62"/>
  <c r="N10" i="62"/>
  <c r="M11" i="62"/>
  <c r="N11" i="62"/>
  <c r="M12" i="62"/>
  <c r="N12" i="62"/>
  <c r="I4" i="62"/>
  <c r="J4" i="62"/>
  <c r="I5" i="62"/>
  <c r="J5" i="62"/>
  <c r="I6" i="62"/>
  <c r="J6" i="62"/>
  <c r="I7" i="62"/>
  <c r="J7" i="62"/>
  <c r="I8" i="62"/>
  <c r="J8" i="62"/>
  <c r="I9" i="62"/>
  <c r="J9" i="62"/>
  <c r="I10" i="62"/>
  <c r="J10" i="62"/>
  <c r="I11" i="62"/>
  <c r="J11" i="62"/>
  <c r="I12" i="62"/>
  <c r="J12" i="62"/>
  <c r="I13" i="62"/>
  <c r="J13" i="62"/>
  <c r="A81" i="62"/>
  <c r="A82" i="62"/>
  <c r="A83" i="62"/>
  <c r="E4" i="62"/>
  <c r="E5" i="62"/>
  <c r="E6" i="62"/>
  <c r="E7" i="62"/>
  <c r="E8" i="62"/>
  <c r="E9" i="62"/>
  <c r="E10" i="62"/>
  <c r="E11" i="62"/>
  <c r="E12" i="62"/>
  <c r="E13" i="62"/>
  <c r="A4" i="62"/>
  <c r="C4" i="62" s="1"/>
  <c r="A5" i="62"/>
  <c r="C5" i="62" s="1"/>
  <c r="A6" i="62"/>
  <c r="C6" i="62" s="1"/>
  <c r="A7" i="62"/>
  <c r="C7" i="62" s="1"/>
  <c r="A8" i="62"/>
  <c r="C8" i="62" s="1"/>
  <c r="A9" i="62"/>
  <c r="C9" i="62" s="1"/>
  <c r="A10" i="62"/>
  <c r="C10" i="62" s="1"/>
  <c r="A11" i="62"/>
  <c r="C11" i="62" s="1"/>
  <c r="A12" i="62"/>
  <c r="C12" i="62" s="1"/>
  <c r="A13" i="62"/>
  <c r="C13" i="62" s="1"/>
  <c r="A14" i="62"/>
  <c r="C14" i="62" s="1"/>
  <c r="AK390" i="43"/>
  <c r="AI390" i="43"/>
  <c r="BL380" i="43"/>
  <c r="BJ380" i="43"/>
  <c r="BH380" i="43"/>
  <c r="BF380" i="43"/>
  <c r="BD380" i="43"/>
  <c r="BB380" i="43"/>
  <c r="AZ380" i="43"/>
  <c r="AX380" i="43"/>
  <c r="AV380" i="43"/>
  <c r="AT380" i="43"/>
  <c r="AR380" i="43"/>
  <c r="AP380" i="43"/>
  <c r="AN380" i="43"/>
  <c r="AL380" i="43"/>
  <c r="AJ380" i="43"/>
  <c r="AH380" i="43"/>
  <c r="BM376" i="43"/>
  <c r="BM401" i="43" s="1"/>
  <c r="BL376" i="43"/>
  <c r="BL401" i="43" s="1"/>
  <c r="BK376" i="43"/>
  <c r="BK401" i="43" s="1"/>
  <c r="BJ376" i="43"/>
  <c r="BJ401" i="43" s="1"/>
  <c r="BI376" i="43"/>
  <c r="BI401" i="43" s="1"/>
  <c r="BH376" i="43"/>
  <c r="BH401" i="43" s="1"/>
  <c r="BG376" i="43"/>
  <c r="BG401" i="43" s="1"/>
  <c r="BF376" i="43"/>
  <c r="BF401" i="43" s="1"/>
  <c r="BE376" i="43"/>
  <c r="BE401" i="43" s="1"/>
  <c r="BD376" i="43"/>
  <c r="BD401" i="43" s="1"/>
  <c r="BC376" i="43"/>
  <c r="BC401" i="43" s="1"/>
  <c r="BB376" i="43"/>
  <c r="BB401" i="43" s="1"/>
  <c r="BA376" i="43"/>
  <c r="BA401" i="43" s="1"/>
  <c r="AZ376" i="43"/>
  <c r="AZ401" i="43" s="1"/>
  <c r="AY376" i="43"/>
  <c r="AY401" i="43" s="1"/>
  <c r="AX376" i="43"/>
  <c r="AX401" i="43" s="1"/>
  <c r="AW376" i="43"/>
  <c r="AW401" i="43" s="1"/>
  <c r="AV376" i="43"/>
  <c r="AV401" i="43" s="1"/>
  <c r="AU376" i="43"/>
  <c r="AU401" i="43" s="1"/>
  <c r="AT376" i="43"/>
  <c r="AT401" i="43" s="1"/>
  <c r="AS376" i="43"/>
  <c r="AS401" i="43" s="1"/>
  <c r="AR376" i="43"/>
  <c r="AR401" i="43" s="1"/>
  <c r="AQ376" i="43"/>
  <c r="AQ401" i="43" s="1"/>
  <c r="AP376" i="43"/>
  <c r="AP401" i="43" s="1"/>
  <c r="AO376" i="43"/>
  <c r="AO401" i="43" s="1"/>
  <c r="AN376" i="43"/>
  <c r="AN401" i="43" s="1"/>
  <c r="AM376" i="43"/>
  <c r="AM401" i="43" s="1"/>
  <c r="AL376" i="43"/>
  <c r="AL401" i="43" s="1"/>
  <c r="AK376" i="43"/>
  <c r="AK401" i="43" s="1"/>
  <c r="AJ376" i="43"/>
  <c r="AJ401" i="43" s="1"/>
  <c r="AI376" i="43"/>
  <c r="AI401" i="43" s="1"/>
  <c r="AH376" i="43"/>
  <c r="AH401" i="43" s="1"/>
  <c r="BL369" i="43"/>
  <c r="BJ369" i="43"/>
  <c r="BH369" i="43"/>
  <c r="BF369" i="43"/>
  <c r="BD369" i="43"/>
  <c r="BB369" i="43"/>
  <c r="AZ369" i="43"/>
  <c r="AX369" i="43"/>
  <c r="AV369" i="43"/>
  <c r="AT369" i="43"/>
  <c r="AR369" i="43"/>
  <c r="AP369" i="43"/>
  <c r="AN369" i="43"/>
  <c r="AL369" i="43"/>
  <c r="AJ369" i="43"/>
  <c r="AH369" i="43"/>
  <c r="BM400" i="43"/>
  <c r="BL400" i="43"/>
  <c r="BK400" i="43"/>
  <c r="BJ400" i="43"/>
  <c r="BI400" i="43"/>
  <c r="BH400" i="43"/>
  <c r="BG400" i="43"/>
  <c r="BF400" i="43"/>
  <c r="BE400" i="43"/>
  <c r="BD400" i="43"/>
  <c r="BC400" i="43"/>
  <c r="BB400" i="43"/>
  <c r="BA400" i="43"/>
  <c r="AZ400" i="43"/>
  <c r="AY400" i="43"/>
  <c r="AX400" i="43"/>
  <c r="AW400" i="43"/>
  <c r="AV400" i="43"/>
  <c r="AU400" i="43"/>
  <c r="AT400" i="43"/>
  <c r="AS400" i="43"/>
  <c r="AR400" i="43"/>
  <c r="AQ400" i="43"/>
  <c r="AP400" i="43"/>
  <c r="AO400" i="43"/>
  <c r="AN400" i="43"/>
  <c r="AM400" i="43"/>
  <c r="AL400" i="43"/>
  <c r="AK400" i="43"/>
  <c r="AJ400" i="43"/>
  <c r="AI400" i="43"/>
  <c r="AH400" i="43"/>
  <c r="BL347" i="43"/>
  <c r="BJ347" i="43"/>
  <c r="BH347" i="43"/>
  <c r="BF347" i="43"/>
  <c r="BD347" i="43"/>
  <c r="BB347" i="43"/>
  <c r="AZ347" i="43"/>
  <c r="AX347" i="43"/>
  <c r="AV347" i="43"/>
  <c r="AT347" i="43"/>
  <c r="AR347" i="43"/>
  <c r="AP347" i="43"/>
  <c r="AN347" i="43"/>
  <c r="AL347" i="43"/>
  <c r="AJ347" i="43"/>
  <c r="AH347" i="43"/>
  <c r="BM343" i="43"/>
  <c r="BM399" i="43" s="1"/>
  <c r="BL343" i="43"/>
  <c r="BL399" i="43" s="1"/>
  <c r="BK343" i="43"/>
  <c r="BK399" i="43" s="1"/>
  <c r="BJ343" i="43"/>
  <c r="BJ399" i="43" s="1"/>
  <c r="BI343" i="43"/>
  <c r="BI399" i="43" s="1"/>
  <c r="BH343" i="43"/>
  <c r="BH399" i="43" s="1"/>
  <c r="BG343" i="43"/>
  <c r="BG399" i="43" s="1"/>
  <c r="BF343" i="43"/>
  <c r="BF399" i="43" s="1"/>
  <c r="BE343" i="43"/>
  <c r="BE399" i="43" s="1"/>
  <c r="BD343" i="43"/>
  <c r="BD399" i="43" s="1"/>
  <c r="BC343" i="43"/>
  <c r="BC399" i="43" s="1"/>
  <c r="BB343" i="43"/>
  <c r="BB399" i="43" s="1"/>
  <c r="BA343" i="43"/>
  <c r="BA399" i="43" s="1"/>
  <c r="AZ343" i="43"/>
  <c r="AZ399" i="43" s="1"/>
  <c r="AY343" i="43"/>
  <c r="AY399" i="43" s="1"/>
  <c r="AX343" i="43"/>
  <c r="AX399" i="43" s="1"/>
  <c r="AW343" i="43"/>
  <c r="AW399" i="43" s="1"/>
  <c r="AV343" i="43"/>
  <c r="AV399" i="43" s="1"/>
  <c r="AU343" i="43"/>
  <c r="AU399" i="43" s="1"/>
  <c r="AT343" i="43"/>
  <c r="AT399" i="43" s="1"/>
  <c r="AS343" i="43"/>
  <c r="AS399" i="43" s="1"/>
  <c r="AR343" i="43"/>
  <c r="AR399" i="43" s="1"/>
  <c r="AQ343" i="43"/>
  <c r="AQ399" i="43" s="1"/>
  <c r="AP343" i="43"/>
  <c r="AP399" i="43" s="1"/>
  <c r="AO343" i="43"/>
  <c r="AO399" i="43" s="1"/>
  <c r="AN343" i="43"/>
  <c r="AN399" i="43" s="1"/>
  <c r="AM343" i="43"/>
  <c r="AM399" i="43" s="1"/>
  <c r="AL343" i="43"/>
  <c r="AL399" i="43" s="1"/>
  <c r="AK343" i="43"/>
  <c r="AK399" i="43" s="1"/>
  <c r="AJ343" i="43"/>
  <c r="AJ399" i="43" s="1"/>
  <c r="AI343" i="43"/>
  <c r="AI399" i="43" s="1"/>
  <c r="AH343" i="43"/>
  <c r="AH399" i="43" s="1"/>
  <c r="BL331" i="43"/>
  <c r="BJ331" i="43"/>
  <c r="BH331" i="43"/>
  <c r="BF331" i="43"/>
  <c r="BD331" i="43"/>
  <c r="BB331" i="43"/>
  <c r="AZ331" i="43"/>
  <c r="AX331" i="43"/>
  <c r="AV331" i="43"/>
  <c r="AT331" i="43"/>
  <c r="AR331" i="43"/>
  <c r="AP331" i="43"/>
  <c r="AN331" i="43"/>
  <c r="AL331" i="43"/>
  <c r="AJ331" i="43"/>
  <c r="AH331" i="43"/>
  <c r="BM327" i="43"/>
  <c r="BM398" i="43" s="1"/>
  <c r="BL327" i="43"/>
  <c r="BL398" i="43" s="1"/>
  <c r="BK327" i="43"/>
  <c r="BK398" i="43" s="1"/>
  <c r="BJ327" i="43"/>
  <c r="BJ398" i="43" s="1"/>
  <c r="BI327" i="43"/>
  <c r="BI398" i="43" s="1"/>
  <c r="BH327" i="43"/>
  <c r="BH398" i="43" s="1"/>
  <c r="BG327" i="43"/>
  <c r="BG398" i="43" s="1"/>
  <c r="BF327" i="43"/>
  <c r="BF398" i="43" s="1"/>
  <c r="BE327" i="43"/>
  <c r="BE398" i="43" s="1"/>
  <c r="BD327" i="43"/>
  <c r="BD398" i="43" s="1"/>
  <c r="BC327" i="43"/>
  <c r="BC398" i="43" s="1"/>
  <c r="BB327" i="43"/>
  <c r="BB398" i="43" s="1"/>
  <c r="BA327" i="43"/>
  <c r="BA398" i="43" s="1"/>
  <c r="AZ327" i="43"/>
  <c r="AZ398" i="43" s="1"/>
  <c r="AY327" i="43"/>
  <c r="AY398" i="43" s="1"/>
  <c r="AX327" i="43"/>
  <c r="AX398" i="43" s="1"/>
  <c r="AW327" i="43"/>
  <c r="AW398" i="43" s="1"/>
  <c r="AV327" i="43"/>
  <c r="AV398" i="43" s="1"/>
  <c r="AU327" i="43"/>
  <c r="AU398" i="43" s="1"/>
  <c r="AT327" i="43"/>
  <c r="AT398" i="43" s="1"/>
  <c r="AS327" i="43"/>
  <c r="AS398" i="43" s="1"/>
  <c r="AR327" i="43"/>
  <c r="AR398" i="43" s="1"/>
  <c r="AQ327" i="43"/>
  <c r="AQ398" i="43" s="1"/>
  <c r="AP327" i="43"/>
  <c r="AP398" i="43" s="1"/>
  <c r="AO327" i="43"/>
  <c r="AO398" i="43" s="1"/>
  <c r="AN327" i="43"/>
  <c r="AN398" i="43" s="1"/>
  <c r="AM327" i="43"/>
  <c r="AM398" i="43" s="1"/>
  <c r="AL327" i="43"/>
  <c r="AL398" i="43" s="1"/>
  <c r="AK327" i="43"/>
  <c r="AK398" i="43" s="1"/>
  <c r="AJ327" i="43"/>
  <c r="AJ398" i="43" s="1"/>
  <c r="AI327" i="43"/>
  <c r="AI398" i="43" s="1"/>
  <c r="AH327" i="43"/>
  <c r="AH398" i="43" s="1"/>
  <c r="BL296" i="43"/>
  <c r="BJ296" i="43"/>
  <c r="BH296" i="43"/>
  <c r="BF296" i="43"/>
  <c r="BD296" i="43"/>
  <c r="BB296" i="43"/>
  <c r="AZ296" i="43"/>
  <c r="AX296" i="43"/>
  <c r="AV296" i="43"/>
  <c r="AT296" i="43"/>
  <c r="AR296" i="43"/>
  <c r="AP296" i="43"/>
  <c r="AN296" i="43"/>
  <c r="AL296" i="43"/>
  <c r="AJ296" i="43"/>
  <c r="AH296" i="43"/>
  <c r="BM397" i="43"/>
  <c r="BL397" i="43"/>
  <c r="BK397" i="43"/>
  <c r="BJ397" i="43"/>
  <c r="BI397" i="43"/>
  <c r="BH397" i="43"/>
  <c r="BG397" i="43"/>
  <c r="BF397" i="43"/>
  <c r="BE397" i="43"/>
  <c r="BD397" i="43"/>
  <c r="BC397" i="43"/>
  <c r="BB397" i="43"/>
  <c r="BA397" i="43"/>
  <c r="AZ397" i="43"/>
  <c r="AY397" i="43"/>
  <c r="AX397" i="43"/>
  <c r="AW397" i="43"/>
  <c r="AV397" i="43"/>
  <c r="AU397" i="43"/>
  <c r="AT397" i="43"/>
  <c r="AS397" i="43"/>
  <c r="AR397" i="43"/>
  <c r="AQ397" i="43"/>
  <c r="AP397" i="43"/>
  <c r="AO397" i="43"/>
  <c r="AN397" i="43"/>
  <c r="AM397" i="43"/>
  <c r="AL397" i="43"/>
  <c r="AK397" i="43"/>
  <c r="AJ397" i="43"/>
  <c r="AI397" i="43"/>
  <c r="AH397" i="43"/>
  <c r="BL262" i="43"/>
  <c r="BJ262" i="43"/>
  <c r="BH262" i="43"/>
  <c r="BF262" i="43"/>
  <c r="BD262" i="43"/>
  <c r="BB262" i="43"/>
  <c r="AZ262" i="43"/>
  <c r="AX262" i="43"/>
  <c r="AV262" i="43"/>
  <c r="AT262" i="43"/>
  <c r="AR262" i="43"/>
  <c r="AP262" i="43"/>
  <c r="AN262" i="43"/>
  <c r="AL262" i="43"/>
  <c r="AJ262" i="43"/>
  <c r="AH262" i="43"/>
  <c r="BM258" i="43"/>
  <c r="BM396" i="43" s="1"/>
  <c r="BL258" i="43"/>
  <c r="BL396" i="43" s="1"/>
  <c r="BK258" i="43"/>
  <c r="BK396" i="43" s="1"/>
  <c r="BJ258" i="43"/>
  <c r="BJ396" i="43" s="1"/>
  <c r="BI258" i="43"/>
  <c r="BI396" i="43" s="1"/>
  <c r="BH258" i="43"/>
  <c r="BH396" i="43" s="1"/>
  <c r="BG258" i="43"/>
  <c r="BG396" i="43" s="1"/>
  <c r="BF258" i="43"/>
  <c r="BF396" i="43" s="1"/>
  <c r="BE258" i="43"/>
  <c r="BE396" i="43" s="1"/>
  <c r="BD258" i="43"/>
  <c r="BD396" i="43" s="1"/>
  <c r="BC258" i="43"/>
  <c r="BC396" i="43" s="1"/>
  <c r="BB258" i="43"/>
  <c r="BB396" i="43" s="1"/>
  <c r="BA258" i="43"/>
  <c r="BA396" i="43" s="1"/>
  <c r="AZ258" i="43"/>
  <c r="AZ396" i="43" s="1"/>
  <c r="AY258" i="43"/>
  <c r="AY396" i="43" s="1"/>
  <c r="AX258" i="43"/>
  <c r="AX396" i="43" s="1"/>
  <c r="AW258" i="43"/>
  <c r="AW396" i="43" s="1"/>
  <c r="AV258" i="43"/>
  <c r="AV396" i="43" s="1"/>
  <c r="AU258" i="43"/>
  <c r="AU396" i="43" s="1"/>
  <c r="AT258" i="43"/>
  <c r="AT396" i="43" s="1"/>
  <c r="AS258" i="43"/>
  <c r="AS396" i="43" s="1"/>
  <c r="AR258" i="43"/>
  <c r="AR396" i="43" s="1"/>
  <c r="AQ258" i="43"/>
  <c r="AQ396" i="43" s="1"/>
  <c r="AP258" i="43"/>
  <c r="AP396" i="43" s="1"/>
  <c r="AO258" i="43"/>
  <c r="AO396" i="43" s="1"/>
  <c r="AN258" i="43"/>
  <c r="AN396" i="43" s="1"/>
  <c r="AM258" i="43"/>
  <c r="AM396" i="43" s="1"/>
  <c r="AL258" i="43"/>
  <c r="AL396" i="43" s="1"/>
  <c r="AK258" i="43"/>
  <c r="AK396" i="43" s="1"/>
  <c r="AJ258" i="43"/>
  <c r="AJ396" i="43" s="1"/>
  <c r="AI258" i="43"/>
  <c r="AI396" i="43" s="1"/>
  <c r="AH258" i="43"/>
  <c r="AH396" i="43" s="1"/>
  <c r="BL250" i="43"/>
  <c r="BJ250" i="43"/>
  <c r="BH250" i="43"/>
  <c r="BF250" i="43"/>
  <c r="BD250" i="43"/>
  <c r="BB250" i="43"/>
  <c r="AZ250" i="43"/>
  <c r="AX250" i="43"/>
  <c r="AV250" i="43"/>
  <c r="AT250" i="43"/>
  <c r="AR250" i="43"/>
  <c r="AP250" i="43"/>
  <c r="AN250" i="43"/>
  <c r="AL250" i="43"/>
  <c r="AJ250" i="43"/>
  <c r="AH250" i="43"/>
  <c r="BM246" i="43"/>
  <c r="BM394" i="43" s="1"/>
  <c r="BL246" i="43"/>
  <c r="BL394" i="43" s="1"/>
  <c r="BK246" i="43"/>
  <c r="BK394" i="43" s="1"/>
  <c r="BJ246" i="43"/>
  <c r="BJ394" i="43" s="1"/>
  <c r="BI246" i="43"/>
  <c r="BI394" i="43" s="1"/>
  <c r="BH246" i="43"/>
  <c r="BH394" i="43" s="1"/>
  <c r="BG246" i="43"/>
  <c r="BG394" i="43" s="1"/>
  <c r="BF246" i="43"/>
  <c r="BF394" i="43" s="1"/>
  <c r="BE246" i="43"/>
  <c r="BE394" i="43" s="1"/>
  <c r="BD246" i="43"/>
  <c r="BD394" i="43" s="1"/>
  <c r="BC246" i="43"/>
  <c r="BC394" i="43" s="1"/>
  <c r="BB246" i="43"/>
  <c r="BB394" i="43" s="1"/>
  <c r="BA246" i="43"/>
  <c r="BA394" i="43" s="1"/>
  <c r="AZ246" i="43"/>
  <c r="AZ394" i="43" s="1"/>
  <c r="AY246" i="43"/>
  <c r="AY394" i="43" s="1"/>
  <c r="AX246" i="43"/>
  <c r="AX394" i="43" s="1"/>
  <c r="AW246" i="43"/>
  <c r="AW394" i="43" s="1"/>
  <c r="AV246" i="43"/>
  <c r="AV394" i="43" s="1"/>
  <c r="AU246" i="43"/>
  <c r="AU394" i="43" s="1"/>
  <c r="AT246" i="43"/>
  <c r="AT394" i="43" s="1"/>
  <c r="AS246" i="43"/>
  <c r="AS394" i="43" s="1"/>
  <c r="AR246" i="43"/>
  <c r="AR394" i="43" s="1"/>
  <c r="AQ246" i="43"/>
  <c r="AQ394" i="43" s="1"/>
  <c r="AP246" i="43"/>
  <c r="AP394" i="43" s="1"/>
  <c r="AO246" i="43"/>
  <c r="AO394" i="43" s="1"/>
  <c r="AN246" i="43"/>
  <c r="AN394" i="43" s="1"/>
  <c r="AM246" i="43"/>
  <c r="AM394" i="43" s="1"/>
  <c r="AL246" i="43"/>
  <c r="AL394" i="43" s="1"/>
  <c r="AK246" i="43"/>
  <c r="AK394" i="43" s="1"/>
  <c r="AJ246" i="43"/>
  <c r="AJ394" i="43" s="1"/>
  <c r="AI246" i="43"/>
  <c r="AI394" i="43" s="1"/>
  <c r="AH246" i="43"/>
  <c r="AH394" i="43" s="1"/>
  <c r="BL225" i="43"/>
  <c r="BJ225" i="43"/>
  <c r="BH225" i="43"/>
  <c r="BF225" i="43"/>
  <c r="BD225" i="43"/>
  <c r="BB225" i="43"/>
  <c r="AZ225" i="43"/>
  <c r="AX225" i="43"/>
  <c r="AV225" i="43"/>
  <c r="AT225" i="43"/>
  <c r="AR225" i="43"/>
  <c r="AP225" i="43"/>
  <c r="AN225" i="43"/>
  <c r="AL225" i="43"/>
  <c r="AJ225" i="43"/>
  <c r="AH225" i="43"/>
  <c r="BM221" i="43"/>
  <c r="BM393" i="43" s="1"/>
  <c r="BL221" i="43"/>
  <c r="BL393" i="43" s="1"/>
  <c r="BK221" i="43"/>
  <c r="BK393" i="43" s="1"/>
  <c r="BJ221" i="43"/>
  <c r="BJ393" i="43" s="1"/>
  <c r="BI221" i="43"/>
  <c r="BI393" i="43" s="1"/>
  <c r="BH221" i="43"/>
  <c r="BH393" i="43" s="1"/>
  <c r="BG221" i="43"/>
  <c r="BG393" i="43" s="1"/>
  <c r="BF221" i="43"/>
  <c r="BF393" i="43" s="1"/>
  <c r="BE221" i="43"/>
  <c r="BE393" i="43" s="1"/>
  <c r="BD221" i="43"/>
  <c r="BD393" i="43" s="1"/>
  <c r="BC221" i="43"/>
  <c r="BC393" i="43" s="1"/>
  <c r="BB221" i="43"/>
  <c r="BB393" i="43" s="1"/>
  <c r="BA221" i="43"/>
  <c r="BA393" i="43" s="1"/>
  <c r="AZ221" i="43"/>
  <c r="AZ393" i="43" s="1"/>
  <c r="AY221" i="43"/>
  <c r="AY393" i="43" s="1"/>
  <c r="AX221" i="43"/>
  <c r="AX393" i="43" s="1"/>
  <c r="AW221" i="43"/>
  <c r="AW393" i="43" s="1"/>
  <c r="AV221" i="43"/>
  <c r="AV393" i="43" s="1"/>
  <c r="AU221" i="43"/>
  <c r="AU393" i="43" s="1"/>
  <c r="AT221" i="43"/>
  <c r="AT393" i="43" s="1"/>
  <c r="AS221" i="43"/>
  <c r="AS393" i="43" s="1"/>
  <c r="AR221" i="43"/>
  <c r="AR393" i="43" s="1"/>
  <c r="AQ221" i="43"/>
  <c r="AQ393" i="43" s="1"/>
  <c r="AP221" i="43"/>
  <c r="AP393" i="43" s="1"/>
  <c r="AO221" i="43"/>
  <c r="AO393" i="43" s="1"/>
  <c r="AN221" i="43"/>
  <c r="AN393" i="43" s="1"/>
  <c r="AM221" i="43"/>
  <c r="AM393" i="43" s="1"/>
  <c r="AL221" i="43"/>
  <c r="AL393" i="43" s="1"/>
  <c r="AK221" i="43"/>
  <c r="AK393" i="43" s="1"/>
  <c r="AJ221" i="43"/>
  <c r="AJ393" i="43" s="1"/>
  <c r="AI221" i="43"/>
  <c r="AI393" i="43" s="1"/>
  <c r="AH221" i="43"/>
  <c r="AH393" i="43" s="1"/>
  <c r="BL200" i="43"/>
  <c r="BJ200" i="43"/>
  <c r="BH200" i="43"/>
  <c r="BF200" i="43"/>
  <c r="BD200" i="43"/>
  <c r="BB200" i="43"/>
  <c r="AZ200" i="43"/>
  <c r="AX200" i="43"/>
  <c r="AV200" i="43"/>
  <c r="AT200" i="43"/>
  <c r="AR200" i="43"/>
  <c r="AP200" i="43"/>
  <c r="AN200" i="43"/>
  <c r="AL200" i="43"/>
  <c r="AJ200" i="43"/>
  <c r="AH200" i="43"/>
  <c r="BM196" i="43"/>
  <c r="BM392" i="43" s="1"/>
  <c r="BL196" i="43"/>
  <c r="BL392" i="43" s="1"/>
  <c r="BK196" i="43"/>
  <c r="BK392" i="43" s="1"/>
  <c r="BJ196" i="43"/>
  <c r="BJ392" i="43" s="1"/>
  <c r="BI196" i="43"/>
  <c r="BI392" i="43" s="1"/>
  <c r="BH196" i="43"/>
  <c r="BH392" i="43" s="1"/>
  <c r="BG196" i="43"/>
  <c r="BG392" i="43" s="1"/>
  <c r="BF196" i="43"/>
  <c r="BF392" i="43" s="1"/>
  <c r="BE196" i="43"/>
  <c r="BE392" i="43" s="1"/>
  <c r="BD196" i="43"/>
  <c r="BD392" i="43" s="1"/>
  <c r="BC196" i="43"/>
  <c r="BC392" i="43" s="1"/>
  <c r="BB196" i="43"/>
  <c r="BB392" i="43" s="1"/>
  <c r="BA196" i="43"/>
  <c r="BA392" i="43" s="1"/>
  <c r="AZ196" i="43"/>
  <c r="AZ392" i="43" s="1"/>
  <c r="AY196" i="43"/>
  <c r="AY392" i="43" s="1"/>
  <c r="AX196" i="43"/>
  <c r="AX392" i="43" s="1"/>
  <c r="AW196" i="43"/>
  <c r="AW392" i="43" s="1"/>
  <c r="AV196" i="43"/>
  <c r="AV392" i="43" s="1"/>
  <c r="AU196" i="43"/>
  <c r="AU392" i="43" s="1"/>
  <c r="AT196" i="43"/>
  <c r="AT392" i="43" s="1"/>
  <c r="AS196" i="43"/>
  <c r="AS392" i="43" s="1"/>
  <c r="AR196" i="43"/>
  <c r="AR392" i="43" s="1"/>
  <c r="AQ196" i="43"/>
  <c r="AQ392" i="43" s="1"/>
  <c r="AP196" i="43"/>
  <c r="AP392" i="43" s="1"/>
  <c r="AO196" i="43"/>
  <c r="AO392" i="43" s="1"/>
  <c r="AN196" i="43"/>
  <c r="AN392" i="43" s="1"/>
  <c r="AM196" i="43"/>
  <c r="AM392" i="43" s="1"/>
  <c r="AL196" i="43"/>
  <c r="AL392" i="43" s="1"/>
  <c r="AK196" i="43"/>
  <c r="AK392" i="43" s="1"/>
  <c r="AJ196" i="43"/>
  <c r="AJ392" i="43" s="1"/>
  <c r="AI196" i="43"/>
  <c r="AI392" i="43" s="1"/>
  <c r="AH196" i="43"/>
  <c r="AH392" i="43" s="1"/>
  <c r="BL164" i="43"/>
  <c r="BJ164" i="43"/>
  <c r="BH164" i="43"/>
  <c r="BF164" i="43"/>
  <c r="BD164" i="43"/>
  <c r="BB164" i="43"/>
  <c r="AZ164" i="43"/>
  <c r="AX164" i="43"/>
  <c r="AV164" i="43"/>
  <c r="AT164" i="43"/>
  <c r="AR164" i="43"/>
  <c r="AP164" i="43"/>
  <c r="AN164" i="43"/>
  <c r="AL164" i="43"/>
  <c r="AJ164" i="43"/>
  <c r="AH164" i="43"/>
  <c r="BM160" i="43"/>
  <c r="BM391" i="43" s="1"/>
  <c r="BL160" i="43"/>
  <c r="BL391" i="43" s="1"/>
  <c r="BK160" i="43"/>
  <c r="BK391" i="43" s="1"/>
  <c r="BJ160" i="43"/>
  <c r="BJ391" i="43" s="1"/>
  <c r="BI160" i="43"/>
  <c r="BI391" i="43" s="1"/>
  <c r="BH160" i="43"/>
  <c r="BH391" i="43" s="1"/>
  <c r="BG160" i="43"/>
  <c r="BG391" i="43" s="1"/>
  <c r="BF160" i="43"/>
  <c r="BF391" i="43" s="1"/>
  <c r="BE160" i="43"/>
  <c r="BE391" i="43" s="1"/>
  <c r="BD160" i="43"/>
  <c r="BD391" i="43" s="1"/>
  <c r="BC160" i="43"/>
  <c r="BC391" i="43" s="1"/>
  <c r="BB160" i="43"/>
  <c r="BB391" i="43" s="1"/>
  <c r="BA160" i="43"/>
  <c r="BA391" i="43" s="1"/>
  <c r="AZ160" i="43"/>
  <c r="AZ391" i="43" s="1"/>
  <c r="AY160" i="43"/>
  <c r="AY391" i="43" s="1"/>
  <c r="AX160" i="43"/>
  <c r="AX391" i="43" s="1"/>
  <c r="AW160" i="43"/>
  <c r="AW391" i="43" s="1"/>
  <c r="AV160" i="43"/>
  <c r="AV391" i="43" s="1"/>
  <c r="AU160" i="43"/>
  <c r="AU391" i="43" s="1"/>
  <c r="AT160" i="43"/>
  <c r="AT391" i="43" s="1"/>
  <c r="AS160" i="43"/>
  <c r="AS391" i="43" s="1"/>
  <c r="AR160" i="43"/>
  <c r="AR391" i="43" s="1"/>
  <c r="AQ160" i="43"/>
  <c r="AQ391" i="43" s="1"/>
  <c r="AP160" i="43"/>
  <c r="AP391" i="43" s="1"/>
  <c r="AO160" i="43"/>
  <c r="AO391" i="43" s="1"/>
  <c r="AN160" i="43"/>
  <c r="AN391" i="43" s="1"/>
  <c r="AM160" i="43"/>
  <c r="AM391" i="43" s="1"/>
  <c r="AL160" i="43"/>
  <c r="AL391" i="43" s="1"/>
  <c r="AK160" i="43"/>
  <c r="AK391" i="43" s="1"/>
  <c r="AJ160" i="43"/>
  <c r="AJ391" i="43" s="1"/>
  <c r="AI160" i="43"/>
  <c r="AI391" i="43" s="1"/>
  <c r="AH160" i="43"/>
  <c r="AH391" i="43" s="1"/>
  <c r="BL146" i="43"/>
  <c r="BJ146" i="43"/>
  <c r="BH146" i="43"/>
  <c r="BF146" i="43"/>
  <c r="BD146" i="43"/>
  <c r="BB146" i="43"/>
  <c r="AZ146" i="43"/>
  <c r="AX146" i="43"/>
  <c r="AV146" i="43"/>
  <c r="AT146" i="43"/>
  <c r="AR146" i="43"/>
  <c r="AP146" i="43"/>
  <c r="AN146" i="43"/>
  <c r="AL146" i="43"/>
  <c r="AJ146" i="43"/>
  <c r="AH146" i="43"/>
  <c r="BM142" i="43"/>
  <c r="BM390" i="43" s="1"/>
  <c r="BL142" i="43"/>
  <c r="BL390" i="43" s="1"/>
  <c r="BK142" i="43"/>
  <c r="BK390" i="43" s="1"/>
  <c r="BJ142" i="43"/>
  <c r="BJ390" i="43" s="1"/>
  <c r="BI142" i="43"/>
  <c r="BI390" i="43" s="1"/>
  <c r="BH142" i="43"/>
  <c r="BH390" i="43" s="1"/>
  <c r="BG142" i="43"/>
  <c r="BG390" i="43" s="1"/>
  <c r="BF142" i="43"/>
  <c r="BF390" i="43" s="1"/>
  <c r="BE142" i="43"/>
  <c r="BE390" i="43" s="1"/>
  <c r="BD142" i="43"/>
  <c r="BD390" i="43" s="1"/>
  <c r="BC142" i="43"/>
  <c r="BC390" i="43" s="1"/>
  <c r="BB142" i="43"/>
  <c r="BB390" i="43" s="1"/>
  <c r="BA142" i="43"/>
  <c r="BA390" i="43" s="1"/>
  <c r="AZ142" i="43"/>
  <c r="AZ390" i="43" s="1"/>
  <c r="AY142" i="43"/>
  <c r="AY390" i="43" s="1"/>
  <c r="AX142" i="43"/>
  <c r="AX390" i="43" s="1"/>
  <c r="AW142" i="43"/>
  <c r="AW390" i="43" s="1"/>
  <c r="AV142" i="43"/>
  <c r="AV390" i="43" s="1"/>
  <c r="AU142" i="43"/>
  <c r="AU390" i="43" s="1"/>
  <c r="AT142" i="43"/>
  <c r="AT390" i="43" s="1"/>
  <c r="AS390" i="43"/>
  <c r="AR390" i="43"/>
  <c r="AQ390" i="43"/>
  <c r="AP390" i="43"/>
  <c r="AO390" i="43"/>
  <c r="AN390" i="43"/>
  <c r="AM390" i="43"/>
  <c r="AL390" i="43"/>
  <c r="AJ390" i="43"/>
  <c r="AH390" i="43"/>
  <c r="BL130" i="43"/>
  <c r="BJ130" i="43"/>
  <c r="BH130" i="43"/>
  <c r="BF130" i="43"/>
  <c r="BD130" i="43"/>
  <c r="BB130" i="43"/>
  <c r="AZ130" i="43"/>
  <c r="AX130" i="43"/>
  <c r="AV130" i="43"/>
  <c r="AT130" i="43"/>
  <c r="AR130" i="43"/>
  <c r="AP130" i="43"/>
  <c r="AN130" i="43"/>
  <c r="AL130" i="43"/>
  <c r="AJ130" i="43"/>
  <c r="AH130" i="43"/>
  <c r="BM126" i="43"/>
  <c r="BM389" i="43" s="1"/>
  <c r="BL126" i="43"/>
  <c r="BL389" i="43" s="1"/>
  <c r="BK126" i="43"/>
  <c r="BK389" i="43" s="1"/>
  <c r="BJ126" i="43"/>
  <c r="BJ389" i="43" s="1"/>
  <c r="BI126" i="43"/>
  <c r="BI389" i="43" s="1"/>
  <c r="BH126" i="43"/>
  <c r="BH389" i="43" s="1"/>
  <c r="BG126" i="43"/>
  <c r="BG389" i="43" s="1"/>
  <c r="BF126" i="43"/>
  <c r="BF389" i="43" s="1"/>
  <c r="BE126" i="43"/>
  <c r="BE389" i="43" s="1"/>
  <c r="BD126" i="43"/>
  <c r="BD389" i="43" s="1"/>
  <c r="BC126" i="43"/>
  <c r="BC389" i="43" s="1"/>
  <c r="BB126" i="43"/>
  <c r="BB389" i="43" s="1"/>
  <c r="BA126" i="43"/>
  <c r="BA389" i="43" s="1"/>
  <c r="AZ126" i="43"/>
  <c r="AZ389" i="43" s="1"/>
  <c r="AY126" i="43"/>
  <c r="AY389" i="43" s="1"/>
  <c r="AX126" i="43"/>
  <c r="AX389" i="43" s="1"/>
  <c r="AW126" i="43"/>
  <c r="AW389" i="43" s="1"/>
  <c r="AV126" i="43"/>
  <c r="AV389" i="43" s="1"/>
  <c r="AU126" i="43"/>
  <c r="AU389" i="43" s="1"/>
  <c r="AT126" i="43"/>
  <c r="AT389" i="43" s="1"/>
  <c r="AS126" i="43"/>
  <c r="AS389" i="43" s="1"/>
  <c r="AR126" i="43"/>
  <c r="AR389" i="43" s="1"/>
  <c r="AQ126" i="43"/>
  <c r="AQ389" i="43" s="1"/>
  <c r="AP126" i="43"/>
  <c r="AP389" i="43" s="1"/>
  <c r="AO126" i="43"/>
  <c r="AO389" i="43" s="1"/>
  <c r="AN126" i="43"/>
  <c r="AN389" i="43" s="1"/>
  <c r="AM126" i="43"/>
  <c r="AM389" i="43" s="1"/>
  <c r="AL126" i="43"/>
  <c r="AL389" i="43" s="1"/>
  <c r="AK126" i="43"/>
  <c r="AK389" i="43" s="1"/>
  <c r="AJ126" i="43"/>
  <c r="AJ389" i="43" s="1"/>
  <c r="AI126" i="43"/>
  <c r="AI389" i="43" s="1"/>
  <c r="AH126" i="43"/>
  <c r="AH389" i="43" s="1"/>
  <c r="BL112" i="43"/>
  <c r="BJ112" i="43"/>
  <c r="BH112" i="43"/>
  <c r="BF112" i="43"/>
  <c r="BD112" i="43"/>
  <c r="BB112" i="43"/>
  <c r="AZ112" i="43"/>
  <c r="AX112" i="43"/>
  <c r="AV112" i="43"/>
  <c r="AT112" i="43"/>
  <c r="AR112" i="43"/>
  <c r="AP112" i="43"/>
  <c r="AN112" i="43"/>
  <c r="AL112" i="43"/>
  <c r="AJ112" i="43"/>
  <c r="AH112" i="43"/>
  <c r="BM108" i="43"/>
  <c r="BM388" i="43" s="1"/>
  <c r="BL108" i="43"/>
  <c r="BL388" i="43" s="1"/>
  <c r="BK108" i="43"/>
  <c r="BK388" i="43" s="1"/>
  <c r="BJ108" i="43"/>
  <c r="BJ388" i="43" s="1"/>
  <c r="BI108" i="43"/>
  <c r="BI388" i="43" s="1"/>
  <c r="BH108" i="43"/>
  <c r="BH388" i="43" s="1"/>
  <c r="BG108" i="43"/>
  <c r="BG388" i="43" s="1"/>
  <c r="BF108" i="43"/>
  <c r="BF388" i="43" s="1"/>
  <c r="BE108" i="43"/>
  <c r="BE388" i="43" s="1"/>
  <c r="BD108" i="43"/>
  <c r="BD388" i="43" s="1"/>
  <c r="BC108" i="43"/>
  <c r="BC388" i="43" s="1"/>
  <c r="BB108" i="43"/>
  <c r="BB388" i="43" s="1"/>
  <c r="BA108" i="43"/>
  <c r="BA388" i="43" s="1"/>
  <c r="AZ108" i="43"/>
  <c r="AZ388" i="43" s="1"/>
  <c r="AY108" i="43"/>
  <c r="AY388" i="43" s="1"/>
  <c r="AX108" i="43"/>
  <c r="AX388" i="43" s="1"/>
  <c r="AW108" i="43"/>
  <c r="AW388" i="43" s="1"/>
  <c r="AV108" i="43"/>
  <c r="AV388" i="43" s="1"/>
  <c r="AU108" i="43"/>
  <c r="AU388" i="43" s="1"/>
  <c r="AT108" i="43"/>
  <c r="AT388" i="43" s="1"/>
  <c r="AS108" i="43"/>
  <c r="AS388" i="43" s="1"/>
  <c r="AR108" i="43"/>
  <c r="AR388" i="43" s="1"/>
  <c r="AQ108" i="43"/>
  <c r="AQ388" i="43" s="1"/>
  <c r="AP108" i="43"/>
  <c r="AP388" i="43" s="1"/>
  <c r="AO108" i="43"/>
  <c r="AO388" i="43" s="1"/>
  <c r="AN108" i="43"/>
  <c r="AN388" i="43" s="1"/>
  <c r="AM108" i="43"/>
  <c r="AM388" i="43" s="1"/>
  <c r="AL108" i="43"/>
  <c r="AL388" i="43" s="1"/>
  <c r="AK108" i="43"/>
  <c r="AK388" i="43" s="1"/>
  <c r="AJ108" i="43"/>
  <c r="AJ388" i="43" s="1"/>
  <c r="AI108" i="43"/>
  <c r="AI388" i="43" s="1"/>
  <c r="AH108" i="43"/>
  <c r="AH388" i="43" s="1"/>
  <c r="BL101" i="43"/>
  <c r="BJ101" i="43"/>
  <c r="BH101" i="43"/>
  <c r="BF101" i="43"/>
  <c r="BD101" i="43"/>
  <c r="BB101" i="43"/>
  <c r="AZ101" i="43"/>
  <c r="AX101" i="43"/>
  <c r="AV101" i="43"/>
  <c r="AT101" i="43"/>
  <c r="AR101" i="43"/>
  <c r="AP101" i="43"/>
  <c r="AN101" i="43"/>
  <c r="AL101" i="43"/>
  <c r="AJ101" i="43"/>
  <c r="AH101" i="43"/>
  <c r="BM97" i="43"/>
  <c r="BM387" i="43" s="1"/>
  <c r="BL97" i="43"/>
  <c r="BL387" i="43" s="1"/>
  <c r="BK97" i="43"/>
  <c r="BK387" i="43" s="1"/>
  <c r="BJ97" i="43"/>
  <c r="BJ387" i="43" s="1"/>
  <c r="BI97" i="43"/>
  <c r="BI387" i="43" s="1"/>
  <c r="BH97" i="43"/>
  <c r="BH387" i="43" s="1"/>
  <c r="BG97" i="43"/>
  <c r="BG387" i="43" s="1"/>
  <c r="BF97" i="43"/>
  <c r="BF387" i="43" s="1"/>
  <c r="BE97" i="43"/>
  <c r="BE387" i="43" s="1"/>
  <c r="BD97" i="43"/>
  <c r="BD387" i="43" s="1"/>
  <c r="BC97" i="43"/>
  <c r="BC387" i="43" s="1"/>
  <c r="BB97" i="43"/>
  <c r="BB387" i="43" s="1"/>
  <c r="BA97" i="43"/>
  <c r="BA387" i="43" s="1"/>
  <c r="AZ97" i="43"/>
  <c r="AZ387" i="43" s="1"/>
  <c r="AY97" i="43"/>
  <c r="AY387" i="43" s="1"/>
  <c r="AX97" i="43"/>
  <c r="AX387" i="43" s="1"/>
  <c r="AW97" i="43"/>
  <c r="AW387" i="43" s="1"/>
  <c r="AV97" i="43"/>
  <c r="AV387" i="43" s="1"/>
  <c r="AU97" i="43"/>
  <c r="AU387" i="43" s="1"/>
  <c r="AT97" i="43"/>
  <c r="AT387" i="43" s="1"/>
  <c r="AS97" i="43"/>
  <c r="AS387" i="43" s="1"/>
  <c r="AR97" i="43"/>
  <c r="AR387" i="43" s="1"/>
  <c r="AQ97" i="43"/>
  <c r="AQ387" i="43" s="1"/>
  <c r="AP97" i="43"/>
  <c r="AP387" i="43" s="1"/>
  <c r="AO97" i="43"/>
  <c r="AO387" i="43" s="1"/>
  <c r="AN97" i="43"/>
  <c r="AN387" i="43" s="1"/>
  <c r="AM97" i="43"/>
  <c r="AM387" i="43" s="1"/>
  <c r="AL97" i="43"/>
  <c r="AL387" i="43" s="1"/>
  <c r="AK97" i="43"/>
  <c r="AK387" i="43" s="1"/>
  <c r="AJ97" i="43"/>
  <c r="AJ387" i="43" s="1"/>
  <c r="AI97" i="43"/>
  <c r="AI387" i="43" s="1"/>
  <c r="AH97" i="43"/>
  <c r="AH387" i="43" s="1"/>
  <c r="BL92" i="43"/>
  <c r="BJ92" i="43"/>
  <c r="BH92" i="43"/>
  <c r="BF92" i="43"/>
  <c r="BD92" i="43"/>
  <c r="BB92" i="43"/>
  <c r="AZ92" i="43"/>
  <c r="AX92" i="43"/>
  <c r="AV92" i="43"/>
  <c r="AT92" i="43"/>
  <c r="AR92" i="43"/>
  <c r="AP92" i="43"/>
  <c r="AN92" i="43"/>
  <c r="AL92" i="43"/>
  <c r="AJ92" i="43"/>
  <c r="AH92" i="43"/>
  <c r="BM89" i="43"/>
  <c r="BM386" i="43" s="1"/>
  <c r="BL89" i="43"/>
  <c r="BL386" i="43" s="1"/>
  <c r="BK89" i="43"/>
  <c r="BK386" i="43" s="1"/>
  <c r="BJ89" i="43"/>
  <c r="BJ386" i="43" s="1"/>
  <c r="BI89" i="43"/>
  <c r="BI386" i="43" s="1"/>
  <c r="BH89" i="43"/>
  <c r="BH386" i="43" s="1"/>
  <c r="BG89" i="43"/>
  <c r="BG386" i="43" s="1"/>
  <c r="BF89" i="43"/>
  <c r="BF386" i="43" s="1"/>
  <c r="BE89" i="43"/>
  <c r="BE386" i="43" s="1"/>
  <c r="BD89" i="43"/>
  <c r="BD386" i="43" s="1"/>
  <c r="BC89" i="43"/>
  <c r="BC386" i="43" s="1"/>
  <c r="BB89" i="43"/>
  <c r="BB386" i="43" s="1"/>
  <c r="BA89" i="43"/>
  <c r="BA386" i="43" s="1"/>
  <c r="AZ89" i="43"/>
  <c r="AZ386" i="43" s="1"/>
  <c r="AY89" i="43"/>
  <c r="AY386" i="43" s="1"/>
  <c r="AX89" i="43"/>
  <c r="AX386" i="43" s="1"/>
  <c r="AW89" i="43"/>
  <c r="AW386" i="43" s="1"/>
  <c r="AV89" i="43"/>
  <c r="AV386" i="43" s="1"/>
  <c r="AU89" i="43"/>
  <c r="AU386" i="43" s="1"/>
  <c r="AT89" i="43"/>
  <c r="AT386" i="43" s="1"/>
  <c r="AS89" i="43"/>
  <c r="AS386" i="43" s="1"/>
  <c r="AR89" i="43"/>
  <c r="AR386" i="43" s="1"/>
  <c r="AQ89" i="43"/>
  <c r="AQ386" i="43" s="1"/>
  <c r="AP89" i="43"/>
  <c r="AP386" i="43" s="1"/>
  <c r="AO89" i="43"/>
  <c r="AO386" i="43" s="1"/>
  <c r="AN89" i="43"/>
  <c r="AN386" i="43" s="1"/>
  <c r="AM89" i="43"/>
  <c r="AM386" i="43" s="1"/>
  <c r="AL89" i="43"/>
  <c r="AL386" i="43" s="1"/>
  <c r="AK89" i="43"/>
  <c r="AK386" i="43" s="1"/>
  <c r="AJ89" i="43"/>
  <c r="AJ386" i="43" s="1"/>
  <c r="AI89" i="43"/>
  <c r="AI386" i="43" s="1"/>
  <c r="AH89" i="43"/>
  <c r="AH386" i="43" s="1"/>
  <c r="BL78" i="43"/>
  <c r="BJ78" i="43"/>
  <c r="BH78" i="43"/>
  <c r="BF78" i="43"/>
  <c r="BD78" i="43"/>
  <c r="BB78" i="43"/>
  <c r="AZ78" i="43"/>
  <c r="AX78" i="43"/>
  <c r="AV78" i="43"/>
  <c r="AT78" i="43"/>
  <c r="AR78" i="43"/>
  <c r="AP78" i="43"/>
  <c r="AN78" i="43"/>
  <c r="AL78" i="43"/>
  <c r="AJ78" i="43"/>
  <c r="AH78" i="43"/>
  <c r="BM75" i="43"/>
  <c r="BM385" i="43" s="1"/>
  <c r="BL75" i="43"/>
  <c r="BL385" i="43" s="1"/>
  <c r="BK75" i="43"/>
  <c r="BK385" i="43" s="1"/>
  <c r="BJ75" i="43"/>
  <c r="BJ385" i="43" s="1"/>
  <c r="BI75" i="43"/>
  <c r="BI385" i="43" s="1"/>
  <c r="BH75" i="43"/>
  <c r="BH385" i="43" s="1"/>
  <c r="BG75" i="43"/>
  <c r="BG385" i="43" s="1"/>
  <c r="BF75" i="43"/>
  <c r="BF385" i="43" s="1"/>
  <c r="BE75" i="43"/>
  <c r="BE385" i="43" s="1"/>
  <c r="BD75" i="43"/>
  <c r="BD385" i="43" s="1"/>
  <c r="BC75" i="43"/>
  <c r="BC385" i="43" s="1"/>
  <c r="BB75" i="43"/>
  <c r="BB385" i="43" s="1"/>
  <c r="BA75" i="43"/>
  <c r="BA385" i="43" s="1"/>
  <c r="AZ75" i="43"/>
  <c r="AZ385" i="43" s="1"/>
  <c r="AY75" i="43"/>
  <c r="AY385" i="43" s="1"/>
  <c r="AX75" i="43"/>
  <c r="AX385" i="43" s="1"/>
  <c r="AW75" i="43"/>
  <c r="AW385" i="43" s="1"/>
  <c r="AV75" i="43"/>
  <c r="AV385" i="43" s="1"/>
  <c r="AU75" i="43"/>
  <c r="AU385" i="43" s="1"/>
  <c r="AT75" i="43"/>
  <c r="AT385" i="43" s="1"/>
  <c r="AS75" i="43"/>
  <c r="AS385" i="43" s="1"/>
  <c r="AR75" i="43"/>
  <c r="AR385" i="43" s="1"/>
  <c r="AQ75" i="43"/>
  <c r="AQ385" i="43" s="1"/>
  <c r="AP75" i="43"/>
  <c r="AP385" i="43" s="1"/>
  <c r="AO75" i="43"/>
  <c r="AO385" i="43" s="1"/>
  <c r="AN75" i="43"/>
  <c r="AN385" i="43" s="1"/>
  <c r="AM75" i="43"/>
  <c r="AM385" i="43" s="1"/>
  <c r="AL75" i="43"/>
  <c r="AL385" i="43" s="1"/>
  <c r="AK75" i="43"/>
  <c r="AK385" i="43" s="1"/>
  <c r="AJ75" i="43"/>
  <c r="AJ385" i="43" s="1"/>
  <c r="AI75" i="43"/>
  <c r="AI385" i="43" s="1"/>
  <c r="AH75" i="43"/>
  <c r="AH385" i="43" s="1"/>
  <c r="BL69" i="43"/>
  <c r="BJ69" i="43"/>
  <c r="BH69" i="43"/>
  <c r="BF69" i="43"/>
  <c r="BD69" i="43"/>
  <c r="BB69" i="43"/>
  <c r="AZ69" i="43"/>
  <c r="AX69" i="43"/>
  <c r="AV69" i="43"/>
  <c r="AT69" i="43"/>
  <c r="AR69" i="43"/>
  <c r="AP69" i="43"/>
  <c r="AN69" i="43"/>
  <c r="AL69" i="43"/>
  <c r="AJ69" i="43"/>
  <c r="AH69" i="43"/>
  <c r="BM66" i="43"/>
  <c r="BM384" i="43" s="1"/>
  <c r="BL66" i="43"/>
  <c r="BL384" i="43" s="1"/>
  <c r="BK66" i="43"/>
  <c r="BK384" i="43" s="1"/>
  <c r="BJ66" i="43"/>
  <c r="BJ384" i="43" s="1"/>
  <c r="BI66" i="43"/>
  <c r="BI384" i="43" s="1"/>
  <c r="BH66" i="43"/>
  <c r="BH384" i="43" s="1"/>
  <c r="BG66" i="43"/>
  <c r="BG384" i="43" s="1"/>
  <c r="BF66" i="43"/>
  <c r="BF384" i="43" s="1"/>
  <c r="BE66" i="43"/>
  <c r="BE384" i="43" s="1"/>
  <c r="BD66" i="43"/>
  <c r="BD384" i="43" s="1"/>
  <c r="BC66" i="43"/>
  <c r="BC384" i="43" s="1"/>
  <c r="BB66" i="43"/>
  <c r="BB384" i="43" s="1"/>
  <c r="BA66" i="43"/>
  <c r="BA384" i="43" s="1"/>
  <c r="AZ66" i="43"/>
  <c r="AZ384" i="43" s="1"/>
  <c r="AY66" i="43"/>
  <c r="AY384" i="43" s="1"/>
  <c r="AX66" i="43"/>
  <c r="AX384" i="43" s="1"/>
  <c r="AW66" i="43"/>
  <c r="AW384" i="43" s="1"/>
  <c r="AV66" i="43"/>
  <c r="AV384" i="43" s="1"/>
  <c r="AU66" i="43"/>
  <c r="AU384" i="43" s="1"/>
  <c r="AT66" i="43"/>
  <c r="AT384" i="43" s="1"/>
  <c r="AS66" i="43"/>
  <c r="AS384" i="43" s="1"/>
  <c r="AR66" i="43"/>
  <c r="AR384" i="43" s="1"/>
  <c r="AQ66" i="43"/>
  <c r="AQ384" i="43" s="1"/>
  <c r="AP66" i="43"/>
  <c r="AP384" i="43" s="1"/>
  <c r="AO66" i="43"/>
  <c r="AO384" i="43" s="1"/>
  <c r="AN66" i="43"/>
  <c r="AN384" i="43" s="1"/>
  <c r="AM66" i="43"/>
  <c r="AM384" i="43" s="1"/>
  <c r="AL66" i="43"/>
  <c r="AL384" i="43" s="1"/>
  <c r="AK66" i="43"/>
  <c r="AK384" i="43" s="1"/>
  <c r="AJ66" i="43"/>
  <c r="AJ384" i="43" s="1"/>
  <c r="AI66" i="43"/>
  <c r="AI384" i="43" s="1"/>
  <c r="AH66" i="43"/>
  <c r="AH384" i="43" s="1"/>
  <c r="BL58" i="43"/>
  <c r="BJ58" i="43"/>
  <c r="BH58" i="43"/>
  <c r="BF58" i="43"/>
  <c r="BD58" i="43"/>
  <c r="BB58" i="43"/>
  <c r="AZ58" i="43"/>
  <c r="AX58" i="43"/>
  <c r="AV58" i="43"/>
  <c r="AT58" i="43"/>
  <c r="AR58" i="43"/>
  <c r="AP58" i="43"/>
  <c r="AN58" i="43"/>
  <c r="AL58" i="43"/>
  <c r="AJ58" i="43"/>
  <c r="AH58" i="43"/>
  <c r="BM54" i="43"/>
  <c r="BM383" i="43" s="1"/>
  <c r="BL54" i="43"/>
  <c r="BL383" i="43" s="1"/>
  <c r="BK54" i="43"/>
  <c r="BK383" i="43" s="1"/>
  <c r="BJ54" i="43"/>
  <c r="BJ383" i="43" s="1"/>
  <c r="BI54" i="43"/>
  <c r="BI383" i="43" s="1"/>
  <c r="BH54" i="43"/>
  <c r="BH383" i="43" s="1"/>
  <c r="BG54" i="43"/>
  <c r="BG383" i="43" s="1"/>
  <c r="BF54" i="43"/>
  <c r="BF383" i="43" s="1"/>
  <c r="BE54" i="43"/>
  <c r="BE383" i="43" s="1"/>
  <c r="BD54" i="43"/>
  <c r="BD383" i="43" s="1"/>
  <c r="BC54" i="43"/>
  <c r="BC383" i="43" s="1"/>
  <c r="BB54" i="43"/>
  <c r="BB383" i="43" s="1"/>
  <c r="BA54" i="43"/>
  <c r="BA383" i="43" s="1"/>
  <c r="AZ54" i="43"/>
  <c r="AZ383" i="43" s="1"/>
  <c r="AY54" i="43"/>
  <c r="AY383" i="43" s="1"/>
  <c r="AX54" i="43"/>
  <c r="AX383" i="43" s="1"/>
  <c r="AW54" i="43"/>
  <c r="AW383" i="43" s="1"/>
  <c r="AV54" i="43"/>
  <c r="AV383" i="43" s="1"/>
  <c r="AU54" i="43"/>
  <c r="AU383" i="43" s="1"/>
  <c r="AT54" i="43"/>
  <c r="AT383" i="43" s="1"/>
  <c r="AS54" i="43"/>
  <c r="AS383" i="43" s="1"/>
  <c r="AR54" i="43"/>
  <c r="AR383" i="43" s="1"/>
  <c r="AQ54" i="43"/>
  <c r="AQ383" i="43" s="1"/>
  <c r="AP54" i="43"/>
  <c r="AP383" i="43" s="1"/>
  <c r="AO54" i="43"/>
  <c r="AO383" i="43" s="1"/>
  <c r="AN54" i="43"/>
  <c r="AN383" i="43" s="1"/>
  <c r="AM54" i="43"/>
  <c r="AM383" i="43" s="1"/>
  <c r="AL54" i="43"/>
  <c r="AL383" i="43" s="1"/>
  <c r="AK54" i="43"/>
  <c r="AK383" i="43" s="1"/>
  <c r="AJ54" i="43"/>
  <c r="AJ383" i="43" s="1"/>
  <c r="AI54" i="43"/>
  <c r="AI383" i="43" s="1"/>
  <c r="AH54" i="43"/>
  <c r="AH383" i="43" s="1"/>
  <c r="BL28" i="43"/>
  <c r="BJ28" i="43"/>
  <c r="BH28" i="43"/>
  <c r="BF28" i="43"/>
  <c r="BD28" i="43"/>
  <c r="BB28" i="43"/>
  <c r="AZ28" i="43"/>
  <c r="AX28" i="43"/>
  <c r="AV28" i="43"/>
  <c r="AT28" i="43"/>
  <c r="AR28" i="43"/>
  <c r="AP28" i="43"/>
  <c r="AN28" i="43"/>
  <c r="AL28" i="43"/>
  <c r="AJ28" i="43"/>
  <c r="AH28" i="43"/>
  <c r="BM24" i="43"/>
  <c r="BM382" i="43" s="1"/>
  <c r="BL24" i="43"/>
  <c r="BL382" i="43" s="1"/>
  <c r="BK24" i="43"/>
  <c r="BK382" i="43" s="1"/>
  <c r="BJ24" i="43"/>
  <c r="BJ382" i="43" s="1"/>
  <c r="BI24" i="43"/>
  <c r="BI382" i="43" s="1"/>
  <c r="BH24" i="43"/>
  <c r="BH382" i="43" s="1"/>
  <c r="BG24" i="43"/>
  <c r="BG382" i="43" s="1"/>
  <c r="BF24" i="43"/>
  <c r="BF382" i="43" s="1"/>
  <c r="BE24" i="43"/>
  <c r="BE382" i="43" s="1"/>
  <c r="BD24" i="43"/>
  <c r="BD382" i="43" s="1"/>
  <c r="BC24" i="43"/>
  <c r="BC382" i="43" s="1"/>
  <c r="BB24" i="43"/>
  <c r="BB382" i="43" s="1"/>
  <c r="BA24" i="43"/>
  <c r="BA382" i="43" s="1"/>
  <c r="AZ24" i="43"/>
  <c r="AZ382" i="43" s="1"/>
  <c r="AY24" i="43"/>
  <c r="AY382" i="43" s="1"/>
  <c r="AX24" i="43"/>
  <c r="AX382" i="43" s="1"/>
  <c r="AW24" i="43"/>
  <c r="AW382" i="43" s="1"/>
  <c r="AV24" i="43"/>
  <c r="AV382" i="43" s="1"/>
  <c r="AU24" i="43"/>
  <c r="AU382" i="43" s="1"/>
  <c r="AT24" i="43"/>
  <c r="AT382" i="43" s="1"/>
  <c r="AS24" i="43"/>
  <c r="AS382" i="43" s="1"/>
  <c r="AR24" i="43"/>
  <c r="AR382" i="43" s="1"/>
  <c r="AQ24" i="43"/>
  <c r="AQ382" i="43" s="1"/>
  <c r="AP24" i="43"/>
  <c r="AP382" i="43" s="1"/>
  <c r="AO24" i="43"/>
  <c r="AO382" i="43" s="1"/>
  <c r="AN24" i="43"/>
  <c r="AN382" i="43" s="1"/>
  <c r="AM24" i="43"/>
  <c r="AM382" i="43" s="1"/>
  <c r="AL24" i="43"/>
  <c r="AL382" i="43" s="1"/>
  <c r="AK24" i="43"/>
  <c r="AK382" i="43" s="1"/>
  <c r="AJ24" i="43"/>
  <c r="AJ382" i="43" s="1"/>
  <c r="AI24" i="43"/>
  <c r="AI382" i="43" s="1"/>
  <c r="AH24" i="43"/>
  <c r="AH382" i="43" s="1"/>
  <c r="B81" i="54"/>
  <c r="BN402" i="27"/>
  <c r="BP402" i="27" s="1"/>
  <c r="BO402" i="27"/>
  <c r="BQ402" i="27" s="1"/>
  <c r="BN403" i="27"/>
  <c r="BP403" i="27" s="1"/>
  <c r="BO403" i="27"/>
  <c r="BQ403" i="27" s="1"/>
  <c r="BN372" i="27"/>
  <c r="BP372" i="27" s="1"/>
  <c r="BO372" i="27"/>
  <c r="BQ372" i="27" s="1"/>
  <c r="BN373" i="27"/>
  <c r="BP373" i="27" s="1"/>
  <c r="BO373" i="27"/>
  <c r="BQ373" i="27" s="1"/>
  <c r="BN374" i="27"/>
  <c r="BP374" i="27" s="1"/>
  <c r="BO374" i="27"/>
  <c r="BQ374" i="27" s="1"/>
  <c r="BN375" i="27"/>
  <c r="BP375" i="27" s="1"/>
  <c r="BO375" i="27"/>
  <c r="BQ375" i="27" s="1"/>
  <c r="BN350" i="27"/>
  <c r="BO350" i="27"/>
  <c r="BN351" i="27"/>
  <c r="BP351" i="27" s="1"/>
  <c r="BO351" i="27"/>
  <c r="BQ351" i="27" s="1"/>
  <c r="BN352" i="27"/>
  <c r="BP352" i="27" s="1"/>
  <c r="BO352" i="27"/>
  <c r="BQ352" i="27" s="1"/>
  <c r="BN353" i="27"/>
  <c r="BP353" i="27" s="1"/>
  <c r="BO353" i="27"/>
  <c r="BQ353" i="27" s="1"/>
  <c r="BN354" i="27"/>
  <c r="BP354" i="27" s="1"/>
  <c r="BO354" i="27"/>
  <c r="BQ354" i="27" s="1"/>
  <c r="BN355" i="27"/>
  <c r="BP355" i="27" s="1"/>
  <c r="BO355" i="27"/>
  <c r="BQ355" i="27" s="1"/>
  <c r="BN356" i="27"/>
  <c r="BP356" i="27" s="1"/>
  <c r="BO356" i="27"/>
  <c r="BQ356" i="27" s="1"/>
  <c r="BN357" i="27"/>
  <c r="BP357" i="27" s="1"/>
  <c r="BO357" i="27"/>
  <c r="BQ357" i="27" s="1"/>
  <c r="BN358" i="27"/>
  <c r="BP358" i="27" s="1"/>
  <c r="BO358" i="27"/>
  <c r="BQ358" i="27" s="1"/>
  <c r="BN359" i="27"/>
  <c r="BP359" i="27" s="1"/>
  <c r="BO359" i="27"/>
  <c r="BQ359" i="27" s="1"/>
  <c r="BN360" i="27"/>
  <c r="BP360" i="27" s="1"/>
  <c r="BO360" i="27"/>
  <c r="BQ360" i="27" s="1"/>
  <c r="BN361" i="27"/>
  <c r="BP361" i="27" s="1"/>
  <c r="BO361" i="27"/>
  <c r="BQ361" i="27" s="1"/>
  <c r="BN362" i="27"/>
  <c r="BP362" i="27" s="1"/>
  <c r="BO362" i="27"/>
  <c r="BQ362" i="27" s="1"/>
  <c r="BN364" i="27"/>
  <c r="BP364" i="27" s="1"/>
  <c r="BO364" i="27"/>
  <c r="BQ364" i="27" s="1"/>
  <c r="BN334" i="27"/>
  <c r="BP334" i="27" s="1"/>
  <c r="BO334" i="27"/>
  <c r="BQ334" i="27" s="1"/>
  <c r="BN335" i="27"/>
  <c r="BO335" i="27"/>
  <c r="BQ335" i="27" s="1"/>
  <c r="BN336" i="27"/>
  <c r="BO336" i="27"/>
  <c r="BQ336" i="27" s="1"/>
  <c r="BN337" i="27"/>
  <c r="BP337" i="27" s="1"/>
  <c r="BO337" i="27"/>
  <c r="BQ337" i="27" s="1"/>
  <c r="BN338" i="27"/>
  <c r="BO338" i="27"/>
  <c r="BQ338" i="27" s="1"/>
  <c r="BN339" i="27"/>
  <c r="BO339" i="27"/>
  <c r="BQ339" i="27" s="1"/>
  <c r="BN340" i="27"/>
  <c r="BP340" i="27" s="1"/>
  <c r="BO340" i="27"/>
  <c r="BQ340" i="27" s="1"/>
  <c r="BN323" i="27"/>
  <c r="BP323" i="27" s="1"/>
  <c r="BO323" i="27"/>
  <c r="BQ323" i="27" s="1"/>
  <c r="BN299" i="27"/>
  <c r="BO299" i="27"/>
  <c r="BQ299" i="27" s="1"/>
  <c r="BN300" i="27"/>
  <c r="BP300" i="27" s="1"/>
  <c r="BO300" i="27"/>
  <c r="BQ300" i="27" s="1"/>
  <c r="BN301" i="27"/>
  <c r="BO301" i="27"/>
  <c r="BQ301" i="27" s="1"/>
  <c r="BN302" i="27"/>
  <c r="C82" i="62" s="1"/>
  <c r="BO302" i="27"/>
  <c r="BQ302" i="27" s="1"/>
  <c r="BN303" i="27"/>
  <c r="BP303" i="27" s="1"/>
  <c r="BO303" i="27"/>
  <c r="BQ303" i="27" s="1"/>
  <c r="BN304" i="27"/>
  <c r="BO304" i="27"/>
  <c r="BQ304" i="27" s="1"/>
  <c r="BN305" i="27"/>
  <c r="BP305" i="27" s="1"/>
  <c r="BO305" i="27"/>
  <c r="BQ305" i="27" s="1"/>
  <c r="BN306" i="27"/>
  <c r="BO306" i="27"/>
  <c r="BQ306" i="27" s="1"/>
  <c r="BN307" i="27"/>
  <c r="BP307" i="27" s="1"/>
  <c r="BO307" i="27"/>
  <c r="BQ307" i="27" s="1"/>
  <c r="BN308" i="27"/>
  <c r="BP308" i="27" s="1"/>
  <c r="BO308" i="27"/>
  <c r="BQ308" i="27" s="1"/>
  <c r="BN309" i="27"/>
  <c r="BP309" i="27" s="1"/>
  <c r="BO309" i="27"/>
  <c r="BQ309" i="27" s="1"/>
  <c r="BN310" i="27"/>
  <c r="BO310" i="27"/>
  <c r="BQ310" i="27" s="1"/>
  <c r="BN311" i="27"/>
  <c r="K22" i="62" s="1"/>
  <c r="BO311" i="27"/>
  <c r="BQ311" i="27" s="1"/>
  <c r="BN312" i="27"/>
  <c r="BP312" i="27" s="1"/>
  <c r="BO312" i="27"/>
  <c r="BQ312" i="27" s="1"/>
  <c r="BN313" i="27"/>
  <c r="BO313" i="27"/>
  <c r="BQ313" i="27" s="1"/>
  <c r="BN314" i="27"/>
  <c r="BP314" i="27" s="1"/>
  <c r="BO314" i="27"/>
  <c r="BQ314" i="27" s="1"/>
  <c r="BN315" i="27"/>
  <c r="K11" i="62" s="1"/>
  <c r="BO315" i="27"/>
  <c r="BQ315" i="27" s="1"/>
  <c r="BN316" i="27"/>
  <c r="BP316" i="27" s="1"/>
  <c r="BO316" i="27"/>
  <c r="BQ316" i="27" s="1"/>
  <c r="BN317" i="27"/>
  <c r="BO317" i="27"/>
  <c r="BQ317" i="27" s="1"/>
  <c r="BN318" i="27"/>
  <c r="BP318" i="27" s="1"/>
  <c r="BO318" i="27"/>
  <c r="BQ318" i="27" s="1"/>
  <c r="BN319" i="27"/>
  <c r="BP319" i="27" s="1"/>
  <c r="BO319" i="27"/>
  <c r="BQ319" i="27" s="1"/>
  <c r="BN320" i="27"/>
  <c r="BP320" i="27" s="1"/>
  <c r="BO320" i="27"/>
  <c r="BQ320" i="27" s="1"/>
  <c r="BN321" i="27"/>
  <c r="BP321" i="27" s="1"/>
  <c r="BO321" i="27"/>
  <c r="BQ321" i="27" s="1"/>
  <c r="BN322" i="27"/>
  <c r="BP322" i="27" s="1"/>
  <c r="BO322" i="27"/>
  <c r="BQ322" i="27" s="1"/>
  <c r="BN265" i="27"/>
  <c r="BO265" i="27"/>
  <c r="BQ265" i="27" s="1"/>
  <c r="BN266" i="27"/>
  <c r="BO266" i="27"/>
  <c r="BQ266" i="27" s="1"/>
  <c r="BN267" i="27"/>
  <c r="BO267" i="27"/>
  <c r="BQ267" i="27" s="1"/>
  <c r="BN268" i="27"/>
  <c r="BO268" i="27"/>
  <c r="BQ268" i="27" s="1"/>
  <c r="BN269" i="27"/>
  <c r="BP269" i="27" s="1"/>
  <c r="BO269" i="27"/>
  <c r="BQ269" i="27" s="1"/>
  <c r="BN270" i="27"/>
  <c r="BO270" i="27"/>
  <c r="BQ270" i="27" s="1"/>
  <c r="BN271" i="27"/>
  <c r="BO271" i="27"/>
  <c r="BQ271" i="27" s="1"/>
  <c r="BN272" i="27"/>
  <c r="K75" i="62" s="1"/>
  <c r="BO272" i="27"/>
  <c r="BQ272" i="27" s="1"/>
  <c r="BN273" i="27"/>
  <c r="BO273" i="27"/>
  <c r="BQ273" i="27" s="1"/>
  <c r="BN274" i="27"/>
  <c r="K77" i="62" s="1"/>
  <c r="BO274" i="27"/>
  <c r="BQ274" i="27" s="1"/>
  <c r="BN275" i="27"/>
  <c r="BP275" i="27" s="1"/>
  <c r="BO275" i="27"/>
  <c r="BQ275" i="27" s="1"/>
  <c r="BN276" i="27"/>
  <c r="BO276" i="27"/>
  <c r="BQ276" i="27" s="1"/>
  <c r="BN277" i="27"/>
  <c r="BO277" i="27"/>
  <c r="BQ277" i="27" s="1"/>
  <c r="BN278" i="27"/>
  <c r="BO278" i="27"/>
  <c r="BQ278" i="27" s="1"/>
  <c r="BN279" i="27"/>
  <c r="BP279" i="27" s="1"/>
  <c r="BO279" i="27"/>
  <c r="BQ279" i="27" s="1"/>
  <c r="BN280" i="27"/>
  <c r="BP280" i="27" s="1"/>
  <c r="BO280" i="27"/>
  <c r="BQ280" i="27" s="1"/>
  <c r="BN281" i="27"/>
  <c r="BO281" i="27"/>
  <c r="BQ281" i="27" s="1"/>
  <c r="BN282" i="27"/>
  <c r="BO282" i="27"/>
  <c r="BQ282" i="27" s="1"/>
  <c r="BN253" i="27"/>
  <c r="BO253" i="27"/>
  <c r="BQ253" i="27" s="1"/>
  <c r="BN254" i="27"/>
  <c r="G69" i="62" s="1"/>
  <c r="BO254" i="27"/>
  <c r="BQ254" i="27" s="1"/>
  <c r="BN255" i="27"/>
  <c r="BP255" i="27" s="1"/>
  <c r="BO255" i="27"/>
  <c r="BQ255" i="27" s="1"/>
  <c r="BN228" i="27"/>
  <c r="BP228" i="27" s="1"/>
  <c r="BO228" i="27"/>
  <c r="BQ228" i="27" s="1"/>
  <c r="BN229" i="27"/>
  <c r="BO229" i="27"/>
  <c r="BQ229" i="27" s="1"/>
  <c r="BN230" i="27"/>
  <c r="BP230" i="27" s="1"/>
  <c r="BO230" i="27"/>
  <c r="BQ230" i="27" s="1"/>
  <c r="BN231" i="27"/>
  <c r="BP231" i="27" s="1"/>
  <c r="BO231" i="27"/>
  <c r="BQ231" i="27" s="1"/>
  <c r="BN232" i="27"/>
  <c r="BP232" i="27" s="1"/>
  <c r="BO232" i="27"/>
  <c r="BQ232" i="27" s="1"/>
  <c r="BN233" i="27"/>
  <c r="BP233" i="27" s="1"/>
  <c r="BO233" i="27"/>
  <c r="BQ233" i="27" s="1"/>
  <c r="BN234" i="27"/>
  <c r="BP234" i="27" s="1"/>
  <c r="BO234" i="27"/>
  <c r="BQ234" i="27" s="1"/>
  <c r="BN235" i="27"/>
  <c r="K54" i="62" s="1"/>
  <c r="BO235" i="27"/>
  <c r="BQ235" i="27" s="1"/>
  <c r="BN236" i="27"/>
  <c r="BP236" i="27" s="1"/>
  <c r="BP236" i="41" s="1"/>
  <c r="BO236" i="27"/>
  <c r="BQ236" i="27" s="1"/>
  <c r="BQ236" i="41" s="1"/>
  <c r="BN238" i="27"/>
  <c r="BO238" i="27"/>
  <c r="BQ238" i="27" s="1"/>
  <c r="BN239" i="27"/>
  <c r="BP239" i="27" s="1"/>
  <c r="BO239" i="27"/>
  <c r="BQ239" i="27" s="1"/>
  <c r="BN240" i="27"/>
  <c r="BP240" i="27" s="1"/>
  <c r="BO240" i="27"/>
  <c r="BQ240" i="27" s="1"/>
  <c r="BN241" i="27"/>
  <c r="G25" i="62" s="1"/>
  <c r="BO241" i="27"/>
  <c r="BQ241" i="27" s="1"/>
  <c r="BN242" i="27"/>
  <c r="BP242" i="27" s="1"/>
  <c r="BO242" i="27"/>
  <c r="BQ242" i="27" s="1"/>
  <c r="BN243" i="27"/>
  <c r="BP243" i="27" s="1"/>
  <c r="BO243" i="27"/>
  <c r="BQ243" i="27" s="1"/>
  <c r="BN244" i="27"/>
  <c r="G78" i="62" s="1"/>
  <c r="BO244" i="27"/>
  <c r="BQ244" i="27" s="1"/>
  <c r="BN245" i="27"/>
  <c r="G79" i="62" s="1"/>
  <c r="BO245" i="27"/>
  <c r="BQ245" i="27" s="1"/>
  <c r="BN203" i="27"/>
  <c r="C20" i="62" s="1"/>
  <c r="BO203" i="27"/>
  <c r="BQ203" i="27" s="1"/>
  <c r="BN204" i="27"/>
  <c r="K8" i="62" s="1"/>
  <c r="BO204" i="27"/>
  <c r="BQ204" i="27" s="1"/>
  <c r="BN205" i="27"/>
  <c r="BP205" i="27" s="1"/>
  <c r="BO205" i="27"/>
  <c r="BQ205" i="27" s="1"/>
  <c r="BN206" i="27"/>
  <c r="C50" i="62" s="1"/>
  <c r="BO206" i="27"/>
  <c r="BQ206" i="27" s="1"/>
  <c r="BN207" i="27"/>
  <c r="BO207" i="27"/>
  <c r="BQ207" i="27" s="1"/>
  <c r="BN208" i="27"/>
  <c r="BP208" i="27" s="1"/>
  <c r="BO208" i="27"/>
  <c r="BQ208" i="27" s="1"/>
  <c r="BN209" i="27"/>
  <c r="BP209" i="27" s="1"/>
  <c r="BO209" i="27"/>
  <c r="BQ209" i="27" s="1"/>
  <c r="BN210" i="27"/>
  <c r="BP210" i="27" s="1"/>
  <c r="BO210" i="27"/>
  <c r="BQ210" i="27" s="1"/>
  <c r="BN211" i="27"/>
  <c r="BO211" i="27"/>
  <c r="BQ211" i="27" s="1"/>
  <c r="BN212" i="27"/>
  <c r="BP212" i="27" s="1"/>
  <c r="BO212" i="27"/>
  <c r="BQ212" i="27" s="1"/>
  <c r="BN213" i="27"/>
  <c r="BP213" i="27" s="1"/>
  <c r="BO213" i="27"/>
  <c r="BQ213" i="27" s="1"/>
  <c r="BN214" i="27"/>
  <c r="BP214" i="27" s="1"/>
  <c r="BO214" i="27"/>
  <c r="BQ214" i="27" s="1"/>
  <c r="BN215" i="27"/>
  <c r="K24" i="62" s="1"/>
  <c r="BO215" i="27"/>
  <c r="BQ215" i="27" s="1"/>
  <c r="BN216" i="27"/>
  <c r="O12" i="62" s="1"/>
  <c r="BO216" i="27"/>
  <c r="BQ216" i="27" s="1"/>
  <c r="BN167" i="27"/>
  <c r="BP167" i="27" s="1"/>
  <c r="BO167" i="27"/>
  <c r="BQ167" i="27" s="1"/>
  <c r="BN168" i="27"/>
  <c r="BO168" i="27"/>
  <c r="BQ168" i="27" s="1"/>
  <c r="BN169" i="27"/>
  <c r="BO169" i="27"/>
  <c r="BQ169" i="27" s="1"/>
  <c r="BN170" i="27"/>
  <c r="BO170" i="27"/>
  <c r="BQ170" i="27" s="1"/>
  <c r="BN171" i="27"/>
  <c r="BP171" i="27" s="1"/>
  <c r="BO171" i="27"/>
  <c r="BQ171" i="27" s="1"/>
  <c r="BN172" i="27"/>
  <c r="BP172" i="27" s="1"/>
  <c r="BO172" i="27"/>
  <c r="BQ172" i="27" s="1"/>
  <c r="BN173" i="27"/>
  <c r="BO173" i="27"/>
  <c r="BQ173" i="27" s="1"/>
  <c r="BN174" i="27"/>
  <c r="BP174" i="27" s="1"/>
  <c r="BO174" i="27"/>
  <c r="BQ174" i="27" s="1"/>
  <c r="BN175" i="27"/>
  <c r="BO175" i="27"/>
  <c r="BQ175" i="27" s="1"/>
  <c r="BN176" i="27"/>
  <c r="BP176" i="27" s="1"/>
  <c r="BO176" i="27"/>
  <c r="BQ176" i="27" s="1"/>
  <c r="BN177" i="27"/>
  <c r="BP177" i="27" s="1"/>
  <c r="BO177" i="27"/>
  <c r="BQ177" i="27" s="1"/>
  <c r="BN178" i="27"/>
  <c r="C23" i="62" s="1"/>
  <c r="BO178" i="27"/>
  <c r="BQ178" i="27" s="1"/>
  <c r="BN179" i="27"/>
  <c r="BP179" i="27" s="1"/>
  <c r="BO179" i="27"/>
  <c r="BQ179" i="27" s="1"/>
  <c r="BN180" i="27"/>
  <c r="BP180" i="27" s="1"/>
  <c r="BO180" i="27"/>
  <c r="BQ180" i="27" s="1"/>
  <c r="BN181" i="27"/>
  <c r="BP181" i="27" s="1"/>
  <c r="BO181" i="27"/>
  <c r="BQ181" i="27" s="1"/>
  <c r="BN182" i="27"/>
  <c r="BP182" i="27" s="1"/>
  <c r="BO182" i="27"/>
  <c r="BQ182" i="27" s="1"/>
  <c r="BN183" i="27"/>
  <c r="BP183" i="27" s="1"/>
  <c r="BO183" i="27"/>
  <c r="BQ183" i="27" s="1"/>
  <c r="BN184" i="27"/>
  <c r="BP184" i="27" s="1"/>
  <c r="BO184" i="27"/>
  <c r="BQ184" i="27" s="1"/>
  <c r="BN185" i="27"/>
  <c r="BP185" i="27" s="1"/>
  <c r="BO185" i="27"/>
  <c r="BQ185" i="27" s="1"/>
  <c r="BN186" i="27"/>
  <c r="BP186" i="27" s="1"/>
  <c r="BO186" i="27"/>
  <c r="BQ186" i="27" s="1"/>
  <c r="BN187" i="27"/>
  <c r="BP187" i="27" s="1"/>
  <c r="BO187" i="27"/>
  <c r="BQ187" i="27" s="1"/>
  <c r="BN188" i="27"/>
  <c r="BP188" i="27" s="1"/>
  <c r="BO188" i="27"/>
  <c r="BQ188" i="27" s="1"/>
  <c r="BN189" i="27"/>
  <c r="BO189" i="27"/>
  <c r="BQ189" i="27" s="1"/>
  <c r="BN149" i="27"/>
  <c r="K6" i="62" s="1"/>
  <c r="BO149" i="27"/>
  <c r="BQ149" i="27" s="1"/>
  <c r="BN150" i="27"/>
  <c r="BP150" i="27" s="1"/>
  <c r="BO150" i="27"/>
  <c r="BQ150" i="27" s="1"/>
  <c r="BN151" i="27"/>
  <c r="BP151" i="27" s="1"/>
  <c r="BO151" i="27"/>
  <c r="BQ151" i="27" s="1"/>
  <c r="BN152" i="27"/>
  <c r="BP152" i="27" s="1"/>
  <c r="BO152" i="27"/>
  <c r="BQ152" i="27" s="1"/>
  <c r="BN153" i="27"/>
  <c r="BP153" i="27" s="1"/>
  <c r="BO153" i="27"/>
  <c r="BQ153" i="27" s="1"/>
  <c r="BN154" i="27"/>
  <c r="BO154" i="27"/>
  <c r="BQ154" i="27" s="1"/>
  <c r="BN155" i="27"/>
  <c r="BP155" i="27" s="1"/>
  <c r="BO155" i="27"/>
  <c r="BQ155" i="27" s="1"/>
  <c r="BN156" i="27"/>
  <c r="BO156" i="27"/>
  <c r="BQ156" i="27" s="1"/>
  <c r="BN157" i="27"/>
  <c r="BO157" i="27"/>
  <c r="BQ157" i="27" s="1"/>
  <c r="BN158" i="27"/>
  <c r="BO158" i="27"/>
  <c r="BQ158" i="27" s="1"/>
  <c r="BN159" i="27"/>
  <c r="BP159" i="27" s="1"/>
  <c r="BO159" i="27"/>
  <c r="BQ159" i="27" s="1"/>
  <c r="BN134" i="27"/>
  <c r="C34" i="62" s="1"/>
  <c r="BO134" i="27"/>
  <c r="BQ134" i="27" s="1"/>
  <c r="BN135" i="27"/>
  <c r="K19" i="62" s="1"/>
  <c r="BO135" i="27"/>
  <c r="BQ135" i="27" s="1"/>
  <c r="BN136" i="27"/>
  <c r="BP136" i="27" s="1"/>
  <c r="BO136" i="27"/>
  <c r="BQ136" i="27" s="1"/>
  <c r="BN137" i="27"/>
  <c r="BO137" i="27"/>
  <c r="BQ137" i="27" s="1"/>
  <c r="BN138" i="27"/>
  <c r="K39" i="62" s="1"/>
  <c r="BO138" i="27"/>
  <c r="BQ138" i="27" s="1"/>
  <c r="BN139" i="27"/>
  <c r="BP139" i="27" s="1"/>
  <c r="BO139" i="27"/>
  <c r="BQ139" i="27" s="1"/>
  <c r="BN140" i="27"/>
  <c r="BO140" i="27"/>
  <c r="BQ140" i="27" s="1"/>
  <c r="BN115" i="27"/>
  <c r="BP115" i="27" s="1"/>
  <c r="BO115" i="27"/>
  <c r="BQ115" i="27" s="1"/>
  <c r="BN116" i="27"/>
  <c r="BP116" i="27" s="1"/>
  <c r="BO116" i="27"/>
  <c r="BQ116" i="27" s="1"/>
  <c r="BN117" i="27"/>
  <c r="BP117" i="27" s="1"/>
  <c r="BO117" i="27"/>
  <c r="BQ117" i="27" s="1"/>
  <c r="BN118" i="27"/>
  <c r="BP118" i="27" s="1"/>
  <c r="BO118" i="27"/>
  <c r="BQ118" i="27" s="1"/>
  <c r="BN119" i="27"/>
  <c r="BP119" i="27" s="1"/>
  <c r="BO119" i="27"/>
  <c r="BQ119" i="27" s="1"/>
  <c r="BN120" i="27"/>
  <c r="BP120" i="27" s="1"/>
  <c r="BO120" i="27"/>
  <c r="BQ120" i="27" s="1"/>
  <c r="BN121" i="27"/>
  <c r="BP121" i="27" s="1"/>
  <c r="BO121" i="27"/>
  <c r="BQ121" i="27" s="1"/>
  <c r="BN122" i="27"/>
  <c r="BP122" i="27" s="1"/>
  <c r="BO122" i="27"/>
  <c r="BQ122" i="27" s="1"/>
  <c r="BN123" i="27"/>
  <c r="BP123" i="27" s="1"/>
  <c r="BO123" i="27"/>
  <c r="BQ123" i="27" s="1"/>
  <c r="BN124" i="27"/>
  <c r="BP124" i="27" s="1"/>
  <c r="BO124" i="27"/>
  <c r="BQ124" i="27" s="1"/>
  <c r="BN125" i="27"/>
  <c r="BP125" i="27" s="1"/>
  <c r="BO125" i="27"/>
  <c r="BQ125" i="27" s="1"/>
  <c r="BN104" i="27"/>
  <c r="BP104" i="27" s="1"/>
  <c r="BO104" i="27"/>
  <c r="BQ104" i="27" s="1"/>
  <c r="BN105" i="27"/>
  <c r="BP105" i="27" s="1"/>
  <c r="BO105" i="27"/>
  <c r="BQ105" i="27" s="1"/>
  <c r="BN106" i="27"/>
  <c r="BP106" i="27" s="1"/>
  <c r="BO106" i="27"/>
  <c r="BQ106" i="27" s="1"/>
  <c r="BN81" i="27"/>
  <c r="BP81" i="27" s="1"/>
  <c r="BO81" i="27"/>
  <c r="BQ81" i="27" s="1"/>
  <c r="BN82" i="27"/>
  <c r="BP82" i="27" s="1"/>
  <c r="BO82" i="27"/>
  <c r="BQ82" i="27" s="1"/>
  <c r="BN83" i="27"/>
  <c r="BP83" i="27" s="1"/>
  <c r="BO83" i="27"/>
  <c r="BQ83" i="27" s="1"/>
  <c r="BN84" i="27"/>
  <c r="BP84" i="27" s="1"/>
  <c r="BO84" i="27"/>
  <c r="BQ84" i="27" s="1"/>
  <c r="BN85" i="27"/>
  <c r="BP85" i="27" s="1"/>
  <c r="BO85" i="27"/>
  <c r="BQ85" i="27" s="1"/>
  <c r="BN86" i="27"/>
  <c r="BO86" i="27"/>
  <c r="BQ86" i="27" s="1"/>
  <c r="BN72" i="27"/>
  <c r="BP72" i="27" s="1"/>
  <c r="BO72" i="27"/>
  <c r="BQ72" i="27" s="1"/>
  <c r="BN73" i="27"/>
  <c r="BP73" i="27" s="1"/>
  <c r="BO73" i="27"/>
  <c r="BQ73" i="27" s="1"/>
  <c r="BN61" i="27"/>
  <c r="BP61" i="27" s="1"/>
  <c r="BO61" i="27"/>
  <c r="BQ61" i="27" s="1"/>
  <c r="BN62" i="27"/>
  <c r="BO62" i="27"/>
  <c r="BQ62" i="27" s="1"/>
  <c r="BN63" i="27"/>
  <c r="BP63" i="27" s="1"/>
  <c r="BO63" i="27"/>
  <c r="BQ63" i="27" s="1"/>
  <c r="BN64" i="27"/>
  <c r="BP64" i="27" s="1"/>
  <c r="BO64" i="27"/>
  <c r="BQ64" i="27" s="1"/>
  <c r="BN65" i="27"/>
  <c r="BP65" i="27" s="1"/>
  <c r="BO65" i="27"/>
  <c r="BQ65" i="27" s="1"/>
  <c r="BN31" i="27"/>
  <c r="BP31" i="27" s="1"/>
  <c r="BO31" i="27"/>
  <c r="BQ31" i="27" s="1"/>
  <c r="BN32" i="27"/>
  <c r="BP32" i="27" s="1"/>
  <c r="BO32" i="27"/>
  <c r="BQ32" i="27" s="1"/>
  <c r="BN33" i="27"/>
  <c r="BP33" i="27" s="1"/>
  <c r="BO33" i="27"/>
  <c r="BQ33" i="27" s="1"/>
  <c r="BN34" i="27"/>
  <c r="BP34" i="27" s="1"/>
  <c r="BO34" i="27"/>
  <c r="BQ34" i="27" s="1"/>
  <c r="BN35" i="27"/>
  <c r="BO35" i="27"/>
  <c r="BQ35" i="27" s="1"/>
  <c r="BN36" i="27"/>
  <c r="BO36" i="27"/>
  <c r="BQ36" i="27" s="1"/>
  <c r="BN37" i="27"/>
  <c r="BP37" i="27" s="1"/>
  <c r="BO37" i="27"/>
  <c r="BQ37" i="27" s="1"/>
  <c r="BN38" i="27"/>
  <c r="BO38" i="27"/>
  <c r="BQ38" i="27" s="1"/>
  <c r="BN39" i="27"/>
  <c r="BO39" i="27"/>
  <c r="BQ39" i="27" s="1"/>
  <c r="BN40" i="27"/>
  <c r="BO40" i="27"/>
  <c r="BQ40" i="27" s="1"/>
  <c r="BN41" i="27"/>
  <c r="BP41" i="27" s="1"/>
  <c r="BO41" i="27"/>
  <c r="BQ41" i="27" s="1"/>
  <c r="BN42" i="27"/>
  <c r="BO42" i="27"/>
  <c r="BQ42" i="27" s="1"/>
  <c r="BN43" i="27"/>
  <c r="BO43" i="27"/>
  <c r="BQ43" i="27" s="1"/>
  <c r="BN44" i="27"/>
  <c r="K18" i="62" s="1"/>
  <c r="BO44" i="27"/>
  <c r="BQ44" i="27" s="1"/>
  <c r="BN45" i="27"/>
  <c r="BO45" i="27"/>
  <c r="BQ45" i="27" s="1"/>
  <c r="BN46" i="27"/>
  <c r="BP46" i="27" s="1"/>
  <c r="BO46" i="27"/>
  <c r="BQ46" i="27" s="1"/>
  <c r="BO371" i="27"/>
  <c r="BQ371" i="27" s="1"/>
  <c r="BN371" i="27"/>
  <c r="BP371" i="27" s="1"/>
  <c r="BO349" i="27"/>
  <c r="BQ349" i="27" s="1"/>
  <c r="BN349" i="27"/>
  <c r="BP349" i="27" s="1"/>
  <c r="BO333" i="27"/>
  <c r="BQ333" i="27" s="1"/>
  <c r="BN333" i="27"/>
  <c r="BP333" i="27" s="1"/>
  <c r="BO298" i="27"/>
  <c r="BQ298" i="27" s="1"/>
  <c r="BN298" i="27"/>
  <c r="BP298" i="27" s="1"/>
  <c r="BO264" i="27"/>
  <c r="BN264" i="27"/>
  <c r="BO252" i="27"/>
  <c r="BQ252" i="27" s="1"/>
  <c r="BN252" i="27"/>
  <c r="BP252" i="27" s="1"/>
  <c r="BO227" i="27"/>
  <c r="BQ227" i="27" s="1"/>
  <c r="BN227" i="27"/>
  <c r="BP227" i="27" s="1"/>
  <c r="BO202" i="27"/>
  <c r="BQ202" i="27" s="1"/>
  <c r="BN202" i="27"/>
  <c r="BP202" i="27" s="1"/>
  <c r="BO166" i="27"/>
  <c r="BQ166" i="27" s="1"/>
  <c r="BN166" i="27"/>
  <c r="BP166" i="27" s="1"/>
  <c r="BO148" i="27"/>
  <c r="BQ148" i="27" s="1"/>
  <c r="BN148" i="27"/>
  <c r="BO133" i="27"/>
  <c r="BQ133" i="27" s="1"/>
  <c r="BN133" i="27"/>
  <c r="BP133" i="27" s="1"/>
  <c r="BO114" i="27"/>
  <c r="BQ114" i="27" s="1"/>
  <c r="BN114" i="27"/>
  <c r="BP114" i="27" s="1"/>
  <c r="BO103" i="27"/>
  <c r="BQ103" i="27" s="1"/>
  <c r="BN103" i="27"/>
  <c r="BP103" i="27" s="1"/>
  <c r="BO94" i="27"/>
  <c r="BQ94" i="27" s="1"/>
  <c r="BN94" i="27"/>
  <c r="BP94" i="27" s="1"/>
  <c r="BO80" i="27"/>
  <c r="BQ80" i="27" s="1"/>
  <c r="BN80" i="27"/>
  <c r="BP80" i="27" s="1"/>
  <c r="BO71" i="27"/>
  <c r="BQ71" i="27" s="1"/>
  <c r="BN71" i="27"/>
  <c r="BP71" i="27" s="1"/>
  <c r="BO60" i="27"/>
  <c r="BQ60" i="27" s="1"/>
  <c r="BN60" i="27"/>
  <c r="G47" i="62" s="1"/>
  <c r="BO30" i="27"/>
  <c r="BQ30" i="27" s="1"/>
  <c r="BN30" i="27"/>
  <c r="BP30" i="27" s="1"/>
  <c r="G7" i="62"/>
  <c r="BN5" i="27"/>
  <c r="BP5" i="27" s="1"/>
  <c r="BO5" i="27"/>
  <c r="BQ5" i="27" s="1"/>
  <c r="BN6" i="27"/>
  <c r="BP6" i="27" s="1"/>
  <c r="BO6" i="27"/>
  <c r="BQ6" i="27" s="1"/>
  <c r="BN7" i="27"/>
  <c r="BO7" i="27"/>
  <c r="BQ7" i="27" s="1"/>
  <c r="BN8" i="27"/>
  <c r="BP8" i="27" s="1"/>
  <c r="BO8" i="27"/>
  <c r="BQ8" i="27" s="1"/>
  <c r="BN9" i="27"/>
  <c r="BP9" i="27" s="1"/>
  <c r="BO9" i="27"/>
  <c r="BQ9" i="27" s="1"/>
  <c r="BN10" i="27"/>
  <c r="BP10" i="27" s="1"/>
  <c r="BO10" i="27"/>
  <c r="BQ10" i="27" s="1"/>
  <c r="BN11" i="27"/>
  <c r="BP11" i="27" s="1"/>
  <c r="BO11" i="27"/>
  <c r="BQ11" i="27" s="1"/>
  <c r="BN12" i="27"/>
  <c r="BP12" i="27" s="1"/>
  <c r="BO12" i="27"/>
  <c r="BQ12" i="27" s="1"/>
  <c r="BN13" i="27"/>
  <c r="BP13" i="27" s="1"/>
  <c r="BO13" i="27"/>
  <c r="BQ13" i="27" s="1"/>
  <c r="BN14" i="27"/>
  <c r="BO14" i="27"/>
  <c r="BQ14" i="27" s="1"/>
  <c r="BN15" i="27"/>
  <c r="BO15" i="27"/>
  <c r="BQ15" i="27" s="1"/>
  <c r="BN16" i="27"/>
  <c r="C56" i="62" s="1"/>
  <c r="BO16" i="27"/>
  <c r="BQ16" i="27" s="1"/>
  <c r="BN17" i="27"/>
  <c r="BP17" i="27" s="1"/>
  <c r="BO17" i="27"/>
  <c r="BQ17" i="27" s="1"/>
  <c r="BN18" i="27"/>
  <c r="BP18" i="27" s="1"/>
  <c r="BO18" i="27"/>
  <c r="BQ18" i="27" s="1"/>
  <c r="BN19" i="27"/>
  <c r="BP19" i="27" s="1"/>
  <c r="BO19" i="27"/>
  <c r="BQ19" i="27" s="1"/>
  <c r="BN20" i="27"/>
  <c r="BP20" i="27" s="1"/>
  <c r="BO20" i="27"/>
  <c r="BQ20" i="27" s="1"/>
  <c r="BN21" i="27"/>
  <c r="BP21" i="27" s="1"/>
  <c r="BO21" i="27"/>
  <c r="BQ21" i="27" s="1"/>
  <c r="BN22" i="27"/>
  <c r="BP22" i="27" s="1"/>
  <c r="BO22" i="27"/>
  <c r="BQ22" i="27" s="1"/>
  <c r="BN23" i="27"/>
  <c r="BP23" i="27" s="1"/>
  <c r="BO23" i="27"/>
  <c r="BQ23" i="27" s="1"/>
  <c r="BO4" i="27"/>
  <c r="BQ4" i="27" s="1"/>
  <c r="BN4" i="27"/>
  <c r="BP4" i="27" s="1"/>
  <c r="BL380" i="41"/>
  <c r="BJ380" i="41"/>
  <c r="BH380" i="41"/>
  <c r="BF380" i="41"/>
  <c r="BD380" i="41"/>
  <c r="BB380" i="41"/>
  <c r="AZ380" i="41"/>
  <c r="AX380" i="41"/>
  <c r="AV380" i="41"/>
  <c r="AT380" i="41"/>
  <c r="AR380" i="41"/>
  <c r="AP380" i="41"/>
  <c r="AN380" i="41"/>
  <c r="AL380" i="41"/>
  <c r="AJ380" i="41"/>
  <c r="AH380" i="41"/>
  <c r="BM376" i="41"/>
  <c r="BM401" i="41" s="1"/>
  <c r="BL376" i="41"/>
  <c r="BL401" i="41" s="1"/>
  <c r="BK376" i="41"/>
  <c r="BK401" i="41" s="1"/>
  <c r="BJ376" i="41"/>
  <c r="BJ401" i="41" s="1"/>
  <c r="BI376" i="41"/>
  <c r="BI401" i="41" s="1"/>
  <c r="BH376" i="41"/>
  <c r="BH401" i="41" s="1"/>
  <c r="BG376" i="41"/>
  <c r="BG401" i="41" s="1"/>
  <c r="BF376" i="41"/>
  <c r="BF401" i="41" s="1"/>
  <c r="BE376" i="41"/>
  <c r="BE401" i="41" s="1"/>
  <c r="BD376" i="41"/>
  <c r="BD401" i="41" s="1"/>
  <c r="BC376" i="41"/>
  <c r="BC401" i="41" s="1"/>
  <c r="BB376" i="41"/>
  <c r="BB401" i="41" s="1"/>
  <c r="BA376" i="41"/>
  <c r="BA401" i="41" s="1"/>
  <c r="AZ376" i="41"/>
  <c r="AZ401" i="41" s="1"/>
  <c r="AY376" i="41"/>
  <c r="AY401" i="41" s="1"/>
  <c r="AX376" i="41"/>
  <c r="AX401" i="41" s="1"/>
  <c r="AW376" i="41"/>
  <c r="AW401" i="41" s="1"/>
  <c r="AV376" i="41"/>
  <c r="AV401" i="41" s="1"/>
  <c r="AU376" i="41"/>
  <c r="AU401" i="41" s="1"/>
  <c r="AT376" i="41"/>
  <c r="AT401" i="41" s="1"/>
  <c r="AS376" i="41"/>
  <c r="AS401" i="41" s="1"/>
  <c r="AR376" i="41"/>
  <c r="AR401" i="41" s="1"/>
  <c r="AQ376" i="41"/>
  <c r="AQ401" i="41" s="1"/>
  <c r="AP376" i="41"/>
  <c r="AP401" i="41" s="1"/>
  <c r="AO376" i="41"/>
  <c r="AO401" i="41" s="1"/>
  <c r="AN376" i="41"/>
  <c r="AN401" i="41" s="1"/>
  <c r="AM376" i="41"/>
  <c r="AM401" i="41" s="1"/>
  <c r="AL376" i="41"/>
  <c r="AL401" i="41" s="1"/>
  <c r="AK376" i="41"/>
  <c r="AK401" i="41" s="1"/>
  <c r="AJ376" i="41"/>
  <c r="AJ401" i="41" s="1"/>
  <c r="AI376" i="41"/>
  <c r="AI401" i="41" s="1"/>
  <c r="AH376" i="41"/>
  <c r="AH401" i="41" s="1"/>
  <c r="BL369" i="41"/>
  <c r="BJ369" i="41"/>
  <c r="BH369" i="41"/>
  <c r="BF369" i="41"/>
  <c r="BD369" i="41"/>
  <c r="BB369" i="41"/>
  <c r="AZ369" i="41"/>
  <c r="AX369" i="41"/>
  <c r="AV369" i="41"/>
  <c r="AT369" i="41"/>
  <c r="AR369" i="41"/>
  <c r="AP369" i="41"/>
  <c r="AN369" i="41"/>
  <c r="AL369" i="41"/>
  <c r="AJ369" i="41"/>
  <c r="AH369" i="41"/>
  <c r="BM400" i="41"/>
  <c r="BL400" i="41"/>
  <c r="BK400" i="41"/>
  <c r="BJ400" i="41"/>
  <c r="BI400" i="41"/>
  <c r="BH400" i="41"/>
  <c r="BG400" i="41"/>
  <c r="BF400" i="41"/>
  <c r="BE400" i="41"/>
  <c r="BD400" i="41"/>
  <c r="BC400" i="41"/>
  <c r="BB400" i="41"/>
  <c r="BA400" i="41"/>
  <c r="AZ400" i="41"/>
  <c r="AY400" i="41"/>
  <c r="AX400" i="41"/>
  <c r="AW400" i="41"/>
  <c r="AV400" i="41"/>
  <c r="AU400" i="41"/>
  <c r="AT400" i="41"/>
  <c r="AS400" i="41"/>
  <c r="AR400" i="41"/>
  <c r="AQ400" i="41"/>
  <c r="AP400" i="41"/>
  <c r="AO400" i="41"/>
  <c r="AN400" i="41"/>
  <c r="AM400" i="41"/>
  <c r="AL400" i="41"/>
  <c r="AK400" i="41"/>
  <c r="AJ400" i="41"/>
  <c r="AI400" i="41"/>
  <c r="AH400" i="41"/>
  <c r="BL347" i="41"/>
  <c r="BJ347" i="41"/>
  <c r="BH347" i="41"/>
  <c r="BF347" i="41"/>
  <c r="BD347" i="41"/>
  <c r="BB347" i="41"/>
  <c r="AZ347" i="41"/>
  <c r="AX347" i="41"/>
  <c r="AV347" i="41"/>
  <c r="AT347" i="41"/>
  <c r="AR347" i="41"/>
  <c r="AP347" i="41"/>
  <c r="AN347" i="41"/>
  <c r="AL347" i="41"/>
  <c r="AJ347" i="41"/>
  <c r="AH347" i="41"/>
  <c r="BM343" i="41"/>
  <c r="BM399" i="41" s="1"/>
  <c r="BL343" i="41"/>
  <c r="BL399" i="41" s="1"/>
  <c r="BK343" i="41"/>
  <c r="BK399" i="41" s="1"/>
  <c r="BJ343" i="41"/>
  <c r="BJ399" i="41" s="1"/>
  <c r="BI343" i="41"/>
  <c r="BI399" i="41" s="1"/>
  <c r="BH343" i="41"/>
  <c r="BH399" i="41" s="1"/>
  <c r="BG343" i="41"/>
  <c r="BG399" i="41" s="1"/>
  <c r="BF343" i="41"/>
  <c r="BF399" i="41" s="1"/>
  <c r="BE343" i="41"/>
  <c r="BE399" i="41" s="1"/>
  <c r="BD343" i="41"/>
  <c r="BD399" i="41" s="1"/>
  <c r="BC343" i="41"/>
  <c r="BC399" i="41" s="1"/>
  <c r="BB343" i="41"/>
  <c r="BB399" i="41" s="1"/>
  <c r="BA343" i="41"/>
  <c r="BA399" i="41" s="1"/>
  <c r="AZ343" i="41"/>
  <c r="AZ399" i="41" s="1"/>
  <c r="AY343" i="41"/>
  <c r="AY399" i="41" s="1"/>
  <c r="AX343" i="41"/>
  <c r="AX399" i="41" s="1"/>
  <c r="AW343" i="41"/>
  <c r="AW399" i="41" s="1"/>
  <c r="AV343" i="41"/>
  <c r="AV399" i="41" s="1"/>
  <c r="AU343" i="41"/>
  <c r="AU399" i="41" s="1"/>
  <c r="AT343" i="41"/>
  <c r="AT399" i="41" s="1"/>
  <c r="AS343" i="41"/>
  <c r="AS399" i="41" s="1"/>
  <c r="AR343" i="41"/>
  <c r="AR399" i="41" s="1"/>
  <c r="AQ343" i="41"/>
  <c r="AQ399" i="41" s="1"/>
  <c r="AP343" i="41"/>
  <c r="AP399" i="41" s="1"/>
  <c r="AO343" i="41"/>
  <c r="AO399" i="41" s="1"/>
  <c r="AN343" i="41"/>
  <c r="AN399" i="41" s="1"/>
  <c r="AM343" i="41"/>
  <c r="AM399" i="41" s="1"/>
  <c r="AL343" i="41"/>
  <c r="AL399" i="41" s="1"/>
  <c r="AK343" i="41"/>
  <c r="AK399" i="41" s="1"/>
  <c r="AJ343" i="41"/>
  <c r="AJ399" i="41" s="1"/>
  <c r="AI343" i="41"/>
  <c r="AI399" i="41" s="1"/>
  <c r="AH343" i="41"/>
  <c r="AH399" i="41" s="1"/>
  <c r="BL331" i="41"/>
  <c r="BJ331" i="41"/>
  <c r="BH331" i="41"/>
  <c r="BF331" i="41"/>
  <c r="BD331" i="41"/>
  <c r="BB331" i="41"/>
  <c r="AZ331" i="41"/>
  <c r="AX331" i="41"/>
  <c r="AV331" i="41"/>
  <c r="AT331" i="41"/>
  <c r="AR331" i="41"/>
  <c r="AP331" i="41"/>
  <c r="AN331" i="41"/>
  <c r="AL331" i="41"/>
  <c r="AJ331" i="41"/>
  <c r="AH331" i="41"/>
  <c r="BM327" i="41"/>
  <c r="BM398" i="41" s="1"/>
  <c r="BL327" i="41"/>
  <c r="BL398" i="41" s="1"/>
  <c r="BK327" i="41"/>
  <c r="BK398" i="41" s="1"/>
  <c r="BJ327" i="41"/>
  <c r="BJ398" i="41" s="1"/>
  <c r="BI327" i="41"/>
  <c r="BI398" i="41" s="1"/>
  <c r="BH327" i="41"/>
  <c r="BH398" i="41" s="1"/>
  <c r="BG327" i="41"/>
  <c r="BG398" i="41" s="1"/>
  <c r="BF327" i="41"/>
  <c r="BF398" i="41" s="1"/>
  <c r="BE327" i="41"/>
  <c r="BE398" i="41" s="1"/>
  <c r="BD327" i="41"/>
  <c r="BD398" i="41" s="1"/>
  <c r="BC327" i="41"/>
  <c r="BC398" i="41" s="1"/>
  <c r="BB327" i="41"/>
  <c r="BB398" i="41" s="1"/>
  <c r="BA327" i="41"/>
  <c r="BA398" i="41" s="1"/>
  <c r="AZ327" i="41"/>
  <c r="AZ398" i="41" s="1"/>
  <c r="AY327" i="41"/>
  <c r="AY398" i="41" s="1"/>
  <c r="AX327" i="41"/>
  <c r="AX398" i="41" s="1"/>
  <c r="AW327" i="41"/>
  <c r="AW398" i="41" s="1"/>
  <c r="AV327" i="41"/>
  <c r="AV398" i="41" s="1"/>
  <c r="AU327" i="41"/>
  <c r="AU398" i="41" s="1"/>
  <c r="AT327" i="41"/>
  <c r="AT398" i="41" s="1"/>
  <c r="AS327" i="41"/>
  <c r="AS398" i="41" s="1"/>
  <c r="AR327" i="41"/>
  <c r="AR398" i="41" s="1"/>
  <c r="AQ327" i="41"/>
  <c r="AQ398" i="41" s="1"/>
  <c r="AP327" i="41"/>
  <c r="AP398" i="41" s="1"/>
  <c r="AO327" i="41"/>
  <c r="AO398" i="41" s="1"/>
  <c r="AN327" i="41"/>
  <c r="AN398" i="41" s="1"/>
  <c r="AM327" i="41"/>
  <c r="AM398" i="41" s="1"/>
  <c r="AL327" i="41"/>
  <c r="AL398" i="41" s="1"/>
  <c r="AK327" i="41"/>
  <c r="AK398" i="41" s="1"/>
  <c r="AJ327" i="41"/>
  <c r="AJ398" i="41" s="1"/>
  <c r="AI327" i="41"/>
  <c r="AI398" i="41" s="1"/>
  <c r="AH327" i="41"/>
  <c r="AH398" i="41" s="1"/>
  <c r="BL296" i="41"/>
  <c r="BJ296" i="41"/>
  <c r="BH296" i="41"/>
  <c r="BF296" i="41"/>
  <c r="BD296" i="41"/>
  <c r="BB296" i="41"/>
  <c r="AZ296" i="41"/>
  <c r="AX296" i="41"/>
  <c r="AV296" i="41"/>
  <c r="AT296" i="41"/>
  <c r="AR296" i="41"/>
  <c r="AP296" i="41"/>
  <c r="AN296" i="41"/>
  <c r="AL296" i="41"/>
  <c r="AJ296" i="41"/>
  <c r="AH296" i="41"/>
  <c r="BM397" i="41"/>
  <c r="BL397" i="41"/>
  <c r="BK397" i="41"/>
  <c r="BJ397" i="41"/>
  <c r="BI397" i="41"/>
  <c r="BH397" i="41"/>
  <c r="BG397" i="41"/>
  <c r="BF397" i="41"/>
  <c r="BE397" i="41"/>
  <c r="BD397" i="41"/>
  <c r="BC397" i="41"/>
  <c r="BB397" i="41"/>
  <c r="BA397" i="41"/>
  <c r="AZ397" i="41"/>
  <c r="AY397" i="41"/>
  <c r="AX397" i="41"/>
  <c r="AW397" i="41"/>
  <c r="AV397" i="41"/>
  <c r="AU397" i="41"/>
  <c r="AT397" i="41"/>
  <c r="AS397" i="41"/>
  <c r="AR397" i="41"/>
  <c r="AQ397" i="41"/>
  <c r="AP397" i="41"/>
  <c r="AO397" i="41"/>
  <c r="AN397" i="41"/>
  <c r="AM397" i="41"/>
  <c r="AL397" i="41"/>
  <c r="AK397" i="41"/>
  <c r="AJ397" i="41"/>
  <c r="AI397" i="41"/>
  <c r="AH397" i="41"/>
  <c r="BL262" i="41"/>
  <c r="BJ262" i="41"/>
  <c r="BH262" i="41"/>
  <c r="BF262" i="41"/>
  <c r="BD262" i="41"/>
  <c r="BB262" i="41"/>
  <c r="AZ262" i="41"/>
  <c r="AX262" i="41"/>
  <c r="AV262" i="41"/>
  <c r="AT262" i="41"/>
  <c r="AR262" i="41"/>
  <c r="AP262" i="41"/>
  <c r="AN262" i="41"/>
  <c r="AL262" i="41"/>
  <c r="AJ262" i="41"/>
  <c r="AH262" i="41"/>
  <c r="BM258" i="41"/>
  <c r="BM396" i="41" s="1"/>
  <c r="BL258" i="41"/>
  <c r="BL396" i="41" s="1"/>
  <c r="BK258" i="41"/>
  <c r="BK396" i="41" s="1"/>
  <c r="BJ258" i="41"/>
  <c r="BJ396" i="41" s="1"/>
  <c r="BI258" i="41"/>
  <c r="BI396" i="41" s="1"/>
  <c r="BH258" i="41"/>
  <c r="BH396" i="41" s="1"/>
  <c r="BG258" i="41"/>
  <c r="BG396" i="41" s="1"/>
  <c r="BF258" i="41"/>
  <c r="BF396" i="41" s="1"/>
  <c r="BE258" i="41"/>
  <c r="BE396" i="41" s="1"/>
  <c r="BD258" i="41"/>
  <c r="BD396" i="41" s="1"/>
  <c r="BC258" i="41"/>
  <c r="BC396" i="41" s="1"/>
  <c r="BB258" i="41"/>
  <c r="BB396" i="41" s="1"/>
  <c r="BA258" i="41"/>
  <c r="BA396" i="41" s="1"/>
  <c r="AZ258" i="41"/>
  <c r="AZ396" i="41" s="1"/>
  <c r="AY258" i="41"/>
  <c r="AY396" i="41" s="1"/>
  <c r="AX258" i="41"/>
  <c r="AX396" i="41" s="1"/>
  <c r="AW258" i="41"/>
  <c r="AW396" i="41" s="1"/>
  <c r="AV258" i="41"/>
  <c r="AV396" i="41" s="1"/>
  <c r="AU258" i="41"/>
  <c r="AU396" i="41" s="1"/>
  <c r="AT258" i="41"/>
  <c r="AT396" i="41" s="1"/>
  <c r="AS258" i="41"/>
  <c r="AS396" i="41" s="1"/>
  <c r="AR258" i="41"/>
  <c r="AR396" i="41" s="1"/>
  <c r="AQ258" i="41"/>
  <c r="AQ396" i="41" s="1"/>
  <c r="AP258" i="41"/>
  <c r="AP396" i="41" s="1"/>
  <c r="AO258" i="41"/>
  <c r="AO396" i="41" s="1"/>
  <c r="AN258" i="41"/>
  <c r="AN396" i="41" s="1"/>
  <c r="AM258" i="41"/>
  <c r="AM396" i="41" s="1"/>
  <c r="AL258" i="41"/>
  <c r="AL396" i="41" s="1"/>
  <c r="AK258" i="41"/>
  <c r="AK396" i="41" s="1"/>
  <c r="AJ258" i="41"/>
  <c r="AJ396" i="41" s="1"/>
  <c r="AI258" i="41"/>
  <c r="AI396" i="41" s="1"/>
  <c r="AH258" i="41"/>
  <c r="AH396" i="41" s="1"/>
  <c r="BL250" i="41"/>
  <c r="BJ250" i="41"/>
  <c r="BH250" i="41"/>
  <c r="BF250" i="41"/>
  <c r="BD250" i="41"/>
  <c r="BB250" i="41"/>
  <c r="AZ250" i="41"/>
  <c r="AX250" i="41"/>
  <c r="AV250" i="41"/>
  <c r="AT250" i="41"/>
  <c r="AR250" i="41"/>
  <c r="AP250" i="41"/>
  <c r="AN250" i="41"/>
  <c r="AL250" i="41"/>
  <c r="AJ250" i="41"/>
  <c r="AH250" i="41"/>
  <c r="BM246" i="41"/>
  <c r="BM394" i="41" s="1"/>
  <c r="BL246" i="41"/>
  <c r="BL394" i="41" s="1"/>
  <c r="BK246" i="41"/>
  <c r="BK394" i="41" s="1"/>
  <c r="BJ246" i="41"/>
  <c r="BJ394" i="41" s="1"/>
  <c r="BI246" i="41"/>
  <c r="BI394" i="41" s="1"/>
  <c r="BH246" i="41"/>
  <c r="BH394" i="41" s="1"/>
  <c r="BG246" i="41"/>
  <c r="BG394" i="41" s="1"/>
  <c r="BF246" i="41"/>
  <c r="BF394" i="41" s="1"/>
  <c r="BE246" i="41"/>
  <c r="BE394" i="41" s="1"/>
  <c r="BD246" i="41"/>
  <c r="BD394" i="41" s="1"/>
  <c r="BC246" i="41"/>
  <c r="BC394" i="41" s="1"/>
  <c r="BB246" i="41"/>
  <c r="BB394" i="41" s="1"/>
  <c r="BA246" i="41"/>
  <c r="BA394" i="41" s="1"/>
  <c r="AZ246" i="41"/>
  <c r="AZ394" i="41" s="1"/>
  <c r="AY246" i="41"/>
  <c r="AY394" i="41" s="1"/>
  <c r="AX246" i="41"/>
  <c r="AX394" i="41" s="1"/>
  <c r="AW246" i="41"/>
  <c r="AW394" i="41" s="1"/>
  <c r="AV246" i="41"/>
  <c r="AV394" i="41" s="1"/>
  <c r="AU246" i="41"/>
  <c r="AU394" i="41" s="1"/>
  <c r="AT246" i="41"/>
  <c r="AT394" i="41" s="1"/>
  <c r="AS246" i="41"/>
  <c r="AS394" i="41" s="1"/>
  <c r="AR246" i="41"/>
  <c r="AR394" i="41" s="1"/>
  <c r="AQ246" i="41"/>
  <c r="AQ394" i="41" s="1"/>
  <c r="AP246" i="41"/>
  <c r="AP394" i="41" s="1"/>
  <c r="AO246" i="41"/>
  <c r="AO394" i="41" s="1"/>
  <c r="AN246" i="41"/>
  <c r="AN394" i="41" s="1"/>
  <c r="AM246" i="41"/>
  <c r="AM394" i="41" s="1"/>
  <c r="AL246" i="41"/>
  <c r="AL394" i="41" s="1"/>
  <c r="AK246" i="41"/>
  <c r="AK394" i="41" s="1"/>
  <c r="AJ246" i="41"/>
  <c r="AJ394" i="41" s="1"/>
  <c r="AI246" i="41"/>
  <c r="AI394" i="41" s="1"/>
  <c r="AH246" i="41"/>
  <c r="AH394" i="41" s="1"/>
  <c r="BL225" i="41"/>
  <c r="BJ225" i="41"/>
  <c r="BH225" i="41"/>
  <c r="BF225" i="41"/>
  <c r="BD225" i="41"/>
  <c r="BB225" i="41"/>
  <c r="AZ225" i="41"/>
  <c r="AX225" i="41"/>
  <c r="AV225" i="41"/>
  <c r="AT225" i="41"/>
  <c r="AR225" i="41"/>
  <c r="AP225" i="41"/>
  <c r="AN225" i="41"/>
  <c r="AL225" i="41"/>
  <c r="AJ225" i="41"/>
  <c r="AH225" i="41"/>
  <c r="BM221" i="41"/>
  <c r="BM393" i="41" s="1"/>
  <c r="BL221" i="41"/>
  <c r="BL393" i="41" s="1"/>
  <c r="BK221" i="41"/>
  <c r="BK393" i="41" s="1"/>
  <c r="BJ221" i="41"/>
  <c r="BJ393" i="41" s="1"/>
  <c r="BI221" i="41"/>
  <c r="BI393" i="41" s="1"/>
  <c r="BH221" i="41"/>
  <c r="BH393" i="41" s="1"/>
  <c r="BG221" i="41"/>
  <c r="BG393" i="41" s="1"/>
  <c r="BF221" i="41"/>
  <c r="BF393" i="41" s="1"/>
  <c r="BE221" i="41"/>
  <c r="BE393" i="41" s="1"/>
  <c r="BD221" i="41"/>
  <c r="BD393" i="41" s="1"/>
  <c r="BC221" i="41"/>
  <c r="BC393" i="41" s="1"/>
  <c r="BB221" i="41"/>
  <c r="BB393" i="41" s="1"/>
  <c r="BA221" i="41"/>
  <c r="BA393" i="41" s="1"/>
  <c r="AZ221" i="41"/>
  <c r="AZ393" i="41" s="1"/>
  <c r="AY221" i="41"/>
  <c r="AY393" i="41" s="1"/>
  <c r="AX221" i="41"/>
  <c r="AX393" i="41" s="1"/>
  <c r="AW221" i="41"/>
  <c r="AW393" i="41" s="1"/>
  <c r="AV221" i="41"/>
  <c r="AV393" i="41" s="1"/>
  <c r="AU221" i="41"/>
  <c r="AU393" i="41" s="1"/>
  <c r="AT221" i="41"/>
  <c r="AT393" i="41" s="1"/>
  <c r="AS221" i="41"/>
  <c r="AS393" i="41" s="1"/>
  <c r="AR221" i="41"/>
  <c r="AR393" i="41" s="1"/>
  <c r="AQ221" i="41"/>
  <c r="AQ393" i="41" s="1"/>
  <c r="AP221" i="41"/>
  <c r="AP393" i="41" s="1"/>
  <c r="AO221" i="41"/>
  <c r="AO393" i="41" s="1"/>
  <c r="AN221" i="41"/>
  <c r="AM221" i="41"/>
  <c r="AM393" i="41" s="1"/>
  <c r="AL221" i="41"/>
  <c r="AL393" i="41" s="1"/>
  <c r="AK221" i="41"/>
  <c r="AK393" i="41" s="1"/>
  <c r="AJ221" i="41"/>
  <c r="AJ393" i="41" s="1"/>
  <c r="AI221" i="41"/>
  <c r="AI393" i="41" s="1"/>
  <c r="AH221" i="41"/>
  <c r="AH393" i="41" s="1"/>
  <c r="BL200" i="41"/>
  <c r="BJ200" i="41"/>
  <c r="BH200" i="41"/>
  <c r="BF200" i="41"/>
  <c r="BD200" i="41"/>
  <c r="BB200" i="41"/>
  <c r="AZ200" i="41"/>
  <c r="AX200" i="41"/>
  <c r="AV200" i="41"/>
  <c r="AT200" i="41"/>
  <c r="AR200" i="41"/>
  <c r="AP200" i="41"/>
  <c r="AN200" i="41"/>
  <c r="AL200" i="41"/>
  <c r="AJ200" i="41"/>
  <c r="AH200" i="41"/>
  <c r="BM196" i="41"/>
  <c r="BM392" i="41" s="1"/>
  <c r="BL196" i="41"/>
  <c r="BL392" i="41" s="1"/>
  <c r="BK196" i="41"/>
  <c r="BK392" i="41" s="1"/>
  <c r="BJ196" i="41"/>
  <c r="BJ392" i="41" s="1"/>
  <c r="BI196" i="41"/>
  <c r="BI392" i="41" s="1"/>
  <c r="BH196" i="41"/>
  <c r="BH392" i="41" s="1"/>
  <c r="BG196" i="41"/>
  <c r="BG392" i="41" s="1"/>
  <c r="BF196" i="41"/>
  <c r="BF392" i="41" s="1"/>
  <c r="BE196" i="41"/>
  <c r="BE392" i="41" s="1"/>
  <c r="BD196" i="41"/>
  <c r="BD392" i="41" s="1"/>
  <c r="BC196" i="41"/>
  <c r="BC392" i="41" s="1"/>
  <c r="BB196" i="41"/>
  <c r="BB392" i="41" s="1"/>
  <c r="BA196" i="41"/>
  <c r="BA392" i="41" s="1"/>
  <c r="AZ196" i="41"/>
  <c r="AZ392" i="41" s="1"/>
  <c r="AY196" i="41"/>
  <c r="AY392" i="41" s="1"/>
  <c r="AX196" i="41"/>
  <c r="AX392" i="41" s="1"/>
  <c r="AW196" i="41"/>
  <c r="AW392" i="41" s="1"/>
  <c r="AV196" i="41"/>
  <c r="AV392" i="41" s="1"/>
  <c r="AU196" i="41"/>
  <c r="AU392" i="41" s="1"/>
  <c r="AT196" i="41"/>
  <c r="AT392" i="41" s="1"/>
  <c r="AS196" i="41"/>
  <c r="AS392" i="41" s="1"/>
  <c r="AR196" i="41"/>
  <c r="AR392" i="41" s="1"/>
  <c r="AQ196" i="41"/>
  <c r="AQ392" i="41" s="1"/>
  <c r="AP196" i="41"/>
  <c r="AP392" i="41" s="1"/>
  <c r="AO196" i="41"/>
  <c r="AO392" i="41" s="1"/>
  <c r="AN196" i="41"/>
  <c r="AN392" i="41" s="1"/>
  <c r="AM196" i="41"/>
  <c r="AM392" i="41" s="1"/>
  <c r="AL196" i="41"/>
  <c r="AL392" i="41" s="1"/>
  <c r="AK196" i="41"/>
  <c r="AK392" i="41" s="1"/>
  <c r="AJ196" i="41"/>
  <c r="AJ392" i="41" s="1"/>
  <c r="AI196" i="41"/>
  <c r="AI392" i="41" s="1"/>
  <c r="AH196" i="41"/>
  <c r="AH392" i="41" s="1"/>
  <c r="BL164" i="41"/>
  <c r="BJ164" i="41"/>
  <c r="BH164" i="41"/>
  <c r="BF164" i="41"/>
  <c r="BD164" i="41"/>
  <c r="BB164" i="41"/>
  <c r="AZ164" i="41"/>
  <c r="AX164" i="41"/>
  <c r="AV164" i="41"/>
  <c r="AT164" i="41"/>
  <c r="AR164" i="41"/>
  <c r="AP164" i="41"/>
  <c r="AN164" i="41"/>
  <c r="AL164" i="41"/>
  <c r="AJ164" i="41"/>
  <c r="AH164" i="41"/>
  <c r="BM160" i="41"/>
  <c r="BM391" i="41" s="1"/>
  <c r="BL160" i="41"/>
  <c r="BL391" i="41" s="1"/>
  <c r="BK160" i="41"/>
  <c r="BK391" i="41" s="1"/>
  <c r="BJ160" i="41"/>
  <c r="BJ391" i="41" s="1"/>
  <c r="BI160" i="41"/>
  <c r="BI391" i="41" s="1"/>
  <c r="BH160" i="41"/>
  <c r="BH391" i="41" s="1"/>
  <c r="BG160" i="41"/>
  <c r="BG391" i="41" s="1"/>
  <c r="BF160" i="41"/>
  <c r="BF391" i="41" s="1"/>
  <c r="BE160" i="41"/>
  <c r="BE391" i="41" s="1"/>
  <c r="BD160" i="41"/>
  <c r="BD391" i="41" s="1"/>
  <c r="BC160" i="41"/>
  <c r="BC391" i="41" s="1"/>
  <c r="BB160" i="41"/>
  <c r="BB391" i="41" s="1"/>
  <c r="BA160" i="41"/>
  <c r="BA391" i="41" s="1"/>
  <c r="AZ160" i="41"/>
  <c r="AZ391" i="41" s="1"/>
  <c r="AY160" i="41"/>
  <c r="AY391" i="41" s="1"/>
  <c r="AX160" i="41"/>
  <c r="AX391" i="41" s="1"/>
  <c r="AW160" i="41"/>
  <c r="AW391" i="41" s="1"/>
  <c r="AV160" i="41"/>
  <c r="AV391" i="41" s="1"/>
  <c r="AU160" i="41"/>
  <c r="AU391" i="41" s="1"/>
  <c r="AT160" i="41"/>
  <c r="AT391" i="41" s="1"/>
  <c r="AS160" i="41"/>
  <c r="AS391" i="41" s="1"/>
  <c r="AR160" i="41"/>
  <c r="AR391" i="41" s="1"/>
  <c r="AQ160" i="41"/>
  <c r="AQ391" i="41" s="1"/>
  <c r="AP160" i="41"/>
  <c r="AP391" i="41" s="1"/>
  <c r="AO160" i="41"/>
  <c r="AO391" i="41" s="1"/>
  <c r="AN160" i="41"/>
  <c r="AN391" i="41" s="1"/>
  <c r="AM160" i="41"/>
  <c r="AM391" i="41" s="1"/>
  <c r="AL160" i="41"/>
  <c r="AL391" i="41" s="1"/>
  <c r="AK160" i="41"/>
  <c r="AK391" i="41" s="1"/>
  <c r="AJ160" i="41"/>
  <c r="AJ391" i="41" s="1"/>
  <c r="AI160" i="41"/>
  <c r="AI391" i="41" s="1"/>
  <c r="AH160" i="41"/>
  <c r="AH391" i="41" s="1"/>
  <c r="BL146" i="41"/>
  <c r="BJ146" i="41"/>
  <c r="BH146" i="41"/>
  <c r="BF146" i="41"/>
  <c r="BD146" i="41"/>
  <c r="BB146" i="41"/>
  <c r="AZ146" i="41"/>
  <c r="AX146" i="41"/>
  <c r="AV146" i="41"/>
  <c r="AT146" i="41"/>
  <c r="AR146" i="41"/>
  <c r="AP146" i="41"/>
  <c r="AN146" i="41"/>
  <c r="AL146" i="41"/>
  <c r="AJ146" i="41"/>
  <c r="AH146" i="41"/>
  <c r="BM142" i="41"/>
  <c r="BM390" i="41" s="1"/>
  <c r="BL142" i="41"/>
  <c r="BL390" i="41" s="1"/>
  <c r="BK142" i="41"/>
  <c r="BK390" i="41" s="1"/>
  <c r="BJ142" i="41"/>
  <c r="BJ390" i="41" s="1"/>
  <c r="BI142" i="41"/>
  <c r="BI390" i="41" s="1"/>
  <c r="BH142" i="41"/>
  <c r="BH390" i="41" s="1"/>
  <c r="BG142" i="41"/>
  <c r="BG390" i="41" s="1"/>
  <c r="BF142" i="41"/>
  <c r="BF390" i="41" s="1"/>
  <c r="BE142" i="41"/>
  <c r="BE390" i="41" s="1"/>
  <c r="BD142" i="41"/>
  <c r="BD390" i="41" s="1"/>
  <c r="BC142" i="41"/>
  <c r="BC390" i="41" s="1"/>
  <c r="BB142" i="41"/>
  <c r="BB390" i="41" s="1"/>
  <c r="BA142" i="41"/>
  <c r="BA390" i="41" s="1"/>
  <c r="AZ142" i="41"/>
  <c r="AZ390" i="41" s="1"/>
  <c r="AY142" i="41"/>
  <c r="AY390" i="41" s="1"/>
  <c r="AX142" i="41"/>
  <c r="AX390" i="41" s="1"/>
  <c r="AW142" i="41"/>
  <c r="AW390" i="41" s="1"/>
  <c r="AV142" i="41"/>
  <c r="AV390" i="41" s="1"/>
  <c r="AU142" i="41"/>
  <c r="AU390" i="41" s="1"/>
  <c r="AT142" i="41"/>
  <c r="AT390" i="41" s="1"/>
  <c r="AS142" i="41"/>
  <c r="AS390" i="41" s="1"/>
  <c r="AR142" i="41"/>
  <c r="AR390" i="41" s="1"/>
  <c r="AQ142" i="41"/>
  <c r="AQ390" i="41" s="1"/>
  <c r="AP142" i="41"/>
  <c r="AP390" i="41" s="1"/>
  <c r="AO142" i="41"/>
  <c r="AO390" i="41" s="1"/>
  <c r="AN142" i="41"/>
  <c r="AN390" i="41" s="1"/>
  <c r="AM142" i="41"/>
  <c r="AM390" i="41" s="1"/>
  <c r="AL142" i="41"/>
  <c r="AL390" i="41" s="1"/>
  <c r="AK142" i="41"/>
  <c r="AK390" i="41" s="1"/>
  <c r="AJ142" i="41"/>
  <c r="AJ390" i="41" s="1"/>
  <c r="AI142" i="41"/>
  <c r="AI390" i="41" s="1"/>
  <c r="AH142" i="41"/>
  <c r="AH390" i="41" s="1"/>
  <c r="BL130" i="41"/>
  <c r="BJ130" i="41"/>
  <c r="BH130" i="41"/>
  <c r="BF130" i="41"/>
  <c r="BD130" i="41"/>
  <c r="BB130" i="41"/>
  <c r="AZ130" i="41"/>
  <c r="AX130" i="41"/>
  <c r="AV130" i="41"/>
  <c r="AT130" i="41"/>
  <c r="AR130" i="41"/>
  <c r="AP130" i="41"/>
  <c r="AN130" i="41"/>
  <c r="AL130" i="41"/>
  <c r="AJ130" i="41"/>
  <c r="AH130" i="41"/>
  <c r="BM126" i="41"/>
  <c r="BM389" i="41" s="1"/>
  <c r="BL126" i="41"/>
  <c r="BL389" i="41" s="1"/>
  <c r="BK126" i="41"/>
  <c r="BK389" i="41" s="1"/>
  <c r="BJ126" i="41"/>
  <c r="BJ389" i="41" s="1"/>
  <c r="BI126" i="41"/>
  <c r="BI389" i="41" s="1"/>
  <c r="BH126" i="41"/>
  <c r="BH389" i="41" s="1"/>
  <c r="BG126" i="41"/>
  <c r="BG389" i="41" s="1"/>
  <c r="BF126" i="41"/>
  <c r="BF389" i="41" s="1"/>
  <c r="BE126" i="41"/>
  <c r="BE389" i="41" s="1"/>
  <c r="BD126" i="41"/>
  <c r="BD389" i="41" s="1"/>
  <c r="BC126" i="41"/>
  <c r="BC389" i="41" s="1"/>
  <c r="BB126" i="41"/>
  <c r="BB389" i="41" s="1"/>
  <c r="BA126" i="41"/>
  <c r="BA389" i="41" s="1"/>
  <c r="AZ126" i="41"/>
  <c r="AZ389" i="41" s="1"/>
  <c r="AY126" i="41"/>
  <c r="AY389" i="41" s="1"/>
  <c r="AX126" i="41"/>
  <c r="AX389" i="41" s="1"/>
  <c r="AW126" i="41"/>
  <c r="AW389" i="41" s="1"/>
  <c r="AV126" i="41"/>
  <c r="AV389" i="41" s="1"/>
  <c r="AU126" i="41"/>
  <c r="AU389" i="41" s="1"/>
  <c r="AT126" i="41"/>
  <c r="AT389" i="41" s="1"/>
  <c r="AS126" i="41"/>
  <c r="AS389" i="41" s="1"/>
  <c r="AR126" i="41"/>
  <c r="AR389" i="41" s="1"/>
  <c r="AQ126" i="41"/>
  <c r="AQ389" i="41" s="1"/>
  <c r="AP126" i="41"/>
  <c r="AP389" i="41" s="1"/>
  <c r="AO126" i="41"/>
  <c r="AO389" i="41" s="1"/>
  <c r="AN126" i="41"/>
  <c r="AN389" i="41" s="1"/>
  <c r="AM126" i="41"/>
  <c r="AM389" i="41" s="1"/>
  <c r="AL126" i="41"/>
  <c r="AL389" i="41" s="1"/>
  <c r="AK126" i="41"/>
  <c r="AK389" i="41" s="1"/>
  <c r="AJ126" i="41"/>
  <c r="AJ389" i="41" s="1"/>
  <c r="AI126" i="41"/>
  <c r="AI389" i="41" s="1"/>
  <c r="AH126" i="41"/>
  <c r="AH389" i="41" s="1"/>
  <c r="BL112" i="41"/>
  <c r="BJ112" i="41"/>
  <c r="BH112" i="41"/>
  <c r="BF112" i="41"/>
  <c r="BD112" i="41"/>
  <c r="BB112" i="41"/>
  <c r="AZ112" i="41"/>
  <c r="AX112" i="41"/>
  <c r="AV112" i="41"/>
  <c r="AT112" i="41"/>
  <c r="AR112" i="41"/>
  <c r="AP112" i="41"/>
  <c r="AN112" i="41"/>
  <c r="AL112" i="41"/>
  <c r="AJ112" i="41"/>
  <c r="AH112" i="41"/>
  <c r="BM108" i="41"/>
  <c r="BM388" i="41" s="1"/>
  <c r="BL108" i="41"/>
  <c r="BL388" i="41" s="1"/>
  <c r="BK108" i="41"/>
  <c r="BK388" i="41" s="1"/>
  <c r="BJ108" i="41"/>
  <c r="BJ388" i="41" s="1"/>
  <c r="BI108" i="41"/>
  <c r="BI388" i="41" s="1"/>
  <c r="BH108" i="41"/>
  <c r="BH388" i="41" s="1"/>
  <c r="BG108" i="41"/>
  <c r="BG388" i="41" s="1"/>
  <c r="BF108" i="41"/>
  <c r="BF388" i="41" s="1"/>
  <c r="BE108" i="41"/>
  <c r="BE388" i="41" s="1"/>
  <c r="BD108" i="41"/>
  <c r="BD388" i="41" s="1"/>
  <c r="BC108" i="41"/>
  <c r="BC388" i="41" s="1"/>
  <c r="BB108" i="41"/>
  <c r="BB388" i="41" s="1"/>
  <c r="BA108" i="41"/>
  <c r="BA388" i="41" s="1"/>
  <c r="AZ108" i="41"/>
  <c r="AZ388" i="41" s="1"/>
  <c r="AY108" i="41"/>
  <c r="AY388" i="41" s="1"/>
  <c r="AX108" i="41"/>
  <c r="AX388" i="41" s="1"/>
  <c r="AW108" i="41"/>
  <c r="AW388" i="41" s="1"/>
  <c r="AV108" i="41"/>
  <c r="AV388" i="41" s="1"/>
  <c r="AU108" i="41"/>
  <c r="AU388" i="41" s="1"/>
  <c r="AT108" i="41"/>
  <c r="AT388" i="41" s="1"/>
  <c r="AS108" i="41"/>
  <c r="AS388" i="41" s="1"/>
  <c r="AR108" i="41"/>
  <c r="AR388" i="41" s="1"/>
  <c r="AQ108" i="41"/>
  <c r="AQ388" i="41" s="1"/>
  <c r="AP108" i="41"/>
  <c r="AP388" i="41" s="1"/>
  <c r="AO108" i="41"/>
  <c r="AO388" i="41" s="1"/>
  <c r="AN108" i="41"/>
  <c r="AN388" i="41" s="1"/>
  <c r="AM108" i="41"/>
  <c r="AM388" i="41" s="1"/>
  <c r="AL108" i="41"/>
  <c r="AL388" i="41" s="1"/>
  <c r="AK108" i="41"/>
  <c r="AK388" i="41" s="1"/>
  <c r="AJ108" i="41"/>
  <c r="AJ388" i="41" s="1"/>
  <c r="AI108" i="41"/>
  <c r="AI388" i="41" s="1"/>
  <c r="AH108" i="41"/>
  <c r="AH388" i="41" s="1"/>
  <c r="BL101" i="41"/>
  <c r="BJ101" i="41"/>
  <c r="BH101" i="41"/>
  <c r="BF101" i="41"/>
  <c r="BD101" i="41"/>
  <c r="BB101" i="41"/>
  <c r="AZ101" i="41"/>
  <c r="AX101" i="41"/>
  <c r="AV101" i="41"/>
  <c r="AT101" i="41"/>
  <c r="AR101" i="41"/>
  <c r="AP101" i="41"/>
  <c r="AN101" i="41"/>
  <c r="AL101" i="41"/>
  <c r="AJ101" i="41"/>
  <c r="AH101" i="41"/>
  <c r="BM97" i="41"/>
  <c r="BM387" i="41" s="1"/>
  <c r="BL97" i="41"/>
  <c r="BL387" i="41" s="1"/>
  <c r="BK97" i="41"/>
  <c r="BK387" i="41" s="1"/>
  <c r="BJ97" i="41"/>
  <c r="BJ387" i="41" s="1"/>
  <c r="BI97" i="41"/>
  <c r="BI387" i="41" s="1"/>
  <c r="BH97" i="41"/>
  <c r="BH387" i="41" s="1"/>
  <c r="BG97" i="41"/>
  <c r="BG387" i="41" s="1"/>
  <c r="BF97" i="41"/>
  <c r="BF387" i="41" s="1"/>
  <c r="BE97" i="41"/>
  <c r="BE387" i="41" s="1"/>
  <c r="BD97" i="41"/>
  <c r="BD387" i="41" s="1"/>
  <c r="BC97" i="41"/>
  <c r="BC387" i="41" s="1"/>
  <c r="BB97" i="41"/>
  <c r="BB387" i="41" s="1"/>
  <c r="BA97" i="41"/>
  <c r="BA387" i="41" s="1"/>
  <c r="AZ97" i="41"/>
  <c r="AZ387" i="41" s="1"/>
  <c r="AY97" i="41"/>
  <c r="AY387" i="41" s="1"/>
  <c r="AX97" i="41"/>
  <c r="AX387" i="41" s="1"/>
  <c r="AW97" i="41"/>
  <c r="AW387" i="41" s="1"/>
  <c r="AV97" i="41"/>
  <c r="AV387" i="41" s="1"/>
  <c r="AU97" i="41"/>
  <c r="AU387" i="41" s="1"/>
  <c r="AT97" i="41"/>
  <c r="AT387" i="41" s="1"/>
  <c r="AS97" i="41"/>
  <c r="AS387" i="41" s="1"/>
  <c r="AR97" i="41"/>
  <c r="AR387" i="41" s="1"/>
  <c r="AQ97" i="41"/>
  <c r="AQ387" i="41" s="1"/>
  <c r="AP97" i="41"/>
  <c r="AP387" i="41" s="1"/>
  <c r="AO97" i="41"/>
  <c r="AO387" i="41" s="1"/>
  <c r="AN97" i="41"/>
  <c r="AN387" i="41" s="1"/>
  <c r="AM97" i="41"/>
  <c r="AM387" i="41" s="1"/>
  <c r="AL97" i="41"/>
  <c r="AL387" i="41" s="1"/>
  <c r="AK97" i="41"/>
  <c r="AK387" i="41" s="1"/>
  <c r="AJ97" i="41"/>
  <c r="AJ387" i="41" s="1"/>
  <c r="AI97" i="41"/>
  <c r="AI387" i="41" s="1"/>
  <c r="AH97" i="41"/>
  <c r="AH387" i="41" s="1"/>
  <c r="BL92" i="41"/>
  <c r="BJ92" i="41"/>
  <c r="BH92" i="41"/>
  <c r="BF92" i="41"/>
  <c r="BD92" i="41"/>
  <c r="BB92" i="41"/>
  <c r="AZ92" i="41"/>
  <c r="AX92" i="41"/>
  <c r="AV92" i="41"/>
  <c r="AT92" i="41"/>
  <c r="AR92" i="41"/>
  <c r="AP92" i="41"/>
  <c r="AN92" i="41"/>
  <c r="AL92" i="41"/>
  <c r="AJ92" i="41"/>
  <c r="AH92" i="41"/>
  <c r="BM89" i="41"/>
  <c r="BM386" i="41" s="1"/>
  <c r="BL89" i="41"/>
  <c r="BL386" i="41" s="1"/>
  <c r="BK89" i="41"/>
  <c r="BK386" i="41" s="1"/>
  <c r="BJ89" i="41"/>
  <c r="BJ386" i="41" s="1"/>
  <c r="BI89" i="41"/>
  <c r="BI386" i="41" s="1"/>
  <c r="BH89" i="41"/>
  <c r="BH386" i="41" s="1"/>
  <c r="BG89" i="41"/>
  <c r="BG386" i="41" s="1"/>
  <c r="BF89" i="41"/>
  <c r="BF386" i="41" s="1"/>
  <c r="BE89" i="41"/>
  <c r="BE386" i="41" s="1"/>
  <c r="BD89" i="41"/>
  <c r="BD386" i="41" s="1"/>
  <c r="BC89" i="41"/>
  <c r="BC386" i="41" s="1"/>
  <c r="BB89" i="41"/>
  <c r="BB386" i="41" s="1"/>
  <c r="BA89" i="41"/>
  <c r="BA386" i="41" s="1"/>
  <c r="AZ89" i="41"/>
  <c r="AZ386" i="41" s="1"/>
  <c r="AY89" i="41"/>
  <c r="AY386" i="41" s="1"/>
  <c r="AX89" i="41"/>
  <c r="AX386" i="41" s="1"/>
  <c r="AW89" i="41"/>
  <c r="AW386" i="41" s="1"/>
  <c r="AV89" i="41"/>
  <c r="AV386" i="41" s="1"/>
  <c r="AU89" i="41"/>
  <c r="AU386" i="41" s="1"/>
  <c r="AT89" i="41"/>
  <c r="AT386" i="41" s="1"/>
  <c r="AS89" i="41"/>
  <c r="AS386" i="41" s="1"/>
  <c r="AR89" i="41"/>
  <c r="AR386" i="41" s="1"/>
  <c r="AQ89" i="41"/>
  <c r="AQ386" i="41" s="1"/>
  <c r="AP89" i="41"/>
  <c r="AP386" i="41" s="1"/>
  <c r="AO89" i="41"/>
  <c r="AO386" i="41" s="1"/>
  <c r="AN89" i="41"/>
  <c r="AN386" i="41" s="1"/>
  <c r="AM89" i="41"/>
  <c r="AM386" i="41" s="1"/>
  <c r="AL89" i="41"/>
  <c r="AL386" i="41" s="1"/>
  <c r="AK89" i="41"/>
  <c r="AK386" i="41" s="1"/>
  <c r="AJ89" i="41"/>
  <c r="AJ386" i="41" s="1"/>
  <c r="AI89" i="41"/>
  <c r="AI386" i="41" s="1"/>
  <c r="AH89" i="41"/>
  <c r="AH386" i="41" s="1"/>
  <c r="BL78" i="41"/>
  <c r="BJ78" i="41"/>
  <c r="BH78" i="41"/>
  <c r="BF78" i="41"/>
  <c r="BD78" i="41"/>
  <c r="BB78" i="41"/>
  <c r="AZ78" i="41"/>
  <c r="AX78" i="41"/>
  <c r="AV78" i="41"/>
  <c r="AT78" i="41"/>
  <c r="AR78" i="41"/>
  <c r="AP78" i="41"/>
  <c r="AN78" i="41"/>
  <c r="AL78" i="41"/>
  <c r="AJ78" i="41"/>
  <c r="AH78" i="41"/>
  <c r="BM75" i="41"/>
  <c r="BM385" i="41" s="1"/>
  <c r="BL75" i="41"/>
  <c r="BL385" i="41" s="1"/>
  <c r="BK75" i="41"/>
  <c r="BK385" i="41" s="1"/>
  <c r="BJ75" i="41"/>
  <c r="BJ385" i="41" s="1"/>
  <c r="BI75" i="41"/>
  <c r="BI385" i="41" s="1"/>
  <c r="BH75" i="41"/>
  <c r="BH385" i="41" s="1"/>
  <c r="BG75" i="41"/>
  <c r="BG385" i="41" s="1"/>
  <c r="BF75" i="41"/>
  <c r="BF385" i="41" s="1"/>
  <c r="BE75" i="41"/>
  <c r="BE385" i="41" s="1"/>
  <c r="BD75" i="41"/>
  <c r="BD385" i="41" s="1"/>
  <c r="BC75" i="41"/>
  <c r="BC385" i="41" s="1"/>
  <c r="BB75" i="41"/>
  <c r="BB385" i="41" s="1"/>
  <c r="BA75" i="41"/>
  <c r="BA385" i="41" s="1"/>
  <c r="AZ75" i="41"/>
  <c r="AZ385" i="41" s="1"/>
  <c r="AY75" i="41"/>
  <c r="AY385" i="41" s="1"/>
  <c r="AX75" i="41"/>
  <c r="AX385" i="41" s="1"/>
  <c r="AW75" i="41"/>
  <c r="AW385" i="41" s="1"/>
  <c r="AV75" i="41"/>
  <c r="AV385" i="41" s="1"/>
  <c r="AU75" i="41"/>
  <c r="AU385" i="41" s="1"/>
  <c r="AT75" i="41"/>
  <c r="AT385" i="41" s="1"/>
  <c r="AS75" i="41"/>
  <c r="AS385" i="41" s="1"/>
  <c r="AR75" i="41"/>
  <c r="AR385" i="41" s="1"/>
  <c r="AQ75" i="41"/>
  <c r="AQ385" i="41" s="1"/>
  <c r="AP75" i="41"/>
  <c r="AP385" i="41" s="1"/>
  <c r="AO75" i="41"/>
  <c r="AO385" i="41" s="1"/>
  <c r="AN75" i="41"/>
  <c r="AN385" i="41" s="1"/>
  <c r="AM75" i="41"/>
  <c r="AM385" i="41" s="1"/>
  <c r="AL75" i="41"/>
  <c r="AL385" i="41" s="1"/>
  <c r="AK75" i="41"/>
  <c r="AK385" i="41" s="1"/>
  <c r="AJ75" i="41"/>
  <c r="AJ385" i="41" s="1"/>
  <c r="AI75" i="41"/>
  <c r="AI385" i="41" s="1"/>
  <c r="AH75" i="41"/>
  <c r="AH385" i="41" s="1"/>
  <c r="BL69" i="41"/>
  <c r="BJ69" i="41"/>
  <c r="BH69" i="41"/>
  <c r="BF69" i="41"/>
  <c r="BD69" i="41"/>
  <c r="BB69" i="41"/>
  <c r="AZ69" i="41"/>
  <c r="AX69" i="41"/>
  <c r="AV69" i="41"/>
  <c r="AT69" i="41"/>
  <c r="AR69" i="41"/>
  <c r="AP69" i="41"/>
  <c r="AN69" i="41"/>
  <c r="AL69" i="41"/>
  <c r="AJ69" i="41"/>
  <c r="AH69" i="41"/>
  <c r="BM66" i="41"/>
  <c r="BM384" i="41" s="1"/>
  <c r="BL66" i="41"/>
  <c r="BL384" i="41" s="1"/>
  <c r="BK66" i="41"/>
  <c r="BK384" i="41" s="1"/>
  <c r="BJ66" i="41"/>
  <c r="BJ384" i="41" s="1"/>
  <c r="BI66" i="41"/>
  <c r="BI384" i="41" s="1"/>
  <c r="BH66" i="41"/>
  <c r="BH384" i="41" s="1"/>
  <c r="BG66" i="41"/>
  <c r="BG384" i="41" s="1"/>
  <c r="BF66" i="41"/>
  <c r="BF384" i="41" s="1"/>
  <c r="BE66" i="41"/>
  <c r="BE384" i="41" s="1"/>
  <c r="BD66" i="41"/>
  <c r="BD384" i="41" s="1"/>
  <c r="BC66" i="41"/>
  <c r="BC384" i="41" s="1"/>
  <c r="BB66" i="41"/>
  <c r="BB384" i="41" s="1"/>
  <c r="BA66" i="41"/>
  <c r="BA384" i="41" s="1"/>
  <c r="AZ66" i="41"/>
  <c r="AZ384" i="41" s="1"/>
  <c r="AY66" i="41"/>
  <c r="AY384" i="41" s="1"/>
  <c r="AX66" i="41"/>
  <c r="AX384" i="41" s="1"/>
  <c r="AW66" i="41"/>
  <c r="AW384" i="41" s="1"/>
  <c r="AV66" i="41"/>
  <c r="AV384" i="41" s="1"/>
  <c r="AU66" i="41"/>
  <c r="AU384" i="41" s="1"/>
  <c r="AT66" i="41"/>
  <c r="AT384" i="41" s="1"/>
  <c r="AS66" i="41"/>
  <c r="AS384" i="41" s="1"/>
  <c r="AR66" i="41"/>
  <c r="AR384" i="41" s="1"/>
  <c r="AQ66" i="41"/>
  <c r="AQ384" i="41" s="1"/>
  <c r="AP66" i="41"/>
  <c r="AP384" i="41" s="1"/>
  <c r="AO66" i="41"/>
  <c r="AO384" i="41" s="1"/>
  <c r="AN66" i="41"/>
  <c r="AN384" i="41" s="1"/>
  <c r="AM66" i="41"/>
  <c r="AM384" i="41" s="1"/>
  <c r="AL66" i="41"/>
  <c r="AL384" i="41" s="1"/>
  <c r="AK66" i="41"/>
  <c r="AK384" i="41" s="1"/>
  <c r="AJ66" i="41"/>
  <c r="AJ384" i="41" s="1"/>
  <c r="AI66" i="41"/>
  <c r="AI384" i="41" s="1"/>
  <c r="AH66" i="41"/>
  <c r="AH384" i="41" s="1"/>
  <c r="BL58" i="41"/>
  <c r="BJ58" i="41"/>
  <c r="BH58" i="41"/>
  <c r="BF58" i="41"/>
  <c r="BD58" i="41"/>
  <c r="BB58" i="41"/>
  <c r="AZ58" i="41"/>
  <c r="AX58" i="41"/>
  <c r="AV58" i="41"/>
  <c r="AT58" i="41"/>
  <c r="AR58" i="41"/>
  <c r="AP58" i="41"/>
  <c r="AN58" i="41"/>
  <c r="AL58" i="41"/>
  <c r="AJ58" i="41"/>
  <c r="AH58" i="41"/>
  <c r="BM54" i="41"/>
  <c r="BM383" i="41" s="1"/>
  <c r="BL54" i="41"/>
  <c r="BL383" i="41" s="1"/>
  <c r="BK54" i="41"/>
  <c r="BK383" i="41" s="1"/>
  <c r="BJ54" i="41"/>
  <c r="BJ383" i="41" s="1"/>
  <c r="BI54" i="41"/>
  <c r="BI383" i="41" s="1"/>
  <c r="BH54" i="41"/>
  <c r="BH383" i="41" s="1"/>
  <c r="BG54" i="41"/>
  <c r="BG383" i="41" s="1"/>
  <c r="BF54" i="41"/>
  <c r="BF383" i="41" s="1"/>
  <c r="BE54" i="41"/>
  <c r="BE383" i="41" s="1"/>
  <c r="BD54" i="41"/>
  <c r="BD383" i="41" s="1"/>
  <c r="BC54" i="41"/>
  <c r="BC383" i="41" s="1"/>
  <c r="BB54" i="41"/>
  <c r="BB383" i="41" s="1"/>
  <c r="BA54" i="41"/>
  <c r="BA383" i="41" s="1"/>
  <c r="AZ54" i="41"/>
  <c r="AZ383" i="41" s="1"/>
  <c r="AY54" i="41"/>
  <c r="AY383" i="41" s="1"/>
  <c r="AX54" i="41"/>
  <c r="AX383" i="41" s="1"/>
  <c r="AW54" i="41"/>
  <c r="AW383" i="41" s="1"/>
  <c r="AV54" i="41"/>
  <c r="AV383" i="41" s="1"/>
  <c r="AU54" i="41"/>
  <c r="AU383" i="41" s="1"/>
  <c r="AT54" i="41"/>
  <c r="AT383" i="41" s="1"/>
  <c r="AS54" i="41"/>
  <c r="AS383" i="41" s="1"/>
  <c r="AR54" i="41"/>
  <c r="AR383" i="41" s="1"/>
  <c r="AQ54" i="41"/>
  <c r="AQ383" i="41" s="1"/>
  <c r="AP54" i="41"/>
  <c r="AP383" i="41" s="1"/>
  <c r="AO54" i="41"/>
  <c r="AO383" i="41" s="1"/>
  <c r="AN54" i="41"/>
  <c r="AN383" i="41" s="1"/>
  <c r="AM54" i="41"/>
  <c r="AM383" i="41" s="1"/>
  <c r="AL54" i="41"/>
  <c r="AL383" i="41" s="1"/>
  <c r="AK54" i="41"/>
  <c r="AK383" i="41" s="1"/>
  <c r="AJ54" i="41"/>
  <c r="AJ383" i="41" s="1"/>
  <c r="AI54" i="41"/>
  <c r="AI383" i="41" s="1"/>
  <c r="AH54" i="41"/>
  <c r="AH383" i="41" s="1"/>
  <c r="BL28" i="41"/>
  <c r="BJ28" i="41"/>
  <c r="BH28" i="41"/>
  <c r="BF28" i="41"/>
  <c r="BD28" i="41"/>
  <c r="BB28" i="41"/>
  <c r="AZ28" i="41"/>
  <c r="AX28" i="41"/>
  <c r="AV28" i="41"/>
  <c r="AT28" i="41"/>
  <c r="AR28" i="41"/>
  <c r="AP28" i="41"/>
  <c r="AN28" i="41"/>
  <c r="AL28" i="41"/>
  <c r="AJ28" i="41"/>
  <c r="AH28" i="41"/>
  <c r="BM24" i="41"/>
  <c r="BM382" i="41" s="1"/>
  <c r="BL24" i="41"/>
  <c r="BL382" i="41" s="1"/>
  <c r="BK24" i="41"/>
  <c r="BK382" i="41" s="1"/>
  <c r="BJ24" i="41"/>
  <c r="BJ382" i="41" s="1"/>
  <c r="BI24" i="41"/>
  <c r="BI382" i="41" s="1"/>
  <c r="BH24" i="41"/>
  <c r="BH382" i="41" s="1"/>
  <c r="BG24" i="41"/>
  <c r="BG382" i="41" s="1"/>
  <c r="BF24" i="41"/>
  <c r="BF382" i="41" s="1"/>
  <c r="BE24" i="41"/>
  <c r="BE382" i="41" s="1"/>
  <c r="BD24" i="41"/>
  <c r="BD382" i="41" s="1"/>
  <c r="BC24" i="41"/>
  <c r="BC382" i="41" s="1"/>
  <c r="BB24" i="41"/>
  <c r="BB382" i="41" s="1"/>
  <c r="BA24" i="41"/>
  <c r="BA382" i="41" s="1"/>
  <c r="AZ24" i="41"/>
  <c r="AZ382" i="41" s="1"/>
  <c r="AY24" i="41"/>
  <c r="AY382" i="41" s="1"/>
  <c r="AX24" i="41"/>
  <c r="AX382" i="41" s="1"/>
  <c r="AW24" i="41"/>
  <c r="AW382" i="41" s="1"/>
  <c r="AV24" i="41"/>
  <c r="AV382" i="41" s="1"/>
  <c r="AU24" i="41"/>
  <c r="AU382" i="41" s="1"/>
  <c r="AT24" i="41"/>
  <c r="AT382" i="41" s="1"/>
  <c r="AS24" i="41"/>
  <c r="AS382" i="41" s="1"/>
  <c r="AR24" i="41"/>
  <c r="AR382" i="41" s="1"/>
  <c r="AQ24" i="41"/>
  <c r="AQ382" i="41" s="1"/>
  <c r="AP24" i="41"/>
  <c r="AP382" i="41" s="1"/>
  <c r="AO24" i="41"/>
  <c r="AO382" i="41" s="1"/>
  <c r="AN24" i="41"/>
  <c r="AN382" i="41" s="1"/>
  <c r="AM24" i="41"/>
  <c r="AM382" i="41" s="1"/>
  <c r="AL24" i="41"/>
  <c r="AL382" i="41" s="1"/>
  <c r="AK24" i="41"/>
  <c r="AK382" i="41" s="1"/>
  <c r="AJ24" i="41"/>
  <c r="AJ382" i="41" s="1"/>
  <c r="AI24" i="41"/>
  <c r="AI382" i="41" s="1"/>
  <c r="AH24" i="41"/>
  <c r="AH382" i="41" s="1"/>
  <c r="AL397" i="27"/>
  <c r="BL380" i="27"/>
  <c r="BJ380" i="27"/>
  <c r="BH380" i="27"/>
  <c r="BF380" i="27"/>
  <c r="BD380" i="27"/>
  <c r="BB380" i="27"/>
  <c r="AZ380" i="27"/>
  <c r="AX380" i="27"/>
  <c r="AV380" i="27"/>
  <c r="AT380" i="27"/>
  <c r="AR380" i="27"/>
  <c r="AP380" i="27"/>
  <c r="AN380" i="27"/>
  <c r="AL380" i="27"/>
  <c r="AJ380" i="27"/>
  <c r="AH380" i="27"/>
  <c r="BM376" i="27"/>
  <c r="BM401" i="27" s="1"/>
  <c r="BL376" i="27"/>
  <c r="BL401" i="27" s="1"/>
  <c r="BK376" i="27"/>
  <c r="BK401" i="27" s="1"/>
  <c r="BJ376" i="27"/>
  <c r="BJ401" i="27" s="1"/>
  <c r="BI376" i="27"/>
  <c r="BI401" i="27" s="1"/>
  <c r="BH376" i="27"/>
  <c r="BH401" i="27" s="1"/>
  <c r="BG376" i="27"/>
  <c r="BG401" i="27" s="1"/>
  <c r="BF376" i="27"/>
  <c r="BF401" i="27" s="1"/>
  <c r="BE376" i="27"/>
  <c r="BE401" i="27" s="1"/>
  <c r="BD376" i="27"/>
  <c r="BD401" i="27" s="1"/>
  <c r="BC376" i="27"/>
  <c r="BC401" i="27" s="1"/>
  <c r="BB376" i="27"/>
  <c r="BB401" i="27" s="1"/>
  <c r="BA376" i="27"/>
  <c r="BA401" i="27" s="1"/>
  <c r="AZ376" i="27"/>
  <c r="AZ401" i="27" s="1"/>
  <c r="AY376" i="27"/>
  <c r="AY401" i="27" s="1"/>
  <c r="AX376" i="27"/>
  <c r="AX401" i="27" s="1"/>
  <c r="AW376" i="27"/>
  <c r="AW401" i="27" s="1"/>
  <c r="AV376" i="27"/>
  <c r="AV401" i="27" s="1"/>
  <c r="AU376" i="27"/>
  <c r="AU401" i="27" s="1"/>
  <c r="AT376" i="27"/>
  <c r="AT401" i="27" s="1"/>
  <c r="AS376" i="27"/>
  <c r="AS401" i="27" s="1"/>
  <c r="AR376" i="27"/>
  <c r="AR401" i="27" s="1"/>
  <c r="AQ376" i="27"/>
  <c r="AQ401" i="27" s="1"/>
  <c r="AP376" i="27"/>
  <c r="AP401" i="27" s="1"/>
  <c r="AO376" i="27"/>
  <c r="AO401" i="27" s="1"/>
  <c r="AN376" i="27"/>
  <c r="AN401" i="27" s="1"/>
  <c r="AM376" i="27"/>
  <c r="AM401" i="27" s="1"/>
  <c r="AL376" i="27"/>
  <c r="AL401" i="27" s="1"/>
  <c r="AK376" i="27"/>
  <c r="AK401" i="27" s="1"/>
  <c r="AJ376" i="27"/>
  <c r="AJ401" i="27" s="1"/>
  <c r="AI376" i="27"/>
  <c r="AI401" i="27" s="1"/>
  <c r="AH376" i="27"/>
  <c r="AH401" i="27" s="1"/>
  <c r="BL369" i="27"/>
  <c r="BJ369" i="27"/>
  <c r="BH369" i="27"/>
  <c r="BF369" i="27"/>
  <c r="BD369" i="27"/>
  <c r="BB369" i="27"/>
  <c r="AZ369" i="27"/>
  <c r="AX369" i="27"/>
  <c r="AV369" i="27"/>
  <c r="AT369" i="27"/>
  <c r="AR369" i="27"/>
  <c r="AP369" i="27"/>
  <c r="AN369" i="27"/>
  <c r="AL369" i="27"/>
  <c r="AJ369" i="27"/>
  <c r="AH369" i="27"/>
  <c r="BM400" i="27"/>
  <c r="BL400" i="27"/>
  <c r="BK400" i="27"/>
  <c r="BJ400" i="27"/>
  <c r="BI400" i="27"/>
  <c r="BH400" i="27"/>
  <c r="BG400" i="27"/>
  <c r="BF400" i="27"/>
  <c r="BE400" i="27"/>
  <c r="BD400" i="27"/>
  <c r="BC400" i="27"/>
  <c r="BB400" i="27"/>
  <c r="BA400" i="27"/>
  <c r="AZ400" i="27"/>
  <c r="AY400" i="27"/>
  <c r="AX400" i="27"/>
  <c r="AW400" i="27"/>
  <c r="AV400" i="27"/>
  <c r="AU400" i="27"/>
  <c r="AT400" i="27"/>
  <c r="AS400" i="27"/>
  <c r="AR400" i="27"/>
  <c r="AQ400" i="27"/>
  <c r="AP400" i="27"/>
  <c r="AO400" i="27"/>
  <c r="AN400" i="27"/>
  <c r="AM400" i="27"/>
  <c r="AL400" i="27"/>
  <c r="AK400" i="27"/>
  <c r="AJ400" i="27"/>
  <c r="AI400" i="27"/>
  <c r="AH400" i="27"/>
  <c r="BL347" i="27"/>
  <c r="BJ347" i="27"/>
  <c r="BH347" i="27"/>
  <c r="BF347" i="27"/>
  <c r="BD347" i="27"/>
  <c r="BB347" i="27"/>
  <c r="AZ347" i="27"/>
  <c r="AX347" i="27"/>
  <c r="AV347" i="27"/>
  <c r="AT347" i="27"/>
  <c r="AR347" i="27"/>
  <c r="AP347" i="27"/>
  <c r="AN347" i="27"/>
  <c r="AL347" i="27"/>
  <c r="AJ347" i="27"/>
  <c r="AH347" i="27"/>
  <c r="BM343" i="27"/>
  <c r="BM399" i="27" s="1"/>
  <c r="BL343" i="27"/>
  <c r="BL399" i="27" s="1"/>
  <c r="BK343" i="27"/>
  <c r="BK399" i="27" s="1"/>
  <c r="BJ343" i="27"/>
  <c r="BJ399" i="27" s="1"/>
  <c r="BI343" i="27"/>
  <c r="BI399" i="27" s="1"/>
  <c r="BH343" i="27"/>
  <c r="BH399" i="27" s="1"/>
  <c r="BG343" i="27"/>
  <c r="BG399" i="27" s="1"/>
  <c r="BF343" i="27"/>
  <c r="BF399" i="27" s="1"/>
  <c r="BE343" i="27"/>
  <c r="BE399" i="27" s="1"/>
  <c r="BD343" i="27"/>
  <c r="BD399" i="27" s="1"/>
  <c r="BC343" i="27"/>
  <c r="BC399" i="27" s="1"/>
  <c r="BB343" i="27"/>
  <c r="BB399" i="27" s="1"/>
  <c r="BA343" i="27"/>
  <c r="BA399" i="27" s="1"/>
  <c r="AZ343" i="27"/>
  <c r="AZ399" i="27" s="1"/>
  <c r="AY343" i="27"/>
  <c r="AY399" i="27" s="1"/>
  <c r="AX343" i="27"/>
  <c r="AX399" i="27" s="1"/>
  <c r="AW343" i="27"/>
  <c r="AW399" i="27" s="1"/>
  <c r="AV343" i="27"/>
  <c r="AV399" i="27" s="1"/>
  <c r="AU343" i="27"/>
  <c r="AU399" i="27" s="1"/>
  <c r="AT343" i="27"/>
  <c r="AT399" i="27" s="1"/>
  <c r="AS343" i="27"/>
  <c r="AS399" i="27" s="1"/>
  <c r="AR343" i="27"/>
  <c r="AR399" i="27" s="1"/>
  <c r="AQ343" i="27"/>
  <c r="AQ399" i="27" s="1"/>
  <c r="AP343" i="27"/>
  <c r="AP399" i="27" s="1"/>
  <c r="AO343" i="27"/>
  <c r="AO399" i="27" s="1"/>
  <c r="AN343" i="27"/>
  <c r="AN399" i="27" s="1"/>
  <c r="AM343" i="27"/>
  <c r="AM399" i="27" s="1"/>
  <c r="AL343" i="27"/>
  <c r="AL399" i="27" s="1"/>
  <c r="AK343" i="27"/>
  <c r="AK399" i="27" s="1"/>
  <c r="AJ343" i="27"/>
  <c r="AJ399" i="27" s="1"/>
  <c r="AI343" i="27"/>
  <c r="AI399" i="27" s="1"/>
  <c r="AH343" i="27"/>
  <c r="AH399" i="27" s="1"/>
  <c r="BL331" i="27"/>
  <c r="BJ331" i="27"/>
  <c r="BH331" i="27"/>
  <c r="BF331" i="27"/>
  <c r="BD331" i="27"/>
  <c r="BB331" i="27"/>
  <c r="AZ331" i="27"/>
  <c r="AX331" i="27"/>
  <c r="AV331" i="27"/>
  <c r="AT331" i="27"/>
  <c r="AR331" i="27"/>
  <c r="AP331" i="27"/>
  <c r="AN331" i="27"/>
  <c r="AL331" i="27"/>
  <c r="AJ331" i="27"/>
  <c r="AH331" i="27"/>
  <c r="BM327" i="27"/>
  <c r="BM398" i="27" s="1"/>
  <c r="BL327" i="27"/>
  <c r="BL398" i="27" s="1"/>
  <c r="BK327" i="27"/>
  <c r="BK398" i="27" s="1"/>
  <c r="BJ327" i="27"/>
  <c r="BJ398" i="27" s="1"/>
  <c r="BI327" i="27"/>
  <c r="BI398" i="27" s="1"/>
  <c r="BH327" i="27"/>
  <c r="BH398" i="27" s="1"/>
  <c r="BG327" i="27"/>
  <c r="BG398" i="27" s="1"/>
  <c r="BF327" i="27"/>
  <c r="BF398" i="27" s="1"/>
  <c r="BE327" i="27"/>
  <c r="BE398" i="27" s="1"/>
  <c r="BD327" i="27"/>
  <c r="BD398" i="27" s="1"/>
  <c r="BC327" i="27"/>
  <c r="BC398" i="27" s="1"/>
  <c r="BB327" i="27"/>
  <c r="BB398" i="27" s="1"/>
  <c r="BA327" i="27"/>
  <c r="BA398" i="27" s="1"/>
  <c r="AZ327" i="27"/>
  <c r="AZ398" i="27" s="1"/>
  <c r="AY327" i="27"/>
  <c r="AY398" i="27" s="1"/>
  <c r="AX327" i="27"/>
  <c r="AX398" i="27" s="1"/>
  <c r="AW327" i="27"/>
  <c r="AW398" i="27" s="1"/>
  <c r="AV327" i="27"/>
  <c r="AV398" i="27" s="1"/>
  <c r="AU327" i="27"/>
  <c r="AU398" i="27" s="1"/>
  <c r="AT327" i="27"/>
  <c r="AT398" i="27" s="1"/>
  <c r="AS327" i="27"/>
  <c r="AS398" i="27" s="1"/>
  <c r="AR327" i="27"/>
  <c r="AR398" i="27" s="1"/>
  <c r="AQ327" i="27"/>
  <c r="AQ398" i="27" s="1"/>
  <c r="AP327" i="27"/>
  <c r="AP398" i="27" s="1"/>
  <c r="AO327" i="27"/>
  <c r="AO398" i="27" s="1"/>
  <c r="AN327" i="27"/>
  <c r="AN398" i="27" s="1"/>
  <c r="AM327" i="27"/>
  <c r="AM398" i="27" s="1"/>
  <c r="AL327" i="27"/>
  <c r="AL398" i="27" s="1"/>
  <c r="AK327" i="27"/>
  <c r="AK398" i="27" s="1"/>
  <c r="AJ327" i="27"/>
  <c r="AJ398" i="27" s="1"/>
  <c r="AI327" i="27"/>
  <c r="AI398" i="27" s="1"/>
  <c r="AH327" i="27"/>
  <c r="AH398" i="27" s="1"/>
  <c r="BL296" i="27"/>
  <c r="BJ296" i="27"/>
  <c r="BH296" i="27"/>
  <c r="BF296" i="27"/>
  <c r="BD296" i="27"/>
  <c r="BB296" i="27"/>
  <c r="AZ296" i="27"/>
  <c r="AX296" i="27"/>
  <c r="AV296" i="27"/>
  <c r="AT296" i="27"/>
  <c r="AR296" i="27"/>
  <c r="AP296" i="27"/>
  <c r="AN296" i="27"/>
  <c r="AL296" i="27"/>
  <c r="AJ296" i="27"/>
  <c r="AH296" i="27"/>
  <c r="BM397" i="27"/>
  <c r="BL397" i="27"/>
  <c r="BK397" i="27"/>
  <c r="BJ397" i="27"/>
  <c r="BI397" i="27"/>
  <c r="BH397" i="27"/>
  <c r="BG397" i="27"/>
  <c r="BF397" i="27"/>
  <c r="BE397" i="27"/>
  <c r="BD397" i="27"/>
  <c r="BC397" i="27"/>
  <c r="BB397" i="27"/>
  <c r="BA397" i="27"/>
  <c r="AZ397" i="27"/>
  <c r="AY397" i="27"/>
  <c r="AX397" i="27"/>
  <c r="AW397" i="27"/>
  <c r="AV397" i="27"/>
  <c r="AU397" i="27"/>
  <c r="AT397" i="27"/>
  <c r="AS397" i="27"/>
  <c r="AR397" i="27"/>
  <c r="AQ397" i="27"/>
  <c r="AP397" i="27"/>
  <c r="AO397" i="27"/>
  <c r="AN397" i="27"/>
  <c r="AM397" i="27"/>
  <c r="AK397" i="27"/>
  <c r="AJ397" i="27"/>
  <c r="AI397" i="27"/>
  <c r="AH397" i="27"/>
  <c r="BL262" i="27"/>
  <c r="BJ262" i="27"/>
  <c r="BH262" i="27"/>
  <c r="BF262" i="27"/>
  <c r="BD262" i="27"/>
  <c r="BB262" i="27"/>
  <c r="AZ262" i="27"/>
  <c r="AX262" i="27"/>
  <c r="AV262" i="27"/>
  <c r="AT262" i="27"/>
  <c r="AR262" i="27"/>
  <c r="AP262" i="27"/>
  <c r="AN262" i="27"/>
  <c r="AL262" i="27"/>
  <c r="AJ262" i="27"/>
  <c r="AH262" i="27"/>
  <c r="BM258" i="27"/>
  <c r="BM396" i="27" s="1"/>
  <c r="BL258" i="27"/>
  <c r="BL396" i="27" s="1"/>
  <c r="BK258" i="27"/>
  <c r="BK396" i="27" s="1"/>
  <c r="BJ258" i="27"/>
  <c r="BJ396" i="27" s="1"/>
  <c r="BI258" i="27"/>
  <c r="BI396" i="27" s="1"/>
  <c r="BH258" i="27"/>
  <c r="BH396" i="27" s="1"/>
  <c r="BG258" i="27"/>
  <c r="BG396" i="27" s="1"/>
  <c r="BF258" i="27"/>
  <c r="BF396" i="27" s="1"/>
  <c r="BE258" i="27"/>
  <c r="BE396" i="27" s="1"/>
  <c r="BD258" i="27"/>
  <c r="BD396" i="27" s="1"/>
  <c r="BC258" i="27"/>
  <c r="BC396" i="27" s="1"/>
  <c r="BB258" i="27"/>
  <c r="BB396" i="27" s="1"/>
  <c r="BA258" i="27"/>
  <c r="BA396" i="27" s="1"/>
  <c r="AZ258" i="27"/>
  <c r="AZ396" i="27" s="1"/>
  <c r="AY258" i="27"/>
  <c r="AY396" i="27" s="1"/>
  <c r="AX258" i="27"/>
  <c r="AX396" i="27" s="1"/>
  <c r="AW258" i="27"/>
  <c r="AW396" i="27" s="1"/>
  <c r="AV258" i="27"/>
  <c r="AV396" i="27" s="1"/>
  <c r="AU258" i="27"/>
  <c r="AU396" i="27" s="1"/>
  <c r="AT258" i="27"/>
  <c r="AT396" i="27" s="1"/>
  <c r="AS258" i="27"/>
  <c r="AS396" i="27" s="1"/>
  <c r="AR258" i="27"/>
  <c r="AR396" i="27" s="1"/>
  <c r="AQ258" i="27"/>
  <c r="AQ396" i="27" s="1"/>
  <c r="AP258" i="27"/>
  <c r="AP396" i="27" s="1"/>
  <c r="AO258" i="27"/>
  <c r="AO396" i="27" s="1"/>
  <c r="AN258" i="27"/>
  <c r="AN396" i="27" s="1"/>
  <c r="AM258" i="27"/>
  <c r="AM396" i="27" s="1"/>
  <c r="AL258" i="27"/>
  <c r="AL396" i="27" s="1"/>
  <c r="AK258" i="27"/>
  <c r="AK396" i="27" s="1"/>
  <c r="AJ258" i="27"/>
  <c r="AJ396" i="27" s="1"/>
  <c r="AI258" i="27"/>
  <c r="AI396" i="27" s="1"/>
  <c r="AH258" i="27"/>
  <c r="AH396" i="27" s="1"/>
  <c r="BL250" i="27"/>
  <c r="BJ250" i="27"/>
  <c r="BH250" i="27"/>
  <c r="BF250" i="27"/>
  <c r="BD250" i="27"/>
  <c r="BB250" i="27"/>
  <c r="AZ250" i="27"/>
  <c r="AX250" i="27"/>
  <c r="AV250" i="27"/>
  <c r="AT250" i="27"/>
  <c r="AR250" i="27"/>
  <c r="AP250" i="27"/>
  <c r="AN250" i="27"/>
  <c r="AL250" i="27"/>
  <c r="AJ250" i="27"/>
  <c r="AH250" i="27"/>
  <c r="BM246" i="27"/>
  <c r="BM394" i="27" s="1"/>
  <c r="BL246" i="27"/>
  <c r="BL394" i="27" s="1"/>
  <c r="BK246" i="27"/>
  <c r="BK394" i="27" s="1"/>
  <c r="BJ246" i="27"/>
  <c r="BJ394" i="27" s="1"/>
  <c r="BI246" i="27"/>
  <c r="BI394" i="27" s="1"/>
  <c r="BH246" i="27"/>
  <c r="BH394" i="27" s="1"/>
  <c r="BG246" i="27"/>
  <c r="BG394" i="27" s="1"/>
  <c r="BF246" i="27"/>
  <c r="BF394" i="27" s="1"/>
  <c r="BE246" i="27"/>
  <c r="BE394" i="27" s="1"/>
  <c r="BD246" i="27"/>
  <c r="BD394" i="27" s="1"/>
  <c r="BC246" i="27"/>
  <c r="BC394" i="27" s="1"/>
  <c r="BB246" i="27"/>
  <c r="BB394" i="27" s="1"/>
  <c r="BA246" i="27"/>
  <c r="BA394" i="27" s="1"/>
  <c r="AZ246" i="27"/>
  <c r="AZ394" i="27" s="1"/>
  <c r="AY246" i="27"/>
  <c r="AY394" i="27" s="1"/>
  <c r="AX246" i="27"/>
  <c r="AX394" i="27" s="1"/>
  <c r="AW246" i="27"/>
  <c r="AW394" i="27" s="1"/>
  <c r="AV246" i="27"/>
  <c r="AV394" i="27" s="1"/>
  <c r="AU246" i="27"/>
  <c r="AU394" i="27" s="1"/>
  <c r="AT246" i="27"/>
  <c r="AT394" i="27" s="1"/>
  <c r="AS246" i="27"/>
  <c r="AS394" i="27" s="1"/>
  <c r="AR246" i="27"/>
  <c r="AR394" i="27" s="1"/>
  <c r="AQ246" i="27"/>
  <c r="AQ394" i="27" s="1"/>
  <c r="AP246" i="27"/>
  <c r="AP394" i="27" s="1"/>
  <c r="AO246" i="27"/>
  <c r="AO394" i="27" s="1"/>
  <c r="AN246" i="27"/>
  <c r="AN394" i="27" s="1"/>
  <c r="AM246" i="27"/>
  <c r="AM394" i="27" s="1"/>
  <c r="AL246" i="27"/>
  <c r="AL394" i="27" s="1"/>
  <c r="AK246" i="27"/>
  <c r="AK394" i="27" s="1"/>
  <c r="AJ246" i="27"/>
  <c r="AJ394" i="27" s="1"/>
  <c r="AI246" i="27"/>
  <c r="AI394" i="27" s="1"/>
  <c r="AH246" i="27"/>
  <c r="AH394" i="27" s="1"/>
  <c r="BL225" i="27"/>
  <c r="BJ225" i="27"/>
  <c r="BH225" i="27"/>
  <c r="BF225" i="27"/>
  <c r="BD225" i="27"/>
  <c r="BB225" i="27"/>
  <c r="AZ225" i="27"/>
  <c r="AX225" i="27"/>
  <c r="AV225" i="27"/>
  <c r="AT225" i="27"/>
  <c r="AR225" i="27"/>
  <c r="AP225" i="27"/>
  <c r="AN225" i="27"/>
  <c r="AL225" i="27"/>
  <c r="AJ225" i="27"/>
  <c r="AH225" i="27"/>
  <c r="BM221" i="27"/>
  <c r="BM393" i="27" s="1"/>
  <c r="BL221" i="27"/>
  <c r="BL393" i="27" s="1"/>
  <c r="BK221" i="27"/>
  <c r="BK393" i="27" s="1"/>
  <c r="BJ221" i="27"/>
  <c r="BJ393" i="27" s="1"/>
  <c r="BI221" i="27"/>
  <c r="BI393" i="27" s="1"/>
  <c r="BH221" i="27"/>
  <c r="BH393" i="27" s="1"/>
  <c r="BG221" i="27"/>
  <c r="BG393" i="27" s="1"/>
  <c r="BF221" i="27"/>
  <c r="BF393" i="27" s="1"/>
  <c r="BE221" i="27"/>
  <c r="BE393" i="27" s="1"/>
  <c r="BD221" i="27"/>
  <c r="BD393" i="27" s="1"/>
  <c r="BC221" i="27"/>
  <c r="BC393" i="27" s="1"/>
  <c r="BB221" i="27"/>
  <c r="BB393" i="27" s="1"/>
  <c r="BA221" i="27"/>
  <c r="BA393" i="27" s="1"/>
  <c r="AZ221" i="27"/>
  <c r="AZ393" i="27" s="1"/>
  <c r="AY221" i="27"/>
  <c r="AY393" i="27" s="1"/>
  <c r="AX221" i="27"/>
  <c r="AX393" i="27" s="1"/>
  <c r="AW221" i="27"/>
  <c r="AW393" i="27" s="1"/>
  <c r="AV221" i="27"/>
  <c r="AV393" i="27" s="1"/>
  <c r="AU221" i="27"/>
  <c r="AU393" i="27" s="1"/>
  <c r="AT221" i="27"/>
  <c r="AT393" i="27" s="1"/>
  <c r="AS221" i="27"/>
  <c r="AS393" i="27" s="1"/>
  <c r="AR221" i="27"/>
  <c r="AR393" i="27" s="1"/>
  <c r="AQ221" i="27"/>
  <c r="AQ393" i="27" s="1"/>
  <c r="AP221" i="27"/>
  <c r="AP393" i="27" s="1"/>
  <c r="AO221" i="27"/>
  <c r="AN221" i="27"/>
  <c r="AN393" i="27" s="1"/>
  <c r="AM221" i="27"/>
  <c r="AM393" i="27" s="1"/>
  <c r="AL221" i="27"/>
  <c r="AL393" i="27" s="1"/>
  <c r="AK221" i="27"/>
  <c r="AK393" i="27" s="1"/>
  <c r="AJ221" i="27"/>
  <c r="AJ393" i="27" s="1"/>
  <c r="AI221" i="27"/>
  <c r="AI393" i="27" s="1"/>
  <c r="AH221" i="27"/>
  <c r="AH393" i="27" s="1"/>
  <c r="BL200" i="27"/>
  <c r="BJ200" i="27"/>
  <c r="BH200" i="27"/>
  <c r="BF200" i="27"/>
  <c r="BD200" i="27"/>
  <c r="BB200" i="27"/>
  <c r="AZ200" i="27"/>
  <c r="AX200" i="27"/>
  <c r="AV200" i="27"/>
  <c r="AT200" i="27"/>
  <c r="AR200" i="27"/>
  <c r="AP200" i="27"/>
  <c r="AN200" i="27"/>
  <c r="AL200" i="27"/>
  <c r="AJ200" i="27"/>
  <c r="AH200" i="27"/>
  <c r="BM196" i="27"/>
  <c r="BM392" i="27" s="1"/>
  <c r="BL196" i="27"/>
  <c r="BL392" i="27" s="1"/>
  <c r="BK196" i="27"/>
  <c r="BK392" i="27" s="1"/>
  <c r="BJ196" i="27"/>
  <c r="BJ392" i="27" s="1"/>
  <c r="BI196" i="27"/>
  <c r="BI392" i="27" s="1"/>
  <c r="BH196" i="27"/>
  <c r="BH392" i="27" s="1"/>
  <c r="BG196" i="27"/>
  <c r="BG392" i="27" s="1"/>
  <c r="BF196" i="27"/>
  <c r="BF392" i="27" s="1"/>
  <c r="BE196" i="27"/>
  <c r="BE392" i="27" s="1"/>
  <c r="BD196" i="27"/>
  <c r="BD392" i="27" s="1"/>
  <c r="BC196" i="27"/>
  <c r="BC392" i="27" s="1"/>
  <c r="BB196" i="27"/>
  <c r="BB392" i="27" s="1"/>
  <c r="BA196" i="27"/>
  <c r="BA392" i="27" s="1"/>
  <c r="AZ196" i="27"/>
  <c r="AZ392" i="27" s="1"/>
  <c r="AY196" i="27"/>
  <c r="AY392" i="27" s="1"/>
  <c r="AX196" i="27"/>
  <c r="AX392" i="27" s="1"/>
  <c r="AW196" i="27"/>
  <c r="AW392" i="27" s="1"/>
  <c r="AV196" i="27"/>
  <c r="AV392" i="27" s="1"/>
  <c r="AU196" i="27"/>
  <c r="AU392" i="27" s="1"/>
  <c r="AT196" i="27"/>
  <c r="AT392" i="27" s="1"/>
  <c r="AS196" i="27"/>
  <c r="AS392" i="27" s="1"/>
  <c r="AR196" i="27"/>
  <c r="AR392" i="27" s="1"/>
  <c r="AQ196" i="27"/>
  <c r="AQ392" i="27" s="1"/>
  <c r="AP196" i="27"/>
  <c r="AP392" i="27" s="1"/>
  <c r="AO196" i="27"/>
  <c r="AO392" i="27" s="1"/>
  <c r="AN196" i="27"/>
  <c r="AN392" i="27" s="1"/>
  <c r="AM196" i="27"/>
  <c r="AM392" i="27" s="1"/>
  <c r="AL196" i="27"/>
  <c r="AL392" i="27" s="1"/>
  <c r="AK196" i="27"/>
  <c r="AK392" i="27" s="1"/>
  <c r="AJ196" i="27"/>
  <c r="AJ392" i="27" s="1"/>
  <c r="AI196" i="27"/>
  <c r="AI392" i="27" s="1"/>
  <c r="AH196" i="27"/>
  <c r="AH392" i="27" s="1"/>
  <c r="BL164" i="27"/>
  <c r="BJ164" i="27"/>
  <c r="BH164" i="27"/>
  <c r="BF164" i="27"/>
  <c r="BD164" i="27"/>
  <c r="BB164" i="27"/>
  <c r="AZ164" i="27"/>
  <c r="AX164" i="27"/>
  <c r="AV164" i="27"/>
  <c r="AT164" i="27"/>
  <c r="AR164" i="27"/>
  <c r="AP164" i="27"/>
  <c r="AN164" i="27"/>
  <c r="AL164" i="27"/>
  <c r="AJ164" i="27"/>
  <c r="AH164" i="27"/>
  <c r="BM160" i="27"/>
  <c r="BM391" i="27" s="1"/>
  <c r="BL160" i="27"/>
  <c r="BL391" i="27" s="1"/>
  <c r="BK160" i="27"/>
  <c r="BK391" i="27" s="1"/>
  <c r="BJ160" i="27"/>
  <c r="BJ391" i="27" s="1"/>
  <c r="BI160" i="27"/>
  <c r="BI391" i="27" s="1"/>
  <c r="BH160" i="27"/>
  <c r="BH391" i="27" s="1"/>
  <c r="BG160" i="27"/>
  <c r="BG391" i="27" s="1"/>
  <c r="BF160" i="27"/>
  <c r="BF391" i="27" s="1"/>
  <c r="BE160" i="27"/>
  <c r="BE391" i="27" s="1"/>
  <c r="BD160" i="27"/>
  <c r="BD391" i="27" s="1"/>
  <c r="BC160" i="27"/>
  <c r="BC391" i="27" s="1"/>
  <c r="BB160" i="27"/>
  <c r="BB391" i="27" s="1"/>
  <c r="BA160" i="27"/>
  <c r="BA391" i="27" s="1"/>
  <c r="AZ160" i="27"/>
  <c r="AZ391" i="27" s="1"/>
  <c r="AY160" i="27"/>
  <c r="AY391" i="27" s="1"/>
  <c r="AX160" i="27"/>
  <c r="AX391" i="27" s="1"/>
  <c r="AW160" i="27"/>
  <c r="AW391" i="27" s="1"/>
  <c r="AV160" i="27"/>
  <c r="AV391" i="27" s="1"/>
  <c r="AU160" i="27"/>
  <c r="AU391" i="27" s="1"/>
  <c r="AT160" i="27"/>
  <c r="AT391" i="27" s="1"/>
  <c r="AS160" i="27"/>
  <c r="AS391" i="27" s="1"/>
  <c r="AR160" i="27"/>
  <c r="AR391" i="27" s="1"/>
  <c r="AQ160" i="27"/>
  <c r="AQ391" i="27" s="1"/>
  <c r="AP160" i="27"/>
  <c r="AP391" i="27" s="1"/>
  <c r="AO160" i="27"/>
  <c r="AO391" i="27" s="1"/>
  <c r="AN160" i="27"/>
  <c r="AN391" i="27" s="1"/>
  <c r="AM160" i="27"/>
  <c r="AM391" i="27" s="1"/>
  <c r="AL160" i="27"/>
  <c r="AL391" i="27" s="1"/>
  <c r="AK160" i="27"/>
  <c r="AK391" i="27" s="1"/>
  <c r="AJ160" i="27"/>
  <c r="AJ391" i="27" s="1"/>
  <c r="AI160" i="27"/>
  <c r="AI391" i="27" s="1"/>
  <c r="AH160" i="27"/>
  <c r="AH391" i="27" s="1"/>
  <c r="BL146" i="27"/>
  <c r="BJ146" i="27"/>
  <c r="BH146" i="27"/>
  <c r="BF146" i="27"/>
  <c r="BD146" i="27"/>
  <c r="BB146" i="27"/>
  <c r="AZ146" i="27"/>
  <c r="AX146" i="27"/>
  <c r="AV146" i="27"/>
  <c r="AT146" i="27"/>
  <c r="AR146" i="27"/>
  <c r="AP146" i="27"/>
  <c r="AN146" i="27"/>
  <c r="AL146" i="27"/>
  <c r="AJ146" i="27"/>
  <c r="AH146" i="27"/>
  <c r="BM142" i="27"/>
  <c r="BM390" i="27" s="1"/>
  <c r="BL142" i="27"/>
  <c r="BL390" i="27" s="1"/>
  <c r="BK142" i="27"/>
  <c r="BK390" i="27" s="1"/>
  <c r="BJ142" i="27"/>
  <c r="BJ390" i="27" s="1"/>
  <c r="BI142" i="27"/>
  <c r="BI390" i="27" s="1"/>
  <c r="BH142" i="27"/>
  <c r="BH390" i="27" s="1"/>
  <c r="BG142" i="27"/>
  <c r="BG390" i="27" s="1"/>
  <c r="BF142" i="27"/>
  <c r="BF390" i="27" s="1"/>
  <c r="BE142" i="27"/>
  <c r="BE390" i="27" s="1"/>
  <c r="BD142" i="27"/>
  <c r="BD390" i="27" s="1"/>
  <c r="BC142" i="27"/>
  <c r="BC390" i="27" s="1"/>
  <c r="BB142" i="27"/>
  <c r="BB390" i="27" s="1"/>
  <c r="BA142" i="27"/>
  <c r="BA390" i="27" s="1"/>
  <c r="AZ142" i="27"/>
  <c r="AZ390" i="27" s="1"/>
  <c r="AY142" i="27"/>
  <c r="AY390" i="27" s="1"/>
  <c r="AX142" i="27"/>
  <c r="AX390" i="27" s="1"/>
  <c r="AW142" i="27"/>
  <c r="AW390" i="27" s="1"/>
  <c r="AV142" i="27"/>
  <c r="AV390" i="27" s="1"/>
  <c r="AU142" i="27"/>
  <c r="AU390" i="27" s="1"/>
  <c r="AT142" i="27"/>
  <c r="AT390" i="27" s="1"/>
  <c r="AS142" i="27"/>
  <c r="AS390" i="27" s="1"/>
  <c r="AR142" i="27"/>
  <c r="AR390" i="27" s="1"/>
  <c r="AQ142" i="27"/>
  <c r="AQ390" i="27" s="1"/>
  <c r="AP142" i="27"/>
  <c r="AP390" i="27" s="1"/>
  <c r="AO142" i="27"/>
  <c r="AO390" i="27" s="1"/>
  <c r="AN142" i="27"/>
  <c r="AN390" i="27" s="1"/>
  <c r="AM142" i="27"/>
  <c r="AM390" i="27" s="1"/>
  <c r="AL142" i="27"/>
  <c r="AL390" i="27" s="1"/>
  <c r="AK390" i="27"/>
  <c r="AJ390" i="27"/>
  <c r="AI390" i="27"/>
  <c r="AH390" i="27"/>
  <c r="BL130" i="27"/>
  <c r="BJ130" i="27"/>
  <c r="BH130" i="27"/>
  <c r="BF130" i="27"/>
  <c r="BD130" i="27"/>
  <c r="BB130" i="27"/>
  <c r="AZ130" i="27"/>
  <c r="AX130" i="27"/>
  <c r="AV130" i="27"/>
  <c r="AT130" i="27"/>
  <c r="AR130" i="27"/>
  <c r="AP130" i="27"/>
  <c r="AN130" i="27"/>
  <c r="AL130" i="27"/>
  <c r="AJ130" i="27"/>
  <c r="AH130" i="27"/>
  <c r="BM126" i="27"/>
  <c r="BM389" i="27" s="1"/>
  <c r="BL126" i="27"/>
  <c r="BL389" i="27" s="1"/>
  <c r="BK126" i="27"/>
  <c r="BK389" i="27" s="1"/>
  <c r="BJ126" i="27"/>
  <c r="BJ389" i="27" s="1"/>
  <c r="BI126" i="27"/>
  <c r="BI389" i="27" s="1"/>
  <c r="BH126" i="27"/>
  <c r="BH389" i="27" s="1"/>
  <c r="BG126" i="27"/>
  <c r="BG389" i="27" s="1"/>
  <c r="BF126" i="27"/>
  <c r="BF389" i="27" s="1"/>
  <c r="BE126" i="27"/>
  <c r="BE389" i="27" s="1"/>
  <c r="BD126" i="27"/>
  <c r="BD389" i="27" s="1"/>
  <c r="BC126" i="27"/>
  <c r="BC389" i="27" s="1"/>
  <c r="BB126" i="27"/>
  <c r="BB389" i="27" s="1"/>
  <c r="BA126" i="27"/>
  <c r="BA389" i="27" s="1"/>
  <c r="AZ126" i="27"/>
  <c r="AZ389" i="27" s="1"/>
  <c r="AY126" i="27"/>
  <c r="AY389" i="27" s="1"/>
  <c r="AX126" i="27"/>
  <c r="AX389" i="27" s="1"/>
  <c r="AW126" i="27"/>
  <c r="AW389" i="27" s="1"/>
  <c r="AV126" i="27"/>
  <c r="AV389" i="27" s="1"/>
  <c r="AU126" i="27"/>
  <c r="AU389" i="27" s="1"/>
  <c r="AT126" i="27"/>
  <c r="AT389" i="27" s="1"/>
  <c r="AS126" i="27"/>
  <c r="AS389" i="27" s="1"/>
  <c r="AR126" i="27"/>
  <c r="AR389" i="27" s="1"/>
  <c r="AQ126" i="27"/>
  <c r="AQ389" i="27" s="1"/>
  <c r="AP126" i="27"/>
  <c r="AP389" i="27" s="1"/>
  <c r="AO126" i="27"/>
  <c r="AO389" i="27" s="1"/>
  <c r="AN126" i="27"/>
  <c r="AN389" i="27" s="1"/>
  <c r="AM126" i="27"/>
  <c r="AM389" i="27" s="1"/>
  <c r="AL126" i="27"/>
  <c r="AL389" i="27" s="1"/>
  <c r="AK126" i="27"/>
  <c r="AK389" i="27" s="1"/>
  <c r="AJ126" i="27"/>
  <c r="AJ389" i="27" s="1"/>
  <c r="AI126" i="27"/>
  <c r="AI389" i="27" s="1"/>
  <c r="AH126" i="27"/>
  <c r="AH389" i="27" s="1"/>
  <c r="BL112" i="27"/>
  <c r="BJ112" i="27"/>
  <c r="BH112" i="27"/>
  <c r="BF112" i="27"/>
  <c r="BD112" i="27"/>
  <c r="BB112" i="27"/>
  <c r="AZ112" i="27"/>
  <c r="AX112" i="27"/>
  <c r="AV112" i="27"/>
  <c r="AT112" i="27"/>
  <c r="AR112" i="27"/>
  <c r="AP112" i="27"/>
  <c r="AN112" i="27"/>
  <c r="AL112" i="27"/>
  <c r="AJ112" i="27"/>
  <c r="AH112" i="27"/>
  <c r="BM108" i="27"/>
  <c r="BM388" i="27" s="1"/>
  <c r="BL108" i="27"/>
  <c r="BL388" i="27" s="1"/>
  <c r="BK108" i="27"/>
  <c r="BK388" i="27" s="1"/>
  <c r="BJ108" i="27"/>
  <c r="BJ388" i="27" s="1"/>
  <c r="BI108" i="27"/>
  <c r="BI388" i="27" s="1"/>
  <c r="BH108" i="27"/>
  <c r="BH388" i="27" s="1"/>
  <c r="BG108" i="27"/>
  <c r="BG388" i="27" s="1"/>
  <c r="BF108" i="27"/>
  <c r="BF388" i="27" s="1"/>
  <c r="BE108" i="27"/>
  <c r="BE388" i="27" s="1"/>
  <c r="BD108" i="27"/>
  <c r="BD388" i="27" s="1"/>
  <c r="BC108" i="27"/>
  <c r="BC388" i="27" s="1"/>
  <c r="BB108" i="27"/>
  <c r="BB388" i="27" s="1"/>
  <c r="BA108" i="27"/>
  <c r="BA388" i="27" s="1"/>
  <c r="AZ108" i="27"/>
  <c r="AZ388" i="27" s="1"/>
  <c r="AY108" i="27"/>
  <c r="AY388" i="27" s="1"/>
  <c r="AX108" i="27"/>
  <c r="AX388" i="27" s="1"/>
  <c r="AW108" i="27"/>
  <c r="AW388" i="27" s="1"/>
  <c r="AV108" i="27"/>
  <c r="AV388" i="27" s="1"/>
  <c r="AU108" i="27"/>
  <c r="AU388" i="27" s="1"/>
  <c r="AT108" i="27"/>
  <c r="AT388" i="27" s="1"/>
  <c r="AS108" i="27"/>
  <c r="AS388" i="27" s="1"/>
  <c r="AR108" i="27"/>
  <c r="AR388" i="27" s="1"/>
  <c r="AQ108" i="27"/>
  <c r="AQ388" i="27" s="1"/>
  <c r="AP108" i="27"/>
  <c r="AP388" i="27" s="1"/>
  <c r="AO108" i="27"/>
  <c r="AO388" i="27" s="1"/>
  <c r="AN108" i="27"/>
  <c r="AN388" i="27" s="1"/>
  <c r="AM108" i="27"/>
  <c r="AM388" i="27" s="1"/>
  <c r="AL108" i="27"/>
  <c r="AL388" i="27" s="1"/>
  <c r="AK108" i="27"/>
  <c r="AK388" i="27" s="1"/>
  <c r="AJ108" i="27"/>
  <c r="AJ388" i="27" s="1"/>
  <c r="AI108" i="27"/>
  <c r="AI388" i="27" s="1"/>
  <c r="AH108" i="27"/>
  <c r="AH388" i="27" s="1"/>
  <c r="BL101" i="27"/>
  <c r="BJ101" i="27"/>
  <c r="BH101" i="27"/>
  <c r="BF101" i="27"/>
  <c r="BD101" i="27"/>
  <c r="BB101" i="27"/>
  <c r="AZ101" i="27"/>
  <c r="AX101" i="27"/>
  <c r="AV101" i="27"/>
  <c r="AT101" i="27"/>
  <c r="AR101" i="27"/>
  <c r="AP101" i="27"/>
  <c r="AN101" i="27"/>
  <c r="AL101" i="27"/>
  <c r="AJ101" i="27"/>
  <c r="AH101" i="27"/>
  <c r="BM97" i="27"/>
  <c r="BM387" i="27" s="1"/>
  <c r="BL97" i="27"/>
  <c r="BL387" i="27" s="1"/>
  <c r="BK97" i="27"/>
  <c r="BK387" i="27" s="1"/>
  <c r="BJ97" i="27"/>
  <c r="BJ387" i="27" s="1"/>
  <c r="BI97" i="27"/>
  <c r="BI387" i="27" s="1"/>
  <c r="BH97" i="27"/>
  <c r="BH387" i="27" s="1"/>
  <c r="BG97" i="27"/>
  <c r="BG387" i="27" s="1"/>
  <c r="BF97" i="27"/>
  <c r="BF387" i="27" s="1"/>
  <c r="BE97" i="27"/>
  <c r="BE387" i="27" s="1"/>
  <c r="BD97" i="27"/>
  <c r="BD387" i="27" s="1"/>
  <c r="BC97" i="27"/>
  <c r="BC387" i="27" s="1"/>
  <c r="BB97" i="27"/>
  <c r="BB387" i="27" s="1"/>
  <c r="BA97" i="27"/>
  <c r="BA387" i="27" s="1"/>
  <c r="AZ97" i="27"/>
  <c r="AZ387" i="27" s="1"/>
  <c r="AY97" i="27"/>
  <c r="AY387" i="27" s="1"/>
  <c r="AX97" i="27"/>
  <c r="AX387" i="27" s="1"/>
  <c r="AW97" i="27"/>
  <c r="AW387" i="27" s="1"/>
  <c r="AV97" i="27"/>
  <c r="AV387" i="27" s="1"/>
  <c r="AU97" i="27"/>
  <c r="AU387" i="27" s="1"/>
  <c r="AT97" i="27"/>
  <c r="AT387" i="27" s="1"/>
  <c r="AS97" i="27"/>
  <c r="AS387" i="27" s="1"/>
  <c r="AR97" i="27"/>
  <c r="AR387" i="27" s="1"/>
  <c r="AQ97" i="27"/>
  <c r="AQ387" i="27" s="1"/>
  <c r="AP97" i="27"/>
  <c r="AP387" i="27" s="1"/>
  <c r="AO97" i="27"/>
  <c r="AO387" i="27" s="1"/>
  <c r="AN97" i="27"/>
  <c r="AN387" i="27" s="1"/>
  <c r="AM97" i="27"/>
  <c r="AM387" i="27" s="1"/>
  <c r="AL97" i="27"/>
  <c r="AL387" i="27" s="1"/>
  <c r="AK97" i="27"/>
  <c r="AK387" i="27" s="1"/>
  <c r="AJ97" i="27"/>
  <c r="AJ387" i="27" s="1"/>
  <c r="AI97" i="27"/>
  <c r="AI387" i="27" s="1"/>
  <c r="AH97" i="27"/>
  <c r="AH387" i="27" s="1"/>
  <c r="BL92" i="27"/>
  <c r="BJ92" i="27"/>
  <c r="BH92" i="27"/>
  <c r="BF92" i="27"/>
  <c r="BD92" i="27"/>
  <c r="BB92" i="27"/>
  <c r="AZ92" i="27"/>
  <c r="AX92" i="27"/>
  <c r="AV92" i="27"/>
  <c r="AT92" i="27"/>
  <c r="AR92" i="27"/>
  <c r="AP92" i="27"/>
  <c r="AN92" i="27"/>
  <c r="AL92" i="27"/>
  <c r="AJ92" i="27"/>
  <c r="AH92" i="27"/>
  <c r="BM89" i="27"/>
  <c r="BM386" i="27" s="1"/>
  <c r="BL89" i="27"/>
  <c r="BL386" i="27" s="1"/>
  <c r="BK89" i="27"/>
  <c r="BK386" i="27" s="1"/>
  <c r="BJ89" i="27"/>
  <c r="BJ386" i="27" s="1"/>
  <c r="BI89" i="27"/>
  <c r="BI386" i="27" s="1"/>
  <c r="BH89" i="27"/>
  <c r="BH386" i="27" s="1"/>
  <c r="BG89" i="27"/>
  <c r="BG386" i="27" s="1"/>
  <c r="BF89" i="27"/>
  <c r="BF386" i="27" s="1"/>
  <c r="BE89" i="27"/>
  <c r="BE386" i="27" s="1"/>
  <c r="BD89" i="27"/>
  <c r="BD386" i="27" s="1"/>
  <c r="BC89" i="27"/>
  <c r="BC386" i="27" s="1"/>
  <c r="BB89" i="27"/>
  <c r="BB386" i="27" s="1"/>
  <c r="BA89" i="27"/>
  <c r="BA386" i="27" s="1"/>
  <c r="AZ89" i="27"/>
  <c r="AZ386" i="27" s="1"/>
  <c r="AY89" i="27"/>
  <c r="AY386" i="27" s="1"/>
  <c r="AX89" i="27"/>
  <c r="AX386" i="27" s="1"/>
  <c r="AW89" i="27"/>
  <c r="AW386" i="27" s="1"/>
  <c r="AV89" i="27"/>
  <c r="AV386" i="27" s="1"/>
  <c r="AU89" i="27"/>
  <c r="AU386" i="27" s="1"/>
  <c r="AT89" i="27"/>
  <c r="AT386" i="27" s="1"/>
  <c r="AS89" i="27"/>
  <c r="AS386" i="27" s="1"/>
  <c r="AR89" i="27"/>
  <c r="AR386" i="27" s="1"/>
  <c r="AQ89" i="27"/>
  <c r="AQ386" i="27" s="1"/>
  <c r="AP89" i="27"/>
  <c r="AP386" i="27" s="1"/>
  <c r="AO89" i="27"/>
  <c r="AO386" i="27" s="1"/>
  <c r="AN89" i="27"/>
  <c r="AN386" i="27" s="1"/>
  <c r="AM89" i="27"/>
  <c r="AM386" i="27" s="1"/>
  <c r="AL89" i="27"/>
  <c r="AL386" i="27" s="1"/>
  <c r="AK89" i="27"/>
  <c r="AK386" i="27" s="1"/>
  <c r="AJ89" i="27"/>
  <c r="AJ386" i="27" s="1"/>
  <c r="AI89" i="27"/>
  <c r="AI386" i="27" s="1"/>
  <c r="AH89" i="27"/>
  <c r="AH386" i="27" s="1"/>
  <c r="BL78" i="27"/>
  <c r="BJ78" i="27"/>
  <c r="BH78" i="27"/>
  <c r="BF78" i="27"/>
  <c r="BD78" i="27"/>
  <c r="BB78" i="27"/>
  <c r="AZ78" i="27"/>
  <c r="AX78" i="27"/>
  <c r="AV78" i="27"/>
  <c r="AT78" i="27"/>
  <c r="AR78" i="27"/>
  <c r="AP78" i="27"/>
  <c r="AN78" i="27"/>
  <c r="AL78" i="27"/>
  <c r="AJ78" i="27"/>
  <c r="AH78" i="27"/>
  <c r="BM75" i="27"/>
  <c r="BM385" i="27" s="1"/>
  <c r="BL75" i="27"/>
  <c r="BL385" i="27" s="1"/>
  <c r="BK75" i="27"/>
  <c r="BK385" i="27" s="1"/>
  <c r="BJ75" i="27"/>
  <c r="BJ385" i="27" s="1"/>
  <c r="BI75" i="27"/>
  <c r="BI385" i="27" s="1"/>
  <c r="BH75" i="27"/>
  <c r="BH385" i="27" s="1"/>
  <c r="BG75" i="27"/>
  <c r="BG385" i="27" s="1"/>
  <c r="BF75" i="27"/>
  <c r="BF385" i="27" s="1"/>
  <c r="BE75" i="27"/>
  <c r="BE385" i="27" s="1"/>
  <c r="BD75" i="27"/>
  <c r="BD385" i="27" s="1"/>
  <c r="BC75" i="27"/>
  <c r="BC385" i="27" s="1"/>
  <c r="BB75" i="27"/>
  <c r="BB385" i="27" s="1"/>
  <c r="BA75" i="27"/>
  <c r="BA385" i="27" s="1"/>
  <c r="AZ75" i="27"/>
  <c r="AZ385" i="27" s="1"/>
  <c r="AY75" i="27"/>
  <c r="AY385" i="27" s="1"/>
  <c r="AX75" i="27"/>
  <c r="AX385" i="27" s="1"/>
  <c r="AW75" i="27"/>
  <c r="AW385" i="27" s="1"/>
  <c r="AV75" i="27"/>
  <c r="AV385" i="27" s="1"/>
  <c r="AU75" i="27"/>
  <c r="AU385" i="27" s="1"/>
  <c r="AT75" i="27"/>
  <c r="AT385" i="27" s="1"/>
  <c r="AS75" i="27"/>
  <c r="AS385" i="27" s="1"/>
  <c r="AR75" i="27"/>
  <c r="AR385" i="27" s="1"/>
  <c r="AQ75" i="27"/>
  <c r="AQ385" i="27" s="1"/>
  <c r="AP75" i="27"/>
  <c r="AP385" i="27" s="1"/>
  <c r="AO75" i="27"/>
  <c r="AO385" i="27" s="1"/>
  <c r="AN75" i="27"/>
  <c r="AN385" i="27" s="1"/>
  <c r="AM75" i="27"/>
  <c r="AM385" i="27" s="1"/>
  <c r="AL75" i="27"/>
  <c r="AL385" i="27" s="1"/>
  <c r="AK75" i="27"/>
  <c r="AK385" i="27" s="1"/>
  <c r="AJ75" i="27"/>
  <c r="AJ385" i="27" s="1"/>
  <c r="AI75" i="27"/>
  <c r="AI385" i="27" s="1"/>
  <c r="AH75" i="27"/>
  <c r="AH385" i="27" s="1"/>
  <c r="BL69" i="27"/>
  <c r="BJ69" i="27"/>
  <c r="BH69" i="27"/>
  <c r="BF69" i="27"/>
  <c r="BD69" i="27"/>
  <c r="BB69" i="27"/>
  <c r="AZ69" i="27"/>
  <c r="AX69" i="27"/>
  <c r="AV69" i="27"/>
  <c r="AT69" i="27"/>
  <c r="AR69" i="27"/>
  <c r="AP69" i="27"/>
  <c r="AN69" i="27"/>
  <c r="AL69" i="27"/>
  <c r="AJ69" i="27"/>
  <c r="AH69" i="27"/>
  <c r="BM66" i="27"/>
  <c r="BM384" i="27" s="1"/>
  <c r="BL66" i="27"/>
  <c r="BL384" i="27" s="1"/>
  <c r="BK66" i="27"/>
  <c r="BK384" i="27" s="1"/>
  <c r="BJ66" i="27"/>
  <c r="BJ384" i="27" s="1"/>
  <c r="BI66" i="27"/>
  <c r="BI384" i="27" s="1"/>
  <c r="BH66" i="27"/>
  <c r="BH384" i="27" s="1"/>
  <c r="BG66" i="27"/>
  <c r="BG384" i="27" s="1"/>
  <c r="BF66" i="27"/>
  <c r="BF384" i="27" s="1"/>
  <c r="BE66" i="27"/>
  <c r="BE384" i="27" s="1"/>
  <c r="BD66" i="27"/>
  <c r="BD384" i="27" s="1"/>
  <c r="BC66" i="27"/>
  <c r="BC384" i="27" s="1"/>
  <c r="BB66" i="27"/>
  <c r="BB384" i="27" s="1"/>
  <c r="BA66" i="27"/>
  <c r="BA384" i="27" s="1"/>
  <c r="AZ66" i="27"/>
  <c r="AZ384" i="27" s="1"/>
  <c r="AY66" i="27"/>
  <c r="AY384" i="27" s="1"/>
  <c r="AX66" i="27"/>
  <c r="AX384" i="27" s="1"/>
  <c r="AW66" i="27"/>
  <c r="AW384" i="27" s="1"/>
  <c r="AV66" i="27"/>
  <c r="AV384" i="27" s="1"/>
  <c r="AU66" i="27"/>
  <c r="AU384" i="27" s="1"/>
  <c r="AT66" i="27"/>
  <c r="AT384" i="27" s="1"/>
  <c r="AS66" i="27"/>
  <c r="AS384" i="27" s="1"/>
  <c r="AR66" i="27"/>
  <c r="AR384" i="27" s="1"/>
  <c r="AQ66" i="27"/>
  <c r="AQ384" i="27" s="1"/>
  <c r="AP66" i="27"/>
  <c r="AP384" i="27" s="1"/>
  <c r="AO66" i="27"/>
  <c r="AO384" i="27" s="1"/>
  <c r="AN66" i="27"/>
  <c r="AN384" i="27" s="1"/>
  <c r="AM66" i="27"/>
  <c r="AM384" i="27" s="1"/>
  <c r="AL66" i="27"/>
  <c r="AL384" i="27" s="1"/>
  <c r="AK66" i="27"/>
  <c r="AK384" i="27" s="1"/>
  <c r="AJ66" i="27"/>
  <c r="AJ384" i="27" s="1"/>
  <c r="AI66" i="27"/>
  <c r="AI384" i="27" s="1"/>
  <c r="AH66" i="27"/>
  <c r="AH384" i="27" s="1"/>
  <c r="BL58" i="27"/>
  <c r="BJ58" i="27"/>
  <c r="BH58" i="27"/>
  <c r="BF58" i="27"/>
  <c r="BD58" i="27"/>
  <c r="BB58" i="27"/>
  <c r="AZ58" i="27"/>
  <c r="AX58" i="27"/>
  <c r="AV58" i="27"/>
  <c r="AT58" i="27"/>
  <c r="AR58" i="27"/>
  <c r="AP58" i="27"/>
  <c r="AN58" i="27"/>
  <c r="AL58" i="27"/>
  <c r="AJ58" i="27"/>
  <c r="AH58" i="27"/>
  <c r="BM54" i="27"/>
  <c r="BM383" i="27" s="1"/>
  <c r="BL54" i="27"/>
  <c r="BL383" i="27" s="1"/>
  <c r="BK54" i="27"/>
  <c r="BK383" i="27" s="1"/>
  <c r="BJ54" i="27"/>
  <c r="BJ383" i="27" s="1"/>
  <c r="BI54" i="27"/>
  <c r="BI383" i="27" s="1"/>
  <c r="BH54" i="27"/>
  <c r="BH383" i="27" s="1"/>
  <c r="BG54" i="27"/>
  <c r="BG383" i="27" s="1"/>
  <c r="BF54" i="27"/>
  <c r="BF383" i="27" s="1"/>
  <c r="BE54" i="27"/>
  <c r="BE383" i="27" s="1"/>
  <c r="BD54" i="27"/>
  <c r="BD383" i="27" s="1"/>
  <c r="BC54" i="27"/>
  <c r="BC383" i="27" s="1"/>
  <c r="BB54" i="27"/>
  <c r="BB383" i="27" s="1"/>
  <c r="BA54" i="27"/>
  <c r="BA383" i="27" s="1"/>
  <c r="AZ54" i="27"/>
  <c r="AZ383" i="27" s="1"/>
  <c r="AY54" i="27"/>
  <c r="AY383" i="27" s="1"/>
  <c r="AX54" i="27"/>
  <c r="AX383" i="27" s="1"/>
  <c r="AW54" i="27"/>
  <c r="AW383" i="27" s="1"/>
  <c r="AV54" i="27"/>
  <c r="AV383" i="27" s="1"/>
  <c r="AU54" i="27"/>
  <c r="AU383" i="27" s="1"/>
  <c r="AT54" i="27"/>
  <c r="AT383" i="27" s="1"/>
  <c r="AS54" i="27"/>
  <c r="AS383" i="27" s="1"/>
  <c r="AR54" i="27"/>
  <c r="AR383" i="27" s="1"/>
  <c r="AQ54" i="27"/>
  <c r="AQ383" i="27" s="1"/>
  <c r="AP54" i="27"/>
  <c r="AP383" i="27" s="1"/>
  <c r="AO54" i="27"/>
  <c r="AO383" i="27" s="1"/>
  <c r="AN54" i="27"/>
  <c r="AN383" i="27" s="1"/>
  <c r="AM54" i="27"/>
  <c r="AM383" i="27" s="1"/>
  <c r="AL54" i="27"/>
  <c r="AL383" i="27" s="1"/>
  <c r="AK54" i="27"/>
  <c r="AK383" i="27" s="1"/>
  <c r="AJ54" i="27"/>
  <c r="AJ383" i="27" s="1"/>
  <c r="AI54" i="27"/>
  <c r="AI383" i="27" s="1"/>
  <c r="AH54" i="27"/>
  <c r="AH383" i="27" s="1"/>
  <c r="BL28" i="27"/>
  <c r="BJ28" i="27"/>
  <c r="BH28" i="27"/>
  <c r="BF28" i="27"/>
  <c r="BD28" i="27"/>
  <c r="BB28" i="27"/>
  <c r="AZ28" i="27"/>
  <c r="AX28" i="27"/>
  <c r="AV28" i="27"/>
  <c r="AT28" i="27"/>
  <c r="AR28" i="27"/>
  <c r="AP28" i="27"/>
  <c r="AN28" i="27"/>
  <c r="AL28" i="27"/>
  <c r="AJ28" i="27"/>
  <c r="AH28" i="27"/>
  <c r="BM24" i="27"/>
  <c r="BM382" i="27" s="1"/>
  <c r="BL24" i="27"/>
  <c r="BL382" i="27" s="1"/>
  <c r="BK24" i="27"/>
  <c r="BK382" i="27" s="1"/>
  <c r="BJ24" i="27"/>
  <c r="BJ382" i="27" s="1"/>
  <c r="BI24" i="27"/>
  <c r="BI382" i="27" s="1"/>
  <c r="BH24" i="27"/>
  <c r="BH382" i="27" s="1"/>
  <c r="BG24" i="27"/>
  <c r="BG382" i="27" s="1"/>
  <c r="BF24" i="27"/>
  <c r="BF382" i="27" s="1"/>
  <c r="BE24" i="27"/>
  <c r="BE382" i="27" s="1"/>
  <c r="BD24" i="27"/>
  <c r="BD382" i="27" s="1"/>
  <c r="BC24" i="27"/>
  <c r="BC382" i="27" s="1"/>
  <c r="BB24" i="27"/>
  <c r="BB382" i="27" s="1"/>
  <c r="BA24" i="27"/>
  <c r="BA382" i="27" s="1"/>
  <c r="AZ24" i="27"/>
  <c r="AZ382" i="27" s="1"/>
  <c r="AY24" i="27"/>
  <c r="AY382" i="27" s="1"/>
  <c r="AX24" i="27"/>
  <c r="AX382" i="27" s="1"/>
  <c r="AW24" i="27"/>
  <c r="AW382" i="27" s="1"/>
  <c r="AV24" i="27"/>
  <c r="AV382" i="27" s="1"/>
  <c r="AU24" i="27"/>
  <c r="AU382" i="27" s="1"/>
  <c r="AT24" i="27"/>
  <c r="AT382" i="27" s="1"/>
  <c r="AS24" i="27"/>
  <c r="AS382" i="27" s="1"/>
  <c r="AR24" i="27"/>
  <c r="AR382" i="27" s="1"/>
  <c r="AQ24" i="27"/>
  <c r="AQ382" i="27" s="1"/>
  <c r="AP24" i="27"/>
  <c r="AP382" i="27" s="1"/>
  <c r="AO24" i="27"/>
  <c r="AO382" i="27" s="1"/>
  <c r="AN24" i="27"/>
  <c r="AN382" i="27" s="1"/>
  <c r="AM24" i="27"/>
  <c r="AM382" i="27" s="1"/>
  <c r="AL24" i="27"/>
  <c r="AL382" i="27" s="1"/>
  <c r="AK24" i="27"/>
  <c r="AK382" i="27" s="1"/>
  <c r="AJ24" i="27"/>
  <c r="AJ382" i="27" s="1"/>
  <c r="AI24" i="27"/>
  <c r="AI382" i="27" s="1"/>
  <c r="AH24" i="27"/>
  <c r="AH382" i="27" s="1"/>
  <c r="A30" i="54"/>
  <c r="M16" i="54"/>
  <c r="I16" i="54"/>
  <c r="E16" i="54"/>
  <c r="A16" i="54"/>
  <c r="M2" i="54"/>
  <c r="A2" i="54"/>
  <c r="E196" i="43"/>
  <c r="F196" i="43"/>
  <c r="G196" i="43"/>
  <c r="H196" i="43"/>
  <c r="I196" i="43"/>
  <c r="J196" i="43"/>
  <c r="K196" i="43"/>
  <c r="L196" i="43"/>
  <c r="M196" i="43"/>
  <c r="N196" i="43"/>
  <c r="O196" i="43"/>
  <c r="P196" i="43"/>
  <c r="Q196" i="43"/>
  <c r="R196" i="43"/>
  <c r="S196" i="43"/>
  <c r="T196" i="43"/>
  <c r="U196" i="43"/>
  <c r="V196" i="43"/>
  <c r="W196" i="43"/>
  <c r="X196" i="43"/>
  <c r="Y196" i="43"/>
  <c r="Z196" i="43"/>
  <c r="AA196" i="43"/>
  <c r="AB196" i="43"/>
  <c r="AC196" i="43"/>
  <c r="AD196" i="43"/>
  <c r="AE196" i="43"/>
  <c r="AF196" i="43"/>
  <c r="AG196" i="43"/>
  <c r="D196" i="43"/>
  <c r="E196" i="41"/>
  <c r="F196" i="41"/>
  <c r="G196" i="41"/>
  <c r="H196" i="41"/>
  <c r="I196" i="41"/>
  <c r="J196" i="41"/>
  <c r="K196" i="41"/>
  <c r="L196" i="41"/>
  <c r="M196" i="41"/>
  <c r="N196" i="41"/>
  <c r="O196" i="41"/>
  <c r="P196" i="41"/>
  <c r="Q196" i="41"/>
  <c r="R196" i="41"/>
  <c r="S196" i="41"/>
  <c r="T196" i="41"/>
  <c r="U196" i="41"/>
  <c r="V196" i="41"/>
  <c r="W196" i="41"/>
  <c r="X196" i="41"/>
  <c r="Y196" i="41"/>
  <c r="Z196" i="41"/>
  <c r="AA196" i="41"/>
  <c r="AB196" i="41"/>
  <c r="AC196" i="41"/>
  <c r="AD196" i="41"/>
  <c r="AE196" i="41"/>
  <c r="AF196" i="41"/>
  <c r="AG196" i="41"/>
  <c r="D196" i="41"/>
  <c r="C163" i="27"/>
  <c r="E196" i="27"/>
  <c r="F196" i="27"/>
  <c r="G196" i="27"/>
  <c r="H196" i="27"/>
  <c r="I196" i="27"/>
  <c r="J196" i="27"/>
  <c r="K196" i="27"/>
  <c r="L196" i="27"/>
  <c r="M196" i="27"/>
  <c r="N196" i="27"/>
  <c r="O196" i="27"/>
  <c r="P196" i="27"/>
  <c r="Q196" i="27"/>
  <c r="R196" i="27"/>
  <c r="S196" i="27"/>
  <c r="T196" i="27"/>
  <c r="U196" i="27"/>
  <c r="V196" i="27"/>
  <c r="W196" i="27"/>
  <c r="X196" i="27"/>
  <c r="Y196" i="27"/>
  <c r="Z196" i="27"/>
  <c r="AA196" i="27"/>
  <c r="AB196" i="27"/>
  <c r="AC196" i="27"/>
  <c r="AD196" i="27"/>
  <c r="AE196" i="27"/>
  <c r="AF196" i="27"/>
  <c r="AG196" i="27"/>
  <c r="D196" i="27"/>
  <c r="B166" i="43"/>
  <c r="B166" i="41"/>
  <c r="M44" i="54"/>
  <c r="E24" i="43"/>
  <c r="F24" i="43"/>
  <c r="G24" i="43"/>
  <c r="H24" i="43"/>
  <c r="I24" i="43"/>
  <c r="J24" i="43"/>
  <c r="K24" i="43"/>
  <c r="L24" i="43"/>
  <c r="M24" i="43"/>
  <c r="N24" i="43"/>
  <c r="O24" i="43"/>
  <c r="P24" i="43"/>
  <c r="Q24" i="43"/>
  <c r="R24" i="43"/>
  <c r="S24" i="43"/>
  <c r="T24" i="43"/>
  <c r="U24" i="43"/>
  <c r="V24" i="43"/>
  <c r="W24" i="43"/>
  <c r="X24" i="43"/>
  <c r="Y24" i="43"/>
  <c r="Z24" i="43"/>
  <c r="AA24" i="43"/>
  <c r="AB24" i="43"/>
  <c r="AC24" i="43"/>
  <c r="AD24" i="43"/>
  <c r="AE24" i="43"/>
  <c r="AF24" i="43"/>
  <c r="AG24" i="43"/>
  <c r="D24" i="43"/>
  <c r="E24" i="41"/>
  <c r="F24" i="41"/>
  <c r="G24" i="41"/>
  <c r="H24" i="41"/>
  <c r="I24" i="41"/>
  <c r="J24" i="41"/>
  <c r="K24" i="41"/>
  <c r="L24" i="41"/>
  <c r="M24" i="41"/>
  <c r="N24" i="41"/>
  <c r="O24" i="41"/>
  <c r="P24" i="41"/>
  <c r="Q24" i="41"/>
  <c r="R24" i="41"/>
  <c r="S24" i="41"/>
  <c r="T24" i="41"/>
  <c r="U24" i="41"/>
  <c r="V24" i="41"/>
  <c r="W24" i="41"/>
  <c r="X24" i="41"/>
  <c r="Y24" i="41"/>
  <c r="Z24" i="41"/>
  <c r="AA24" i="41"/>
  <c r="AB24" i="41"/>
  <c r="AC24" i="41"/>
  <c r="AD24" i="41"/>
  <c r="AE24" i="41"/>
  <c r="AF24" i="41"/>
  <c r="AG24" i="41"/>
  <c r="D24" i="41"/>
  <c r="C1" i="27"/>
  <c r="E24" i="27"/>
  <c r="F24" i="27"/>
  <c r="G24" i="27"/>
  <c r="H24" i="27"/>
  <c r="I24" i="27"/>
  <c r="J24" i="27"/>
  <c r="K24" i="27"/>
  <c r="L24" i="27"/>
  <c r="M24" i="27"/>
  <c r="N24" i="27"/>
  <c r="O24" i="27"/>
  <c r="P24" i="27"/>
  <c r="Q24" i="27"/>
  <c r="R24" i="27"/>
  <c r="S24" i="27"/>
  <c r="T24" i="27"/>
  <c r="U24" i="27"/>
  <c r="V24" i="27"/>
  <c r="W24" i="27"/>
  <c r="X24" i="27"/>
  <c r="Y24" i="27"/>
  <c r="Z24" i="27"/>
  <c r="AA24" i="27"/>
  <c r="AB24" i="27"/>
  <c r="AC24" i="27"/>
  <c r="AD24" i="27"/>
  <c r="AE24" i="27"/>
  <c r="AF24" i="27"/>
  <c r="AG24" i="27"/>
  <c r="D24" i="27"/>
  <c r="B4" i="43"/>
  <c r="B4" i="41"/>
  <c r="E246" i="43"/>
  <c r="F246" i="43"/>
  <c r="G246" i="43"/>
  <c r="H246" i="43"/>
  <c r="I246" i="43"/>
  <c r="J246" i="43"/>
  <c r="K246" i="43"/>
  <c r="L246" i="43"/>
  <c r="M246" i="43"/>
  <c r="N246" i="43"/>
  <c r="O246" i="43"/>
  <c r="P246" i="43"/>
  <c r="Q246" i="43"/>
  <c r="R246" i="43"/>
  <c r="S246" i="43"/>
  <c r="T246" i="43"/>
  <c r="U246" i="43"/>
  <c r="V246" i="43"/>
  <c r="W246" i="43"/>
  <c r="X246" i="43"/>
  <c r="Y246" i="43"/>
  <c r="Z246" i="43"/>
  <c r="AA246" i="43"/>
  <c r="AB246" i="43"/>
  <c r="AC246" i="43"/>
  <c r="AD246" i="43"/>
  <c r="AE246" i="43"/>
  <c r="AF246" i="43"/>
  <c r="AG246" i="43"/>
  <c r="D246" i="43"/>
  <c r="E246" i="41"/>
  <c r="F246" i="41"/>
  <c r="G246" i="41"/>
  <c r="H246" i="41"/>
  <c r="I246" i="41"/>
  <c r="J246" i="41"/>
  <c r="K246" i="41"/>
  <c r="L246" i="41"/>
  <c r="M246" i="41"/>
  <c r="N246" i="41"/>
  <c r="O246" i="41"/>
  <c r="P246" i="41"/>
  <c r="Q246" i="41"/>
  <c r="R246" i="41"/>
  <c r="S246" i="41"/>
  <c r="T246" i="41"/>
  <c r="U246" i="41"/>
  <c r="V246" i="41"/>
  <c r="W246" i="41"/>
  <c r="X246" i="41"/>
  <c r="Y246" i="41"/>
  <c r="Z246" i="41"/>
  <c r="AA246" i="41"/>
  <c r="AB246" i="41"/>
  <c r="AC246" i="41"/>
  <c r="AD246" i="41"/>
  <c r="AE246" i="41"/>
  <c r="AF246" i="41"/>
  <c r="AG246" i="41"/>
  <c r="D246" i="41"/>
  <c r="C224" i="27"/>
  <c r="E246" i="27"/>
  <c r="F246" i="27"/>
  <c r="G246" i="27"/>
  <c r="H246" i="27"/>
  <c r="I246" i="27"/>
  <c r="J246" i="27"/>
  <c r="K246" i="27"/>
  <c r="L246" i="27"/>
  <c r="M246" i="27"/>
  <c r="N246" i="27"/>
  <c r="O246" i="27"/>
  <c r="P246" i="27"/>
  <c r="Q246" i="27"/>
  <c r="R246" i="27"/>
  <c r="S246" i="27"/>
  <c r="T246" i="27"/>
  <c r="U246" i="27"/>
  <c r="V246" i="27"/>
  <c r="W246" i="27"/>
  <c r="X246" i="27"/>
  <c r="Y246" i="27"/>
  <c r="Z246" i="27"/>
  <c r="AA246" i="27"/>
  <c r="AB246" i="27"/>
  <c r="AC246" i="27"/>
  <c r="AD246" i="27"/>
  <c r="AE246" i="27"/>
  <c r="AF246" i="27"/>
  <c r="AG246" i="27"/>
  <c r="D246" i="27"/>
  <c r="B349" i="43"/>
  <c r="B349" i="41"/>
  <c r="BO365" i="43" l="1"/>
  <c r="BN365" i="43"/>
  <c r="BO365" i="41"/>
  <c r="BN365" i="41"/>
  <c r="BO365" i="27"/>
  <c r="BN365" i="27"/>
  <c r="AV404" i="41"/>
  <c r="BP350" i="27"/>
  <c r="BP365" i="27" s="1"/>
  <c r="BQ350" i="27"/>
  <c r="BQ365" i="27" s="1"/>
  <c r="BP403" i="41"/>
  <c r="BP403" i="43" s="1"/>
  <c r="BQ402" i="41"/>
  <c r="BQ402" i="43" s="1"/>
  <c r="BP402" i="41"/>
  <c r="BP402" i="43" s="1"/>
  <c r="BQ403" i="41"/>
  <c r="BQ403" i="43" s="1"/>
  <c r="BQ254" i="41"/>
  <c r="BQ349" i="41"/>
  <c r="BP349" i="41"/>
  <c r="BQ166" i="41"/>
  <c r="BP166" i="41"/>
  <c r="BP4" i="41"/>
  <c r="BP4" i="43" s="1"/>
  <c r="G48" i="54" s="1"/>
  <c r="BQ4" i="41"/>
  <c r="BQ4" i="43" s="1"/>
  <c r="C73" i="62"/>
  <c r="M30" i="75"/>
  <c r="K38" i="62"/>
  <c r="G35" i="62"/>
  <c r="O23" i="62"/>
  <c r="K76" i="62"/>
  <c r="O36" i="62"/>
  <c r="K4" i="62"/>
  <c r="U59" i="76"/>
  <c r="C25" i="62"/>
  <c r="G52" i="62"/>
  <c r="S13" i="64"/>
  <c r="R13" i="64"/>
  <c r="E45" i="75"/>
  <c r="A16" i="76"/>
  <c r="C35" i="64"/>
  <c r="D35" i="64"/>
  <c r="H39" i="64"/>
  <c r="I39" i="64"/>
  <c r="M40" i="64"/>
  <c r="N40" i="64"/>
  <c r="M34" i="64"/>
  <c r="N34" i="64"/>
  <c r="H34" i="64"/>
  <c r="I34" i="64"/>
  <c r="G40" i="62"/>
  <c r="A2" i="75"/>
  <c r="C40" i="64"/>
  <c r="D40" i="64"/>
  <c r="C34" i="64"/>
  <c r="D34" i="64"/>
  <c r="I38" i="64"/>
  <c r="H38" i="64"/>
  <c r="M39" i="64"/>
  <c r="N39" i="64"/>
  <c r="M33" i="64"/>
  <c r="N33" i="64"/>
  <c r="G9" i="62"/>
  <c r="C21" i="62"/>
  <c r="K74" i="62"/>
  <c r="G39" i="62"/>
  <c r="E16" i="75"/>
  <c r="I30" i="75"/>
  <c r="A16" i="75"/>
  <c r="I16" i="75"/>
  <c r="A45" i="75"/>
  <c r="E30" i="76"/>
  <c r="M35" i="64"/>
  <c r="N35" i="64"/>
  <c r="A30" i="75"/>
  <c r="H40" i="64"/>
  <c r="I40" i="64"/>
  <c r="K70" i="62"/>
  <c r="C54" i="62"/>
  <c r="G34" i="62"/>
  <c r="M16" i="75"/>
  <c r="K20" i="62"/>
  <c r="E30" i="75"/>
  <c r="E2" i="75"/>
  <c r="C39" i="64"/>
  <c r="D39" i="64"/>
  <c r="C33" i="64"/>
  <c r="D33" i="64"/>
  <c r="H37" i="64"/>
  <c r="I37" i="64"/>
  <c r="O5" i="62"/>
  <c r="K79" i="62"/>
  <c r="K9" i="62"/>
  <c r="C69" i="62"/>
  <c r="C39" i="62"/>
  <c r="I2" i="75"/>
  <c r="C38" i="64"/>
  <c r="D38" i="64"/>
  <c r="C32" i="64"/>
  <c r="D32" i="64"/>
  <c r="H36" i="64"/>
  <c r="I36" i="64"/>
  <c r="N37" i="64"/>
  <c r="M37" i="64"/>
  <c r="R40" i="64"/>
  <c r="S40" i="64"/>
  <c r="C24" i="62"/>
  <c r="M38" i="64"/>
  <c r="N38" i="64"/>
  <c r="D36" i="64"/>
  <c r="C36" i="64"/>
  <c r="K81" i="62"/>
  <c r="K69" i="62"/>
  <c r="S41" i="64"/>
  <c r="R41" i="64"/>
  <c r="K48" i="62"/>
  <c r="O40" i="62"/>
  <c r="O32" i="62"/>
  <c r="M2" i="75"/>
  <c r="M2" i="76"/>
  <c r="D37" i="64"/>
  <c r="C37" i="64"/>
  <c r="H35" i="64"/>
  <c r="I35" i="64"/>
  <c r="M36" i="64"/>
  <c r="N36" i="64"/>
  <c r="H55" i="64"/>
  <c r="I55" i="64"/>
  <c r="BO292" i="43"/>
  <c r="BN292" i="43"/>
  <c r="BN292" i="41"/>
  <c r="BO292" i="41"/>
  <c r="BN292" i="27"/>
  <c r="BO292" i="27"/>
  <c r="BP62" i="27"/>
  <c r="AR404" i="41"/>
  <c r="BD404" i="41"/>
  <c r="BP317" i="27"/>
  <c r="BP211" i="27"/>
  <c r="BP206" i="27"/>
  <c r="AI404" i="41"/>
  <c r="BP207" i="27"/>
  <c r="BP315" i="27"/>
  <c r="BP304" i="27"/>
  <c r="BP299" i="27"/>
  <c r="BP178" i="27"/>
  <c r="BP168" i="27"/>
  <c r="BP241" i="27"/>
  <c r="BP203" i="27"/>
  <c r="BP235" i="27"/>
  <c r="BP229" i="27"/>
  <c r="G37" i="62"/>
  <c r="BP86" i="27"/>
  <c r="BP89" i="27" s="1"/>
  <c r="BP170" i="27"/>
  <c r="BP238" i="27"/>
  <c r="K53" i="62"/>
  <c r="BQ374" i="41"/>
  <c r="BQ374" i="43" s="1"/>
  <c r="C19" i="62"/>
  <c r="BP16" i="27"/>
  <c r="K25" i="62"/>
  <c r="O35" i="62"/>
  <c r="K52" i="62"/>
  <c r="O11" i="62"/>
  <c r="BP335" i="27"/>
  <c r="BP14" i="27"/>
  <c r="K34" i="62"/>
  <c r="BP169" i="27"/>
  <c r="BP215" i="27"/>
  <c r="BP245" i="27"/>
  <c r="BP306" i="27"/>
  <c r="G8" i="62"/>
  <c r="BP264" i="27"/>
  <c r="G23" i="62"/>
  <c r="C32" i="62"/>
  <c r="G13" i="62"/>
  <c r="K21" i="62"/>
  <c r="BQ264" i="27"/>
  <c r="BQ292" i="27" s="1"/>
  <c r="BP244" i="27"/>
  <c r="BN75" i="41"/>
  <c r="BP373" i="41"/>
  <c r="BP373" i="43" s="1"/>
  <c r="G48" i="76"/>
  <c r="G33" i="62"/>
  <c r="K50" i="62"/>
  <c r="O21" i="62"/>
  <c r="C33" i="62"/>
  <c r="G12" i="62"/>
  <c r="G48" i="62"/>
  <c r="K33" i="62"/>
  <c r="G70" i="62"/>
  <c r="BP216" i="27"/>
  <c r="BP204" i="27"/>
  <c r="BP254" i="27"/>
  <c r="BP254" i="41" s="1"/>
  <c r="O4" i="62"/>
  <c r="C22" i="62"/>
  <c r="C74" i="62"/>
  <c r="C81" i="62"/>
  <c r="K55" i="62"/>
  <c r="BQ372" i="41"/>
  <c r="BQ372" i="43" s="1"/>
  <c r="G20" i="62"/>
  <c r="C49" i="62"/>
  <c r="AS395" i="41"/>
  <c r="AS404" i="41"/>
  <c r="BG404" i="41"/>
  <c r="AU404" i="41"/>
  <c r="AN404" i="41"/>
  <c r="BA404" i="41"/>
  <c r="BM404" i="41"/>
  <c r="AP404" i="41"/>
  <c r="BB404" i="41"/>
  <c r="AQ404" i="41"/>
  <c r="BP374" i="41"/>
  <c r="BP374" i="43" s="1"/>
  <c r="AJ404" i="41"/>
  <c r="BH404" i="41"/>
  <c r="AL404" i="41"/>
  <c r="AX404" i="41"/>
  <c r="BJ404" i="41"/>
  <c r="BQ373" i="41"/>
  <c r="BQ373" i="43" s="1"/>
  <c r="AK404" i="41"/>
  <c r="AW404" i="41"/>
  <c r="AM404" i="41"/>
  <c r="AY404" i="41"/>
  <c r="BQ371" i="41"/>
  <c r="BQ371" i="43" s="1"/>
  <c r="AK404" i="43"/>
  <c r="AZ404" i="43"/>
  <c r="AW404" i="43"/>
  <c r="AN404" i="43"/>
  <c r="BB404" i="43"/>
  <c r="U59" i="75"/>
  <c r="K40" i="62"/>
  <c r="G55" i="62"/>
  <c r="O34" i="62"/>
  <c r="O9" i="62"/>
  <c r="K85" i="62"/>
  <c r="C72" i="62"/>
  <c r="O39" i="62"/>
  <c r="C38" i="62"/>
  <c r="O20" i="62"/>
  <c r="K12" i="62"/>
  <c r="K84" i="62"/>
  <c r="K80" i="62"/>
  <c r="G36" i="62"/>
  <c r="G49" i="62"/>
  <c r="K51" i="62"/>
  <c r="K73" i="62"/>
  <c r="K68" i="62"/>
  <c r="K5" i="62"/>
  <c r="C70" i="62"/>
  <c r="O19" i="62"/>
  <c r="C37" i="62"/>
  <c r="C27" i="62"/>
  <c r="O24" i="62"/>
  <c r="K71" i="62"/>
  <c r="O25" i="62"/>
  <c r="G50" i="62"/>
  <c r="K49" i="62"/>
  <c r="G54" i="62"/>
  <c r="G10" i="62"/>
  <c r="G32" i="62"/>
  <c r="C83" i="62"/>
  <c r="C52" i="62"/>
  <c r="G21" i="62"/>
  <c r="BQ246" i="27"/>
  <c r="K83" i="62"/>
  <c r="BP148" i="27"/>
  <c r="C48" i="62"/>
  <c r="O27" i="62"/>
  <c r="O8" i="62"/>
  <c r="G7" i="75"/>
  <c r="BP173" i="27"/>
  <c r="BP277" i="27"/>
  <c r="BP274" i="27"/>
  <c r="BP271" i="27"/>
  <c r="BP268" i="27"/>
  <c r="BP265" i="27"/>
  <c r="BP310" i="27"/>
  <c r="BP336" i="27"/>
  <c r="G11" i="62"/>
  <c r="K7" i="62"/>
  <c r="G19" i="62"/>
  <c r="G38" i="62"/>
  <c r="C68" i="62"/>
  <c r="K82" i="62"/>
  <c r="BP44" i="27"/>
  <c r="BP38" i="27"/>
  <c r="BP35" i="27"/>
  <c r="BP138" i="27"/>
  <c r="BP135" i="27"/>
  <c r="BP158" i="27"/>
  <c r="BP149" i="27"/>
  <c r="G7" i="76"/>
  <c r="BP15" i="27"/>
  <c r="BP313" i="27"/>
  <c r="BP339" i="27"/>
  <c r="G24" i="62"/>
  <c r="O18" i="62"/>
  <c r="G53" i="62"/>
  <c r="K72" i="62"/>
  <c r="K10" i="62"/>
  <c r="BP140" i="27"/>
  <c r="BP137" i="27"/>
  <c r="BP134" i="27"/>
  <c r="BP157" i="27"/>
  <c r="BP154" i="27"/>
  <c r="BP189" i="27"/>
  <c r="BP282" i="27"/>
  <c r="BP276" i="27"/>
  <c r="BP273" i="27"/>
  <c r="BP270" i="27"/>
  <c r="BP267" i="27"/>
  <c r="G27" i="62"/>
  <c r="G18" i="62"/>
  <c r="C36" i="62"/>
  <c r="K32" i="62"/>
  <c r="O7" i="62"/>
  <c r="O22" i="62"/>
  <c r="O26" i="62"/>
  <c r="BP43" i="27"/>
  <c r="BP40" i="27"/>
  <c r="BP7" i="27"/>
  <c r="BP60" i="27"/>
  <c r="BP175" i="27"/>
  <c r="BP302" i="27"/>
  <c r="BP338" i="27"/>
  <c r="G6" i="62"/>
  <c r="C26" i="62"/>
  <c r="K27" i="62"/>
  <c r="K23" i="62"/>
  <c r="C40" i="62"/>
  <c r="C35" i="62"/>
  <c r="K37" i="62"/>
  <c r="C53" i="62"/>
  <c r="K78" i="62"/>
  <c r="BQ24" i="27"/>
  <c r="O38" i="62"/>
  <c r="C18" i="62"/>
  <c r="G5" i="62"/>
  <c r="K13" i="62"/>
  <c r="O6" i="62"/>
  <c r="G22" i="62"/>
  <c r="K36" i="62"/>
  <c r="O37" i="62"/>
  <c r="G48" i="75"/>
  <c r="G4" i="62"/>
  <c r="O10" i="62"/>
  <c r="G51" i="62"/>
  <c r="C71" i="62"/>
  <c r="BP45" i="27"/>
  <c r="BP42" i="27"/>
  <c r="BP36" i="27"/>
  <c r="BP156" i="27"/>
  <c r="BP281" i="27"/>
  <c r="BP278" i="27"/>
  <c r="BP272" i="27"/>
  <c r="BP266" i="27"/>
  <c r="BP311" i="27"/>
  <c r="G26" i="62"/>
  <c r="K26" i="62"/>
  <c r="O41" i="62"/>
  <c r="BP253" i="27"/>
  <c r="G68" i="62"/>
  <c r="BP39" i="27"/>
  <c r="BP301" i="27"/>
  <c r="K47" i="62"/>
  <c r="O33" i="62"/>
  <c r="K35" i="62"/>
  <c r="C47" i="62"/>
  <c r="BP371" i="41"/>
  <c r="BQ375" i="41"/>
  <c r="BQ375" i="43" s="1"/>
  <c r="C51" i="62"/>
  <c r="BP375" i="41"/>
  <c r="BP375" i="43" s="1"/>
  <c r="C55" i="62"/>
  <c r="BP372" i="41"/>
  <c r="BP372" i="43" s="1"/>
  <c r="BG404" i="43"/>
  <c r="I30" i="76"/>
  <c r="I16" i="76"/>
  <c r="M30" i="76"/>
  <c r="U58" i="76"/>
  <c r="A2" i="76"/>
  <c r="E45" i="76"/>
  <c r="A45" i="76"/>
  <c r="M16" i="76"/>
  <c r="E2" i="76"/>
  <c r="U57" i="76"/>
  <c r="I2" i="76"/>
  <c r="E16" i="76"/>
  <c r="A30" i="76"/>
  <c r="BI404" i="41"/>
  <c r="BK404" i="41"/>
  <c r="U58" i="75"/>
  <c r="U57" i="75"/>
  <c r="BC404" i="43"/>
  <c r="BK395" i="43"/>
  <c r="BL395" i="43"/>
  <c r="BF404" i="43"/>
  <c r="AI404" i="43"/>
  <c r="AJ404" i="43"/>
  <c r="AS395" i="43"/>
  <c r="AW395" i="43"/>
  <c r="AH404" i="43"/>
  <c r="AX395" i="43"/>
  <c r="AQ395" i="43"/>
  <c r="BC395" i="43"/>
  <c r="AY395" i="43"/>
  <c r="BJ404" i="43"/>
  <c r="AO395" i="43"/>
  <c r="AM404" i="43"/>
  <c r="AY404" i="43"/>
  <c r="BK404" i="43"/>
  <c r="AP395" i="43"/>
  <c r="BO126" i="43"/>
  <c r="BN327" i="43"/>
  <c r="BJ395" i="43"/>
  <c r="BO258" i="43"/>
  <c r="BN376" i="43"/>
  <c r="AT395" i="43"/>
  <c r="BN24" i="43"/>
  <c r="BN66" i="43"/>
  <c r="BN221" i="43"/>
  <c r="BN258" i="43"/>
  <c r="AU395" i="43"/>
  <c r="AL404" i="43"/>
  <c r="BH395" i="43"/>
  <c r="BO89" i="43"/>
  <c r="AQ404" i="43"/>
  <c r="BI395" i="43"/>
  <c r="BN89" i="43"/>
  <c r="AR404" i="43"/>
  <c r="BL404" i="43"/>
  <c r="BD404" i="43"/>
  <c r="BD395" i="43"/>
  <c r="BO376" i="43"/>
  <c r="BE395" i="43"/>
  <c r="AO404" i="43"/>
  <c r="BA404" i="43"/>
  <c r="BM404" i="43"/>
  <c r="AH395" i="43"/>
  <c r="BF395" i="43"/>
  <c r="BN108" i="43"/>
  <c r="AP404" i="43"/>
  <c r="AI395" i="43"/>
  <c r="BG395" i="43"/>
  <c r="AM395" i="43"/>
  <c r="AR395" i="43"/>
  <c r="AV395" i="43"/>
  <c r="AJ395" i="43"/>
  <c r="BN97" i="43"/>
  <c r="AZ395" i="43"/>
  <c r="AK395" i="43"/>
  <c r="AS404" i="43"/>
  <c r="BE404" i="43"/>
  <c r="BO343" i="43"/>
  <c r="BA395" i="43"/>
  <c r="AV404" i="43"/>
  <c r="AL395" i="43"/>
  <c r="AX404" i="43"/>
  <c r="AN395" i="43"/>
  <c r="BO327" i="43"/>
  <c r="BM395" i="43"/>
  <c r="BH404" i="43"/>
  <c r="AT404" i="43"/>
  <c r="BB395" i="43"/>
  <c r="BO24" i="43"/>
  <c r="AU404" i="43"/>
  <c r="BI404" i="43"/>
  <c r="BQ376" i="27"/>
  <c r="BP126" i="27"/>
  <c r="BQ97" i="27"/>
  <c r="BP97" i="27"/>
  <c r="BQ89" i="27"/>
  <c r="BQ66" i="27"/>
  <c r="BQ54" i="27"/>
  <c r="BP376" i="27"/>
  <c r="AH404" i="41"/>
  <c r="AZ404" i="41"/>
  <c r="BE404" i="41"/>
  <c r="AO404" i="41"/>
  <c r="BC404" i="41"/>
  <c r="BL404" i="41"/>
  <c r="AT404" i="41"/>
  <c r="BF404" i="41"/>
  <c r="BF395" i="41"/>
  <c r="BG395" i="41"/>
  <c r="AR395" i="41"/>
  <c r="AW395" i="41"/>
  <c r="AM395" i="41"/>
  <c r="BK395" i="41"/>
  <c r="BC395" i="41"/>
  <c r="BD395" i="41"/>
  <c r="AL395" i="41"/>
  <c r="AV395" i="41"/>
  <c r="BH395" i="41"/>
  <c r="BO97" i="41"/>
  <c r="BN126" i="41"/>
  <c r="BN160" i="41"/>
  <c r="AN393" i="41"/>
  <c r="AN395" i="41" s="1"/>
  <c r="BO75" i="41"/>
  <c r="BN108" i="41"/>
  <c r="BL395" i="41"/>
  <c r="BO24" i="41"/>
  <c r="BO142" i="41"/>
  <c r="BO66" i="41"/>
  <c r="AX395" i="41"/>
  <c r="BN89" i="41"/>
  <c r="AY395" i="41"/>
  <c r="AQ395" i="41"/>
  <c r="BO258" i="41"/>
  <c r="AH395" i="41"/>
  <c r="BO126" i="41"/>
  <c r="BN196" i="41"/>
  <c r="BN246" i="41"/>
  <c r="AJ395" i="41"/>
  <c r="AT395" i="41"/>
  <c r="BO89" i="41"/>
  <c r="BN343" i="41"/>
  <c r="BE395" i="41"/>
  <c r="BN54" i="41"/>
  <c r="BN24" i="41"/>
  <c r="AI395" i="41"/>
  <c r="AU395" i="41"/>
  <c r="AK395" i="41"/>
  <c r="BA395" i="41"/>
  <c r="BN221" i="41"/>
  <c r="BB395" i="41"/>
  <c r="AZ395" i="41"/>
  <c r="BO327" i="41"/>
  <c r="BI395" i="41"/>
  <c r="AO395" i="41"/>
  <c r="BM395" i="41"/>
  <c r="BO108" i="41"/>
  <c r="AP395" i="41"/>
  <c r="BO221" i="41"/>
  <c r="BN376" i="41"/>
  <c r="BJ395" i="41"/>
  <c r="BO343" i="41"/>
  <c r="BL404" i="27"/>
  <c r="AJ404" i="27"/>
  <c r="BK395" i="27"/>
  <c r="BQ126" i="27"/>
  <c r="BF404" i="27"/>
  <c r="AJ395" i="27"/>
  <c r="BH395" i="27"/>
  <c r="AZ404" i="27"/>
  <c r="BN258" i="27"/>
  <c r="BQ108" i="27"/>
  <c r="BQ160" i="27"/>
  <c r="AV395" i="27"/>
  <c r="AK395" i="27"/>
  <c r="AW395" i="27"/>
  <c r="BI395" i="27"/>
  <c r="BN97" i="27"/>
  <c r="AZ395" i="27"/>
  <c r="BF395" i="27"/>
  <c r="AI404" i="27"/>
  <c r="AH395" i="27"/>
  <c r="BD404" i="27"/>
  <c r="BG404" i="27"/>
  <c r="AK404" i="27"/>
  <c r="BI404" i="27"/>
  <c r="AW404" i="27"/>
  <c r="BN327" i="27"/>
  <c r="BG395" i="27"/>
  <c r="BO108" i="27"/>
  <c r="BQ221" i="27"/>
  <c r="BN75" i="27"/>
  <c r="BP75" i="27"/>
  <c r="BO160" i="27"/>
  <c r="AL395" i="27"/>
  <c r="AV404" i="27"/>
  <c r="BQ75" i="27"/>
  <c r="AL404" i="27"/>
  <c r="AX404" i="27"/>
  <c r="BJ404" i="27"/>
  <c r="BN376" i="27"/>
  <c r="AN395" i="27"/>
  <c r="BN54" i="27"/>
  <c r="BO327" i="27"/>
  <c r="AY395" i="27"/>
  <c r="AO393" i="27"/>
  <c r="AI395" i="27"/>
  <c r="BC395" i="27"/>
  <c r="BO196" i="27"/>
  <c r="BQ196" i="27"/>
  <c r="AM404" i="27"/>
  <c r="AY404" i="27"/>
  <c r="BB404" i="27"/>
  <c r="BQ327" i="27"/>
  <c r="AR395" i="27"/>
  <c r="BD395" i="27"/>
  <c r="AO404" i="27"/>
  <c r="BM404" i="27"/>
  <c r="AT395" i="27"/>
  <c r="AU395" i="27"/>
  <c r="AS395" i="27"/>
  <c r="BE395" i="27"/>
  <c r="BN343" i="27"/>
  <c r="BM395" i="27"/>
  <c r="BO142" i="27"/>
  <c r="BO258" i="27"/>
  <c r="BE404" i="27"/>
  <c r="AM395" i="27"/>
  <c r="BQ343" i="27"/>
  <c r="BL395" i="27"/>
  <c r="BH404" i="27"/>
  <c r="AQ404" i="27"/>
  <c r="AS404" i="27"/>
  <c r="BP108" i="27"/>
  <c r="BA404" i="27"/>
  <c r="BJ395" i="27"/>
  <c r="AP404" i="27"/>
  <c r="AP395" i="27"/>
  <c r="AH404" i="27"/>
  <c r="BC404" i="27"/>
  <c r="AN404" i="27"/>
  <c r="BB395" i="27"/>
  <c r="BK404" i="27"/>
  <c r="AQ395" i="27"/>
  <c r="BN89" i="27"/>
  <c r="BO97" i="27"/>
  <c r="BN142" i="27"/>
  <c r="BN221" i="27"/>
  <c r="AT404" i="27"/>
  <c r="AX395" i="27"/>
  <c r="BO66" i="27"/>
  <c r="AR404" i="27"/>
  <c r="BO126" i="27"/>
  <c r="BQ142" i="27"/>
  <c r="BQ258" i="27"/>
  <c r="BO376" i="27"/>
  <c r="AU404" i="27"/>
  <c r="BA395" i="27"/>
  <c r="B350" i="43"/>
  <c r="B350" i="41"/>
  <c r="AV405" i="41" l="1"/>
  <c r="BP350" i="41"/>
  <c r="BQ350" i="41"/>
  <c r="BP292" i="27"/>
  <c r="AR405" i="41"/>
  <c r="BD405" i="41"/>
  <c r="BC405" i="41"/>
  <c r="AM405" i="43"/>
  <c r="AM406" i="43" s="1"/>
  <c r="AI405" i="41"/>
  <c r="BP196" i="27"/>
  <c r="AS405" i="43"/>
  <c r="AS406" i="43" s="1"/>
  <c r="BJ405" i="41"/>
  <c r="BP160" i="27"/>
  <c r="BP246" i="27"/>
  <c r="BB405" i="43"/>
  <c r="BB406" i="43" s="1"/>
  <c r="AK405" i="43"/>
  <c r="AK406" i="43" s="1"/>
  <c r="AX405" i="43"/>
  <c r="AX406" i="43" s="1"/>
  <c r="BK405" i="43"/>
  <c r="BK406" i="43" s="1"/>
  <c r="AX405" i="41"/>
  <c r="AQ405" i="41"/>
  <c r="BM405" i="41"/>
  <c r="BG405" i="41"/>
  <c r="AY405" i="41"/>
  <c r="BP221" i="27"/>
  <c r="BP343" i="27"/>
  <c r="AN405" i="43"/>
  <c r="AN406" i="43" s="1"/>
  <c r="BI405" i="41"/>
  <c r="AL405" i="41"/>
  <c r="AK405" i="27"/>
  <c r="AW405" i="43"/>
  <c r="AW406" i="43" s="1"/>
  <c r="AP405" i="43"/>
  <c r="AP406" i="43" s="1"/>
  <c r="AW405" i="41"/>
  <c r="BK405" i="41"/>
  <c r="BP142" i="27"/>
  <c r="BP66" i="27"/>
  <c r="BL405" i="27"/>
  <c r="BP327" i="27"/>
  <c r="BP24" i="27"/>
  <c r="BH405" i="41"/>
  <c r="BB405" i="41"/>
  <c r="BA405" i="41"/>
  <c r="AN405" i="41"/>
  <c r="BP376" i="41"/>
  <c r="AP405" i="41"/>
  <c r="AK405" i="41"/>
  <c r="AJ405" i="41"/>
  <c r="AU405" i="41"/>
  <c r="AM405" i="41"/>
  <c r="AZ405" i="41"/>
  <c r="AS405" i="41"/>
  <c r="AZ405" i="43"/>
  <c r="AZ406" i="43" s="1"/>
  <c r="BC405" i="43"/>
  <c r="BC406" i="43" s="1"/>
  <c r="BL405" i="43"/>
  <c r="BL406" i="43" s="1"/>
  <c r="AO405" i="43"/>
  <c r="AO406" i="43" s="1"/>
  <c r="BQ376" i="43"/>
  <c r="BA405" i="43"/>
  <c r="BA406" i="43" s="1"/>
  <c r="AV405" i="27"/>
  <c r="BP54" i="27"/>
  <c r="BP258" i="27"/>
  <c r="BK405" i="27"/>
  <c r="BD405" i="27"/>
  <c r="BP371" i="43"/>
  <c r="BP376" i="43" s="1"/>
  <c r="AJ405" i="27"/>
  <c r="BG405" i="27"/>
  <c r="BG405" i="43"/>
  <c r="BG406" i="43" s="1"/>
  <c r="BE405" i="43"/>
  <c r="BE406" i="43" s="1"/>
  <c r="BD405" i="43"/>
  <c r="BD406" i="43" s="1"/>
  <c r="BE405" i="41"/>
  <c r="AR405" i="43"/>
  <c r="AR406" i="43" s="1"/>
  <c r="AI405" i="43"/>
  <c r="AI406" i="43" s="1"/>
  <c r="BF405" i="43"/>
  <c r="BF406" i="43" s="1"/>
  <c r="AH405" i="43"/>
  <c r="AH406" i="43" s="1"/>
  <c r="AU405" i="43"/>
  <c r="AU406" i="43" s="1"/>
  <c r="AJ405" i="43"/>
  <c r="AJ406" i="43" s="1"/>
  <c r="AT405" i="43"/>
  <c r="AT406" i="43" s="1"/>
  <c r="BO246" i="43"/>
  <c r="BN343" i="43"/>
  <c r="BO196" i="43"/>
  <c r="BI405" i="43"/>
  <c r="BI406" i="43" s="1"/>
  <c r="BJ405" i="43"/>
  <c r="BJ406" i="43" s="1"/>
  <c r="BN160" i="43"/>
  <c r="BN54" i="43"/>
  <c r="BM405" i="43"/>
  <c r="BM406" i="43" s="1"/>
  <c r="BO97" i="43"/>
  <c r="AV405" i="43"/>
  <c r="AV406" i="43" s="1"/>
  <c r="BN75" i="43"/>
  <c r="BN142" i="43"/>
  <c r="BN126" i="43"/>
  <c r="BN196" i="43"/>
  <c r="AL405" i="43"/>
  <c r="AL406" i="43" s="1"/>
  <c r="BO108" i="43"/>
  <c r="BO221" i="43"/>
  <c r="BO160" i="43"/>
  <c r="AY405" i="43"/>
  <c r="AY406" i="43" s="1"/>
  <c r="BO54" i="43"/>
  <c r="BO66" i="43"/>
  <c r="BN246" i="43"/>
  <c r="BH405" i="43"/>
  <c r="BH406" i="43" s="1"/>
  <c r="AQ405" i="43"/>
  <c r="AQ406" i="43" s="1"/>
  <c r="BO142" i="43"/>
  <c r="BO75" i="43"/>
  <c r="BL405" i="41"/>
  <c r="AT405" i="41"/>
  <c r="AH405" i="41"/>
  <c r="BF405" i="41"/>
  <c r="AO405" i="41"/>
  <c r="BN97" i="41"/>
  <c r="BO376" i="41"/>
  <c r="BN142" i="41"/>
  <c r="BO246" i="41"/>
  <c r="BN66" i="41"/>
  <c r="BN258" i="41"/>
  <c r="BO54" i="41"/>
  <c r="BN327" i="41"/>
  <c r="BO160" i="41"/>
  <c r="BO196" i="41"/>
  <c r="BQ376" i="41"/>
  <c r="BB405" i="27"/>
  <c r="AN405" i="27"/>
  <c r="AW405" i="27"/>
  <c r="AQ405" i="27"/>
  <c r="BH405" i="27"/>
  <c r="BE405" i="27"/>
  <c r="AH405" i="27"/>
  <c r="AS405" i="27"/>
  <c r="BF405" i="27"/>
  <c r="AU405" i="27"/>
  <c r="AZ405" i="27"/>
  <c r="BN196" i="27"/>
  <c r="BM405" i="27"/>
  <c r="AP405" i="27"/>
  <c r="BO246" i="27"/>
  <c r="AI405" i="27"/>
  <c r="AY405" i="27"/>
  <c r="BI405" i="27"/>
  <c r="AT405" i="27"/>
  <c r="AR405" i="27"/>
  <c r="AO395" i="27"/>
  <c r="AO405" i="27" s="1"/>
  <c r="BN24" i="27"/>
  <c r="BO54" i="27"/>
  <c r="BO89" i="27"/>
  <c r="BO343" i="27"/>
  <c r="BN126" i="27"/>
  <c r="BN246" i="27"/>
  <c r="BN160" i="27"/>
  <c r="BN66" i="27"/>
  <c r="AX405" i="27"/>
  <c r="BJ405" i="27"/>
  <c r="AM405" i="27"/>
  <c r="BA405" i="27"/>
  <c r="AL405" i="27"/>
  <c r="BO24" i="27"/>
  <c r="BN108" i="27"/>
  <c r="BC405" i="27"/>
  <c r="BO221" i="27"/>
  <c r="BO75" i="27"/>
  <c r="B167" i="41"/>
  <c r="F31" i="64"/>
  <c r="F32" i="64"/>
  <c r="F33" i="64"/>
  <c r="B364" i="43"/>
  <c r="B364" i="41"/>
  <c r="B362" i="43"/>
  <c r="B362" i="41"/>
  <c r="B351" i="43"/>
  <c r="B351" i="41"/>
  <c r="E327" i="43"/>
  <c r="F327" i="43"/>
  <c r="G327" i="43"/>
  <c r="H327" i="43"/>
  <c r="I327" i="43"/>
  <c r="J327" i="43"/>
  <c r="K327" i="43"/>
  <c r="L327" i="43"/>
  <c r="M327" i="43"/>
  <c r="N327" i="43"/>
  <c r="O327" i="43"/>
  <c r="P327" i="43"/>
  <c r="Q327" i="43"/>
  <c r="R327" i="43"/>
  <c r="S327" i="43"/>
  <c r="T327" i="43"/>
  <c r="U327" i="43"/>
  <c r="V327" i="43"/>
  <c r="W327" i="43"/>
  <c r="X327" i="43"/>
  <c r="Y327" i="43"/>
  <c r="Z327" i="43"/>
  <c r="AA327" i="43"/>
  <c r="AB327" i="43"/>
  <c r="AC327" i="43"/>
  <c r="AD327" i="43"/>
  <c r="AE327" i="43"/>
  <c r="AF327" i="43"/>
  <c r="AG327" i="43"/>
  <c r="D327" i="43"/>
  <c r="E327" i="41"/>
  <c r="F327" i="41"/>
  <c r="G327" i="41"/>
  <c r="H327" i="41"/>
  <c r="I327" i="41"/>
  <c r="J327" i="41"/>
  <c r="K327" i="41"/>
  <c r="L327" i="41"/>
  <c r="M327" i="41"/>
  <c r="N327" i="41"/>
  <c r="O327" i="41"/>
  <c r="P327" i="41"/>
  <c r="Q327" i="41"/>
  <c r="R327" i="41"/>
  <c r="S327" i="41"/>
  <c r="T327" i="41"/>
  <c r="U327" i="41"/>
  <c r="V327" i="41"/>
  <c r="W327" i="41"/>
  <c r="X327" i="41"/>
  <c r="Y327" i="41"/>
  <c r="Z327" i="41"/>
  <c r="AA327" i="41"/>
  <c r="AB327" i="41"/>
  <c r="AC327" i="41"/>
  <c r="AD327" i="41"/>
  <c r="AE327" i="41"/>
  <c r="AF327" i="41"/>
  <c r="AG327" i="41"/>
  <c r="D327" i="41"/>
  <c r="C295" i="27"/>
  <c r="E327" i="27"/>
  <c r="F327" i="27"/>
  <c r="G327" i="27"/>
  <c r="H327" i="27"/>
  <c r="I327" i="27"/>
  <c r="J327" i="27"/>
  <c r="K327" i="27"/>
  <c r="L327" i="27"/>
  <c r="M327" i="27"/>
  <c r="N327" i="27"/>
  <c r="O327" i="27"/>
  <c r="P327" i="27"/>
  <c r="Q327" i="27"/>
  <c r="R327" i="27"/>
  <c r="S327" i="27"/>
  <c r="T327" i="27"/>
  <c r="U327" i="27"/>
  <c r="V327" i="27"/>
  <c r="W327" i="27"/>
  <c r="X327" i="27"/>
  <c r="Y327" i="27"/>
  <c r="Z327" i="27"/>
  <c r="AA327" i="27"/>
  <c r="AB327" i="27"/>
  <c r="AC327" i="27"/>
  <c r="AD327" i="27"/>
  <c r="AE327" i="27"/>
  <c r="AF327" i="27"/>
  <c r="AG327" i="27"/>
  <c r="D327" i="27"/>
  <c r="E66" i="43"/>
  <c r="F66" i="43"/>
  <c r="G66" i="43"/>
  <c r="H66" i="43"/>
  <c r="I66" i="43"/>
  <c r="J66" i="43"/>
  <c r="K66" i="43"/>
  <c r="L66" i="43"/>
  <c r="M66" i="43"/>
  <c r="N66" i="43"/>
  <c r="O66" i="43"/>
  <c r="P66" i="43"/>
  <c r="Q66" i="43"/>
  <c r="R66" i="43"/>
  <c r="S66" i="43"/>
  <c r="T66" i="43"/>
  <c r="U66" i="43"/>
  <c r="V66" i="43"/>
  <c r="W66" i="43"/>
  <c r="X66" i="43"/>
  <c r="Y66" i="43"/>
  <c r="Z66" i="43"/>
  <c r="AA66" i="43"/>
  <c r="AB66" i="43"/>
  <c r="AC66" i="43"/>
  <c r="AD66" i="43"/>
  <c r="AE66" i="43"/>
  <c r="AF66" i="43"/>
  <c r="AG66" i="43"/>
  <c r="D66" i="43"/>
  <c r="E66" i="41"/>
  <c r="F66" i="41"/>
  <c r="G66" i="41"/>
  <c r="H66" i="41"/>
  <c r="I66" i="41"/>
  <c r="J66" i="41"/>
  <c r="K66" i="41"/>
  <c r="L66" i="41"/>
  <c r="M66" i="41"/>
  <c r="N66" i="41"/>
  <c r="O66" i="41"/>
  <c r="P66" i="41"/>
  <c r="Q66" i="41"/>
  <c r="R66" i="41"/>
  <c r="S66" i="41"/>
  <c r="T66" i="41"/>
  <c r="U66" i="41"/>
  <c r="V66" i="41"/>
  <c r="W66" i="41"/>
  <c r="X66" i="41"/>
  <c r="Y66" i="41"/>
  <c r="Z66" i="41"/>
  <c r="AA66" i="41"/>
  <c r="AB66" i="41"/>
  <c r="AC66" i="41"/>
  <c r="AD66" i="41"/>
  <c r="AE66" i="41"/>
  <c r="AF66" i="41"/>
  <c r="AG66" i="41"/>
  <c r="D66" i="41"/>
  <c r="C57" i="27"/>
  <c r="E66" i="27"/>
  <c r="F66" i="27"/>
  <c r="G66" i="27"/>
  <c r="H66" i="27"/>
  <c r="I66" i="27"/>
  <c r="J66" i="27"/>
  <c r="K66" i="27"/>
  <c r="L66" i="27"/>
  <c r="M66" i="27"/>
  <c r="N66" i="27"/>
  <c r="O66" i="27"/>
  <c r="P66" i="27"/>
  <c r="Q66" i="27"/>
  <c r="R66" i="27"/>
  <c r="S66" i="27"/>
  <c r="T66" i="27"/>
  <c r="U66" i="27"/>
  <c r="V66" i="27"/>
  <c r="W66" i="27"/>
  <c r="X66" i="27"/>
  <c r="Y66" i="27"/>
  <c r="Z66" i="27"/>
  <c r="AA66" i="27"/>
  <c r="AB66" i="27"/>
  <c r="AC66" i="27"/>
  <c r="AD66" i="27"/>
  <c r="AE66" i="27"/>
  <c r="AF66" i="27"/>
  <c r="AG66" i="27"/>
  <c r="D66" i="27"/>
  <c r="P19" i="5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C3" i="74"/>
  <c r="B3" i="74"/>
  <c r="BK7"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C7" i="74"/>
  <c r="B7"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C5" i="74"/>
  <c r="B5" i="74"/>
  <c r="BK3"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BP167" i="41" l="1"/>
  <c r="BQ167" i="41"/>
  <c r="BQ351" i="41"/>
  <c r="BP351" i="41"/>
  <c r="BQ362" i="41"/>
  <c r="BP362" i="41"/>
  <c r="BP364" i="41"/>
  <c r="BQ364" i="41"/>
  <c r="H33" i="64"/>
  <c r="I33" i="64"/>
  <c r="I32" i="64"/>
  <c r="H32" i="64"/>
  <c r="I31" i="64"/>
  <c r="H31" i="64"/>
  <c r="P10" i="64" l="1"/>
  <c r="Q10" i="64"/>
  <c r="P11" i="64"/>
  <c r="Q11" i="64"/>
  <c r="P12" i="64"/>
  <c r="Q12" i="64"/>
  <c r="B361" i="43"/>
  <c r="B361" i="41"/>
  <c r="F49" i="64"/>
  <c r="G49" i="64"/>
  <c r="F50" i="64"/>
  <c r="G50" i="64"/>
  <c r="F51" i="64"/>
  <c r="G51" i="64"/>
  <c r="F52" i="64"/>
  <c r="G52" i="64"/>
  <c r="F53" i="64"/>
  <c r="G53" i="64"/>
  <c r="F54" i="64"/>
  <c r="G54" i="64"/>
  <c r="B360" i="43"/>
  <c r="B360" i="41"/>
  <c r="E30" i="54"/>
  <c r="I2" i="54"/>
  <c r="M30" i="54"/>
  <c r="B186" i="43"/>
  <c r="B186" i="41"/>
  <c r="B182" i="41"/>
  <c r="B182" i="43"/>
  <c r="B189" i="43"/>
  <c r="B189" i="41"/>
  <c r="B323" i="43"/>
  <c r="B323" i="41"/>
  <c r="B139" i="43"/>
  <c r="B122" i="43"/>
  <c r="B134" i="41"/>
  <c r="B17" i="43"/>
  <c r="B17" i="41"/>
  <c r="B122" i="41"/>
  <c r="BP17" i="41" l="1"/>
  <c r="BQ17" i="41"/>
  <c r="BP134" i="41"/>
  <c r="BQ134" i="41"/>
  <c r="BP186" i="41"/>
  <c r="BQ186" i="41"/>
  <c r="BQ360" i="41"/>
  <c r="BP360" i="41"/>
  <c r="BP361" i="41"/>
  <c r="BQ361" i="41"/>
  <c r="BP182" i="41"/>
  <c r="BQ182" i="41"/>
  <c r="BP189" i="41"/>
  <c r="BQ189" i="41"/>
  <c r="BQ122" i="41"/>
  <c r="BP122" i="41"/>
  <c r="BP323" i="41"/>
  <c r="BQ323" i="41"/>
  <c r="H50" i="64"/>
  <c r="I50" i="64"/>
  <c r="H49" i="64"/>
  <c r="I49" i="64"/>
  <c r="H54" i="64"/>
  <c r="I54" i="64"/>
  <c r="H53" i="64"/>
  <c r="I53" i="64"/>
  <c r="R12" i="64"/>
  <c r="S12" i="64"/>
  <c r="H52" i="64"/>
  <c r="I52" i="64"/>
  <c r="R11" i="64"/>
  <c r="S11" i="64"/>
  <c r="I51" i="64"/>
  <c r="H51" i="64"/>
  <c r="R10" i="64"/>
  <c r="S10" i="64"/>
  <c r="A56" i="69"/>
  <c r="B87" i="43"/>
  <c r="E89" i="43"/>
  <c r="F89" i="43"/>
  <c r="G89" i="43"/>
  <c r="H89" i="43"/>
  <c r="I89" i="43"/>
  <c r="J89" i="43"/>
  <c r="K89" i="43"/>
  <c r="L89" i="43"/>
  <c r="M89" i="43"/>
  <c r="N89" i="43"/>
  <c r="O89" i="43"/>
  <c r="P89" i="43"/>
  <c r="Q89" i="43"/>
  <c r="R89" i="43"/>
  <c r="S89" i="43"/>
  <c r="T89" i="43"/>
  <c r="U89" i="43"/>
  <c r="V89" i="43"/>
  <c r="W89" i="43"/>
  <c r="X89" i="43"/>
  <c r="Y89" i="43"/>
  <c r="Z89" i="43"/>
  <c r="AA89" i="43"/>
  <c r="AB89" i="43"/>
  <c r="AC89" i="43"/>
  <c r="AD89" i="43"/>
  <c r="AE89" i="43"/>
  <c r="AF89" i="43"/>
  <c r="AG89" i="43"/>
  <c r="D89" i="43"/>
  <c r="B87" i="41"/>
  <c r="E89" i="41"/>
  <c r="F89" i="41"/>
  <c r="G89" i="41"/>
  <c r="H89" i="41"/>
  <c r="I89" i="41"/>
  <c r="J89" i="41"/>
  <c r="K89" i="41"/>
  <c r="L89" i="41"/>
  <c r="M89" i="41"/>
  <c r="N89" i="41"/>
  <c r="O89" i="41"/>
  <c r="P89" i="41"/>
  <c r="Q89" i="41"/>
  <c r="R89" i="41"/>
  <c r="S89" i="41"/>
  <c r="T89" i="41"/>
  <c r="U89" i="41"/>
  <c r="V89" i="41"/>
  <c r="W89" i="41"/>
  <c r="X89" i="41"/>
  <c r="Y89" i="41"/>
  <c r="Z89" i="41"/>
  <c r="AA89" i="41"/>
  <c r="AB89" i="41"/>
  <c r="AC89" i="41"/>
  <c r="AD89" i="41"/>
  <c r="AE89" i="41"/>
  <c r="AF89" i="41"/>
  <c r="AG89" i="41"/>
  <c r="D89" i="41"/>
  <c r="E89" i="27"/>
  <c r="F89" i="27"/>
  <c r="G89" i="27"/>
  <c r="H89" i="27"/>
  <c r="I89" i="27"/>
  <c r="J89" i="27"/>
  <c r="K89" i="27"/>
  <c r="L89" i="27"/>
  <c r="M89" i="27"/>
  <c r="N89" i="27"/>
  <c r="O89" i="27"/>
  <c r="P89" i="27"/>
  <c r="Q89" i="27"/>
  <c r="R89" i="27"/>
  <c r="S89" i="27"/>
  <c r="T89" i="27"/>
  <c r="U89" i="27"/>
  <c r="V89" i="27"/>
  <c r="W89" i="27"/>
  <c r="X89" i="27"/>
  <c r="Y89" i="27"/>
  <c r="Z89" i="27"/>
  <c r="AA89" i="27"/>
  <c r="AB89" i="27"/>
  <c r="AC89" i="27"/>
  <c r="AD89" i="27"/>
  <c r="AE89" i="27"/>
  <c r="AF89" i="27"/>
  <c r="AG89" i="27"/>
  <c r="D89" i="27"/>
  <c r="A10" i="69"/>
  <c r="A121" i="69"/>
  <c r="A78" i="69"/>
  <c r="A37" i="69"/>
  <c r="A25" i="69"/>
  <c r="A84" i="69"/>
  <c r="A65" i="69"/>
  <c r="A53" i="69"/>
  <c r="A41" i="69"/>
  <c r="A42" i="69"/>
  <c r="A98" i="69"/>
  <c r="A33" i="69"/>
  <c r="A88" i="69"/>
  <c r="A126" i="69"/>
  <c r="A73" i="69"/>
  <c r="A6" i="69"/>
  <c r="A147" i="69"/>
  <c r="A35" i="69"/>
  <c r="A99" i="69"/>
  <c r="A26" i="69"/>
  <c r="A59" i="69"/>
  <c r="A18" i="69"/>
  <c r="A64" i="69"/>
  <c r="A106" i="69"/>
  <c r="A127" i="69"/>
  <c r="A97" i="69"/>
  <c r="A45" i="69"/>
  <c r="A27" i="69"/>
  <c r="A104" i="69"/>
  <c r="A130" i="69"/>
  <c r="A58" i="69"/>
  <c r="A2" i="69"/>
  <c r="A72" i="69"/>
  <c r="A81" i="69"/>
  <c r="A91" i="69"/>
  <c r="A94" i="69"/>
  <c r="A111" i="69"/>
  <c r="A110" i="69"/>
  <c r="A29" i="69"/>
  <c r="A28" i="69"/>
  <c r="A71" i="69"/>
  <c r="A117" i="69"/>
  <c r="A87" i="69"/>
  <c r="A74" i="69"/>
  <c r="A23" i="69"/>
  <c r="A1" i="69"/>
  <c r="A36" i="69"/>
  <c r="A67" i="69"/>
  <c r="A14" i="69"/>
  <c r="A4" i="69"/>
  <c r="A19" i="69"/>
  <c r="A146" i="69"/>
  <c r="A30" i="69"/>
  <c r="A83" i="69"/>
  <c r="A31" i="69"/>
  <c r="A61" i="69"/>
  <c r="A9" i="69"/>
  <c r="A89" i="69"/>
  <c r="A46" i="69"/>
  <c r="A70" i="69"/>
  <c r="A152" i="69"/>
  <c r="A51" i="69"/>
  <c r="A47" i="69"/>
  <c r="A22" i="69"/>
  <c r="A57" i="69"/>
  <c r="A43" i="69"/>
  <c r="A63" i="69"/>
  <c r="A123" i="69"/>
  <c r="A8" i="69"/>
  <c r="A96" i="69"/>
  <c r="A93" i="69"/>
  <c r="A129" i="69"/>
  <c r="A92" i="69"/>
  <c r="A103" i="69"/>
  <c r="A128" i="69"/>
  <c r="A62" i="69"/>
  <c r="A114" i="69"/>
  <c r="A17" i="69"/>
  <c r="A115" i="69"/>
  <c r="A133" i="69"/>
  <c r="A7" i="69"/>
  <c r="A21" i="69"/>
  <c r="A145" i="69"/>
  <c r="A131" i="69"/>
  <c r="A141" i="69"/>
  <c r="A15" i="69"/>
  <c r="A101" i="69"/>
  <c r="A113" i="69"/>
  <c r="A54" i="69"/>
  <c r="A79" i="69"/>
  <c r="A32" i="69"/>
  <c r="A100" i="69"/>
  <c r="A118" i="69"/>
  <c r="A50" i="69"/>
  <c r="A90" i="69"/>
  <c r="A150" i="69"/>
  <c r="A12" i="69"/>
  <c r="A137" i="69"/>
  <c r="A76" i="69"/>
  <c r="A39" i="69"/>
  <c r="A107" i="69"/>
  <c r="A139" i="69"/>
  <c r="A140" i="69"/>
  <c r="A95" i="69"/>
  <c r="A136" i="69"/>
  <c r="A52" i="69"/>
  <c r="A142" i="69"/>
  <c r="A55" i="69"/>
  <c r="A132" i="69"/>
  <c r="A102" i="69"/>
  <c r="A116" i="69"/>
  <c r="A11" i="69"/>
  <c r="A48" i="69"/>
  <c r="A77" i="69"/>
  <c r="A108" i="69"/>
  <c r="A60" i="69"/>
  <c r="A124" i="69"/>
  <c r="A151" i="69"/>
  <c r="A3" i="69"/>
  <c r="A143" i="69"/>
  <c r="A44" i="69"/>
  <c r="A85" i="69"/>
  <c r="A144" i="69"/>
  <c r="A38" i="69"/>
  <c r="A16" i="69"/>
  <c r="A24" i="69"/>
  <c r="A120" i="69"/>
  <c r="A69" i="69"/>
  <c r="A135" i="69"/>
  <c r="A105" i="69"/>
  <c r="A5" i="69"/>
  <c r="A34" i="69"/>
  <c r="A68" i="69"/>
  <c r="A40" i="69"/>
  <c r="A148" i="69"/>
  <c r="A138" i="69"/>
  <c r="A66" i="69"/>
  <c r="A80" i="69"/>
  <c r="A134" i="69"/>
  <c r="A20" i="69"/>
  <c r="A122" i="69"/>
  <c r="A112" i="69"/>
  <c r="A13" i="69"/>
  <c r="A149" i="69"/>
  <c r="A86" i="69"/>
  <c r="A82" i="69"/>
  <c r="A125" i="69"/>
  <c r="A75" i="69"/>
  <c r="A119" i="69"/>
  <c r="A109" i="69"/>
  <c r="A49" i="69"/>
  <c r="A2" i="70"/>
  <c r="A3" i="70"/>
  <c r="A4" i="70"/>
  <c r="A5" i="70"/>
  <c r="A6" i="70"/>
  <c r="A7" i="70"/>
  <c r="A8" i="70"/>
  <c r="A9" i="70"/>
  <c r="A10" i="70"/>
  <c r="A11" i="70"/>
  <c r="A12" i="70"/>
  <c r="A13" i="70"/>
  <c r="A14" i="70"/>
  <c r="A15" i="70"/>
  <c r="A16" i="70"/>
  <c r="A17" i="70"/>
  <c r="A18" i="70"/>
  <c r="A19" i="70"/>
  <c r="A20" i="70"/>
  <c r="A21" i="70"/>
  <c r="A22" i="70"/>
  <c r="A23" i="70"/>
  <c r="A24" i="70"/>
  <c r="A25" i="70"/>
  <c r="A26" i="70"/>
  <c r="A27" i="70"/>
  <c r="A28" i="70"/>
  <c r="A29" i="70"/>
  <c r="A30" i="70"/>
  <c r="A31" i="70"/>
  <c r="A32" i="70"/>
  <c r="A33" i="70"/>
  <c r="A34" i="70"/>
  <c r="A35" i="70"/>
  <c r="A36" i="70"/>
  <c r="A37" i="70"/>
  <c r="A38" i="70"/>
  <c r="A39" i="70"/>
  <c r="A40" i="70"/>
  <c r="A41" i="70"/>
  <c r="A42" i="70"/>
  <c r="A43" i="70"/>
  <c r="A44" i="70"/>
  <c r="A45" i="70"/>
  <c r="A46" i="70"/>
  <c r="A47" i="70"/>
  <c r="A48" i="70"/>
  <c r="A49" i="70"/>
  <c r="A50" i="70"/>
  <c r="A51" i="70"/>
  <c r="A52" i="70"/>
  <c r="A53" i="70"/>
  <c r="A54" i="70"/>
  <c r="A55" i="70"/>
  <c r="A56" i="70"/>
  <c r="A57" i="70"/>
  <c r="A58" i="70"/>
  <c r="A59" i="70"/>
  <c r="A60" i="70"/>
  <c r="A61" i="70"/>
  <c r="A62" i="70"/>
  <c r="A63" i="70"/>
  <c r="A64" i="70"/>
  <c r="A65" i="70"/>
  <c r="A66" i="70"/>
  <c r="A67" i="70"/>
  <c r="A68" i="70"/>
  <c r="A69" i="70"/>
  <c r="A70" i="70"/>
  <c r="A71" i="70"/>
  <c r="A72" i="70"/>
  <c r="A73" i="70"/>
  <c r="A74" i="70"/>
  <c r="A75" i="70"/>
  <c r="A76" i="70"/>
  <c r="A77" i="70"/>
  <c r="A78" i="70"/>
  <c r="A79" i="70"/>
  <c r="A80" i="70"/>
  <c r="A81" i="70"/>
  <c r="A82" i="70"/>
  <c r="A83" i="70"/>
  <c r="A84" i="70"/>
  <c r="A85" i="70"/>
  <c r="A86" i="70"/>
  <c r="A87" i="70"/>
  <c r="A88" i="70"/>
  <c r="A89" i="70"/>
  <c r="A90" i="70"/>
  <c r="A91" i="70"/>
  <c r="A92" i="70"/>
  <c r="A93" i="70"/>
  <c r="A94" i="70"/>
  <c r="A95" i="70"/>
  <c r="A96" i="70"/>
  <c r="A97" i="70"/>
  <c r="A98" i="70"/>
  <c r="A99" i="70"/>
  <c r="A100" i="70"/>
  <c r="A101" i="70"/>
  <c r="A102" i="70"/>
  <c r="A103" i="70"/>
  <c r="A104" i="70"/>
  <c r="A105" i="70"/>
  <c r="A106" i="70"/>
  <c r="A107" i="70"/>
  <c r="A108" i="70"/>
  <c r="A109" i="70"/>
  <c r="A110" i="70"/>
  <c r="A111" i="70"/>
  <c r="A112" i="70"/>
  <c r="A113" i="70"/>
  <c r="A114" i="70"/>
  <c r="A115" i="70"/>
  <c r="A116" i="70"/>
  <c r="A117" i="70"/>
  <c r="A118" i="70"/>
  <c r="A119" i="70"/>
  <c r="A120" i="70"/>
  <c r="A121" i="70"/>
  <c r="A122" i="70"/>
  <c r="A123" i="70"/>
  <c r="A124" i="70"/>
  <c r="A125" i="70"/>
  <c r="A126" i="70"/>
  <c r="A127" i="70"/>
  <c r="A128" i="70"/>
  <c r="A129" i="70"/>
  <c r="A130" i="70"/>
  <c r="A131" i="70"/>
  <c r="A132" i="70"/>
  <c r="A133" i="70"/>
  <c r="A134" i="70"/>
  <c r="A135" i="70"/>
  <c r="A136" i="70"/>
  <c r="A137" i="70"/>
  <c r="A138" i="70"/>
  <c r="A139" i="70"/>
  <c r="A140" i="70"/>
  <c r="A141" i="70"/>
  <c r="A142" i="70"/>
  <c r="A143" i="70"/>
  <c r="A144" i="70"/>
  <c r="A145" i="70"/>
  <c r="A146" i="70"/>
  <c r="A147" i="70"/>
  <c r="A148" i="70"/>
  <c r="A149" i="70"/>
  <c r="A150" i="70"/>
  <c r="A151" i="70"/>
  <c r="A152" i="70"/>
  <c r="A153" i="70"/>
  <c r="A154" i="70"/>
  <c r="A155" i="70"/>
  <c r="A156" i="70"/>
  <c r="A157" i="70"/>
  <c r="A158" i="70"/>
  <c r="A159" i="70"/>
  <c r="A1" i="70"/>
  <c r="D36" i="68"/>
  <c r="C36" i="68"/>
  <c r="B36" i="68"/>
  <c r="A36" i="68"/>
  <c r="A34" i="68"/>
  <c r="A33" i="68"/>
  <c r="G46" i="64"/>
  <c r="G47" i="64"/>
  <c r="G48" i="64"/>
  <c r="G56" i="64"/>
  <c r="B46" i="64"/>
  <c r="B47" i="64"/>
  <c r="B48" i="64"/>
  <c r="B49" i="64"/>
  <c r="B50" i="64"/>
  <c r="B51" i="64"/>
  <c r="B52" i="64"/>
  <c r="B53" i="64"/>
  <c r="B54" i="64"/>
  <c r="B55" i="64"/>
  <c r="B56" i="64"/>
  <c r="Q31" i="64"/>
  <c r="Q32" i="64"/>
  <c r="Q33" i="64"/>
  <c r="Q34" i="64"/>
  <c r="Q35" i="64"/>
  <c r="Q36" i="64"/>
  <c r="Q37" i="64"/>
  <c r="Q38" i="64"/>
  <c r="Q39" i="64"/>
  <c r="Q43" i="64"/>
  <c r="L31" i="64"/>
  <c r="L32" i="64"/>
  <c r="G31" i="64"/>
  <c r="G32" i="64"/>
  <c r="G33" i="64"/>
  <c r="G42" i="64"/>
  <c r="G43" i="64"/>
  <c r="B31" i="64"/>
  <c r="B43" i="64"/>
  <c r="Q17" i="64"/>
  <c r="Q18" i="64"/>
  <c r="Q19" i="64"/>
  <c r="Q20" i="64"/>
  <c r="Q21" i="64"/>
  <c r="Q22" i="64"/>
  <c r="Q23" i="64"/>
  <c r="Q24" i="64"/>
  <c r="Q25" i="64"/>
  <c r="Q26" i="64"/>
  <c r="Q27" i="64"/>
  <c r="Q28" i="64"/>
  <c r="L17" i="64"/>
  <c r="L18" i="64"/>
  <c r="L19" i="64"/>
  <c r="L20" i="64"/>
  <c r="L21" i="64"/>
  <c r="L22" i="64"/>
  <c r="L23" i="64"/>
  <c r="L24" i="64"/>
  <c r="L25" i="64"/>
  <c r="L26" i="64"/>
  <c r="L27" i="64"/>
  <c r="G17" i="64"/>
  <c r="G18" i="64"/>
  <c r="G19" i="64"/>
  <c r="G20" i="64"/>
  <c r="G21" i="64"/>
  <c r="G22" i="64"/>
  <c r="G23" i="64"/>
  <c r="G24" i="64"/>
  <c r="G25" i="64"/>
  <c r="G26" i="64"/>
  <c r="G27" i="64"/>
  <c r="G28" i="64"/>
  <c r="B17" i="64"/>
  <c r="B18" i="64"/>
  <c r="B19" i="64"/>
  <c r="B20" i="64"/>
  <c r="B21" i="64"/>
  <c r="B22" i="64"/>
  <c r="B23" i="64"/>
  <c r="B24" i="64"/>
  <c r="B25" i="64"/>
  <c r="B26" i="64"/>
  <c r="B27" i="64"/>
  <c r="B28" i="64"/>
  <c r="Q3" i="64"/>
  <c r="Q4" i="64"/>
  <c r="Q5" i="64"/>
  <c r="Q6" i="64"/>
  <c r="Q7" i="64"/>
  <c r="Q8" i="64"/>
  <c r="Q9" i="64"/>
  <c r="Q14" i="64"/>
  <c r="L3" i="64"/>
  <c r="L4" i="64"/>
  <c r="L5" i="64"/>
  <c r="L6" i="64"/>
  <c r="L7" i="64"/>
  <c r="L8" i="64"/>
  <c r="L9" i="64"/>
  <c r="L10" i="64"/>
  <c r="L11" i="64"/>
  <c r="L12" i="64"/>
  <c r="L13" i="64"/>
  <c r="L14" i="64"/>
  <c r="K4" i="64"/>
  <c r="K5" i="64"/>
  <c r="K6" i="64"/>
  <c r="K7" i="64"/>
  <c r="K8" i="64"/>
  <c r="K9" i="64"/>
  <c r="K10" i="64"/>
  <c r="K11" i="64"/>
  <c r="K12" i="64"/>
  <c r="K13" i="64"/>
  <c r="K14" i="64"/>
  <c r="G3" i="64"/>
  <c r="G4" i="64"/>
  <c r="G5" i="64"/>
  <c r="G6" i="64"/>
  <c r="G7" i="64"/>
  <c r="G8" i="64"/>
  <c r="G9" i="64"/>
  <c r="G10" i="64"/>
  <c r="G11" i="64"/>
  <c r="G12" i="64"/>
  <c r="G13" i="64"/>
  <c r="G14" i="64"/>
  <c r="B3" i="64"/>
  <c r="B4" i="64"/>
  <c r="B5" i="64"/>
  <c r="B6" i="64"/>
  <c r="B7" i="64"/>
  <c r="B8" i="64"/>
  <c r="B9" i="64"/>
  <c r="B10" i="64"/>
  <c r="B11" i="64"/>
  <c r="B12" i="64"/>
  <c r="B13" i="64"/>
  <c r="B14" i="64"/>
  <c r="F46" i="62"/>
  <c r="F56" i="62"/>
  <c r="B46" i="62"/>
  <c r="N31" i="62"/>
  <c r="N43" i="62"/>
  <c r="J31" i="62"/>
  <c r="F31" i="62"/>
  <c r="F43" i="62"/>
  <c r="B31" i="62"/>
  <c r="B42" i="62"/>
  <c r="B43" i="62"/>
  <c r="N17" i="62"/>
  <c r="J17" i="62"/>
  <c r="F17" i="62"/>
  <c r="F28" i="62"/>
  <c r="B17" i="62"/>
  <c r="B28" i="62"/>
  <c r="N3" i="62"/>
  <c r="N14" i="62"/>
  <c r="J3" i="62"/>
  <c r="J14" i="62"/>
  <c r="F4" i="62"/>
  <c r="F5" i="62"/>
  <c r="F6" i="62"/>
  <c r="F7" i="62"/>
  <c r="F8" i="62"/>
  <c r="F9" i="62"/>
  <c r="F10" i="62"/>
  <c r="F11" i="62"/>
  <c r="F12" i="62"/>
  <c r="F13" i="62"/>
  <c r="F14" i="62"/>
  <c r="F3" i="62"/>
  <c r="B4" i="62"/>
  <c r="B5" i="62"/>
  <c r="B6" i="62"/>
  <c r="B7" i="62"/>
  <c r="B8" i="62"/>
  <c r="B9" i="62"/>
  <c r="B10" i="62"/>
  <c r="B11" i="62"/>
  <c r="B12" i="62"/>
  <c r="B13" i="62"/>
  <c r="B14" i="62"/>
  <c r="B3" i="62"/>
  <c r="K68" i="64"/>
  <c r="K69" i="64"/>
  <c r="K70" i="64"/>
  <c r="K71" i="64"/>
  <c r="K72" i="64"/>
  <c r="K73" i="64"/>
  <c r="K74" i="64"/>
  <c r="K75" i="64"/>
  <c r="K76" i="64"/>
  <c r="K77" i="64"/>
  <c r="K78" i="64"/>
  <c r="K79" i="64"/>
  <c r="K80" i="64"/>
  <c r="K81" i="64"/>
  <c r="K82" i="64"/>
  <c r="K83" i="64"/>
  <c r="K84" i="64"/>
  <c r="K85" i="64"/>
  <c r="K86" i="64"/>
  <c r="K87" i="64"/>
  <c r="K88" i="64"/>
  <c r="K89" i="64"/>
  <c r="K90" i="64"/>
  <c r="K91" i="64"/>
  <c r="K67" i="64"/>
  <c r="F79" i="64"/>
  <c r="F78" i="64"/>
  <c r="F75" i="64"/>
  <c r="F74" i="64"/>
  <c r="F68" i="64"/>
  <c r="F69" i="64"/>
  <c r="F70" i="64"/>
  <c r="F71" i="64"/>
  <c r="F67" i="64"/>
  <c r="A68" i="64"/>
  <c r="A69" i="64"/>
  <c r="A70" i="64"/>
  <c r="A71" i="64"/>
  <c r="A72" i="64"/>
  <c r="A73" i="64"/>
  <c r="A74" i="64"/>
  <c r="A75" i="64"/>
  <c r="A76" i="64"/>
  <c r="A77" i="64"/>
  <c r="A67" i="64"/>
  <c r="P32" i="64"/>
  <c r="P33" i="64"/>
  <c r="P34" i="64"/>
  <c r="P35" i="64"/>
  <c r="P36" i="64"/>
  <c r="P37" i="64"/>
  <c r="P38" i="64"/>
  <c r="P39" i="64"/>
  <c r="P43" i="64"/>
  <c r="P31" i="64"/>
  <c r="P18" i="64"/>
  <c r="P19" i="64"/>
  <c r="P20" i="64"/>
  <c r="P21" i="64"/>
  <c r="P22" i="64"/>
  <c r="P23" i="64"/>
  <c r="P24" i="64"/>
  <c r="P25" i="64"/>
  <c r="P26" i="64"/>
  <c r="P27" i="64"/>
  <c r="P17" i="64"/>
  <c r="P4" i="64"/>
  <c r="P5" i="64"/>
  <c r="P6" i="64"/>
  <c r="P7" i="64"/>
  <c r="P8" i="64"/>
  <c r="P9" i="64"/>
  <c r="P14" i="64"/>
  <c r="P3" i="64"/>
  <c r="K47" i="64"/>
  <c r="K48" i="64"/>
  <c r="K49" i="64"/>
  <c r="K50" i="64"/>
  <c r="K51" i="64"/>
  <c r="K52" i="64"/>
  <c r="K53" i="64"/>
  <c r="K54" i="64"/>
  <c r="K55" i="64"/>
  <c r="K46" i="64"/>
  <c r="K32" i="64"/>
  <c r="K31" i="64"/>
  <c r="K18" i="64"/>
  <c r="K19" i="64"/>
  <c r="K20" i="64"/>
  <c r="K21" i="64"/>
  <c r="K22" i="64"/>
  <c r="K23" i="64"/>
  <c r="K24" i="64"/>
  <c r="K25" i="64"/>
  <c r="K26" i="64"/>
  <c r="K27" i="64"/>
  <c r="K17" i="64"/>
  <c r="K3" i="64"/>
  <c r="F47" i="64"/>
  <c r="F48" i="64"/>
  <c r="F56" i="64"/>
  <c r="F46" i="64"/>
  <c r="F42" i="64"/>
  <c r="F43" i="64"/>
  <c r="F18" i="64"/>
  <c r="F19" i="64"/>
  <c r="F20" i="64"/>
  <c r="F21" i="64"/>
  <c r="F22" i="64"/>
  <c r="F23" i="64"/>
  <c r="F24" i="64"/>
  <c r="F25" i="64"/>
  <c r="F26" i="64"/>
  <c r="F27" i="64"/>
  <c r="F28" i="64"/>
  <c r="F17" i="64"/>
  <c r="F4" i="64"/>
  <c r="F5" i="64"/>
  <c r="F6" i="64"/>
  <c r="F7" i="64"/>
  <c r="F8" i="64"/>
  <c r="F9" i="64"/>
  <c r="F10" i="64"/>
  <c r="F11" i="64"/>
  <c r="F12" i="64"/>
  <c r="F13" i="64"/>
  <c r="F14" i="64"/>
  <c r="F3" i="64"/>
  <c r="A47" i="64"/>
  <c r="A48" i="64"/>
  <c r="A49" i="64"/>
  <c r="A50" i="64"/>
  <c r="A51" i="64"/>
  <c r="A52" i="64"/>
  <c r="A53" i="64"/>
  <c r="A54" i="64"/>
  <c r="A55" i="64"/>
  <c r="A56" i="64"/>
  <c r="A46" i="64"/>
  <c r="A43" i="64"/>
  <c r="A31" i="64"/>
  <c r="A18" i="64"/>
  <c r="A19" i="64"/>
  <c r="A20" i="64"/>
  <c r="A21" i="64"/>
  <c r="A22" i="64"/>
  <c r="A23" i="64"/>
  <c r="A24" i="64"/>
  <c r="A25" i="64"/>
  <c r="A26" i="64"/>
  <c r="A27" i="64"/>
  <c r="A28" i="64"/>
  <c r="A17" i="64"/>
  <c r="A4" i="64"/>
  <c r="A5" i="64"/>
  <c r="A6" i="64"/>
  <c r="A7" i="64"/>
  <c r="A8" i="64"/>
  <c r="A9" i="64"/>
  <c r="A10" i="64"/>
  <c r="A11" i="64"/>
  <c r="A12" i="64"/>
  <c r="A13" i="64"/>
  <c r="A14" i="64"/>
  <c r="A3" i="64"/>
  <c r="I91" i="62"/>
  <c r="I90" i="62"/>
  <c r="I89" i="62"/>
  <c r="I88" i="62"/>
  <c r="I87" i="62"/>
  <c r="I86" i="62"/>
  <c r="I67" i="62"/>
  <c r="K67" i="62" s="1"/>
  <c r="V58" i="62" s="1"/>
  <c r="E79" i="62"/>
  <c r="E78" i="62"/>
  <c r="E75" i="62"/>
  <c r="E74" i="62"/>
  <c r="E67" i="62"/>
  <c r="G67" i="62" s="1"/>
  <c r="V57" i="62" s="1"/>
  <c r="A67" i="62"/>
  <c r="C67" i="62" s="1"/>
  <c r="V59" i="62" s="1"/>
  <c r="I46" i="62"/>
  <c r="K46" i="62" s="1"/>
  <c r="E56" i="62"/>
  <c r="E46" i="62"/>
  <c r="G46" i="62" s="1"/>
  <c r="A46" i="62"/>
  <c r="C46" i="62" s="1"/>
  <c r="M43" i="62"/>
  <c r="M31" i="62"/>
  <c r="O31" i="62" s="1"/>
  <c r="I31" i="62"/>
  <c r="K31" i="62" s="1"/>
  <c r="E43" i="62"/>
  <c r="E31" i="62"/>
  <c r="G31" i="62" s="1"/>
  <c r="A43" i="62"/>
  <c r="A31" i="62"/>
  <c r="C31" i="62" s="1"/>
  <c r="M17" i="62"/>
  <c r="O17" i="62" s="1"/>
  <c r="I17" i="62"/>
  <c r="K17" i="62" s="1"/>
  <c r="E28" i="62"/>
  <c r="E17" i="62"/>
  <c r="G17" i="62" s="1"/>
  <c r="A28" i="62"/>
  <c r="A17" i="62"/>
  <c r="C17" i="62" s="1"/>
  <c r="M14" i="62"/>
  <c r="I14" i="62"/>
  <c r="E14" i="62"/>
  <c r="M3" i="62"/>
  <c r="O3" i="62" s="1"/>
  <c r="I3" i="62"/>
  <c r="K3" i="62" s="1"/>
  <c r="E3" i="62"/>
  <c r="G3" i="62" s="1"/>
  <c r="A3" i="62"/>
  <c r="C3" i="62" s="1"/>
  <c r="B359" i="43"/>
  <c r="B358" i="43"/>
  <c r="B357" i="43"/>
  <c r="B356" i="43"/>
  <c r="B355" i="43"/>
  <c r="B354" i="43"/>
  <c r="B353" i="43"/>
  <c r="B352" i="43"/>
  <c r="C346" i="43" s="1"/>
  <c r="B342" i="43"/>
  <c r="B341" i="43"/>
  <c r="B340" i="43"/>
  <c r="B339" i="43"/>
  <c r="B338" i="43"/>
  <c r="B337" i="43"/>
  <c r="B336" i="43"/>
  <c r="B335" i="43"/>
  <c r="B334" i="43"/>
  <c r="B333" i="43"/>
  <c r="B322" i="43"/>
  <c r="B321" i="43"/>
  <c r="B320" i="43"/>
  <c r="B319" i="43"/>
  <c r="B318" i="43"/>
  <c r="B317" i="43"/>
  <c r="B316" i="43"/>
  <c r="B315" i="43"/>
  <c r="B314" i="43"/>
  <c r="B313" i="43"/>
  <c r="B312" i="43"/>
  <c r="B311" i="43"/>
  <c r="B310" i="43"/>
  <c r="B309" i="43"/>
  <c r="B308" i="43"/>
  <c r="B307" i="43"/>
  <c r="B306" i="43"/>
  <c r="B305" i="43"/>
  <c r="B304" i="43"/>
  <c r="B303" i="43"/>
  <c r="B302" i="43"/>
  <c r="B301" i="43"/>
  <c r="B300" i="43"/>
  <c r="B299" i="43"/>
  <c r="B298" i="43"/>
  <c r="B291" i="43"/>
  <c r="B290" i="43"/>
  <c r="B289" i="43"/>
  <c r="B288" i="43"/>
  <c r="B287" i="43"/>
  <c r="B286" i="43"/>
  <c r="B285" i="43"/>
  <c r="B284" i="43"/>
  <c r="B283" i="43"/>
  <c r="B282" i="43"/>
  <c r="B281" i="43"/>
  <c r="B280" i="43"/>
  <c r="B279" i="43"/>
  <c r="B278" i="43"/>
  <c r="B277" i="43"/>
  <c r="B276" i="43"/>
  <c r="B275" i="43"/>
  <c r="B274" i="43"/>
  <c r="B273" i="43"/>
  <c r="B272" i="43"/>
  <c r="B271" i="43"/>
  <c r="B270" i="43"/>
  <c r="B269" i="43"/>
  <c r="B268" i="43"/>
  <c r="B267" i="43"/>
  <c r="B266" i="43"/>
  <c r="B265" i="43"/>
  <c r="B264" i="43"/>
  <c r="B257" i="43"/>
  <c r="B256" i="43"/>
  <c r="B255" i="43"/>
  <c r="B254" i="43"/>
  <c r="B253" i="43"/>
  <c r="B252" i="43"/>
  <c r="B245" i="43"/>
  <c r="B244" i="43"/>
  <c r="B243" i="43"/>
  <c r="B242" i="43"/>
  <c r="B241" i="43"/>
  <c r="B240" i="43"/>
  <c r="B239" i="43"/>
  <c r="B238" i="43"/>
  <c r="B237" i="43"/>
  <c r="B235" i="43"/>
  <c r="B234" i="43"/>
  <c r="B233" i="43"/>
  <c r="B232" i="43"/>
  <c r="B231" i="43"/>
  <c r="B230" i="43"/>
  <c r="B229" i="43"/>
  <c r="B228" i="43"/>
  <c r="B227" i="43"/>
  <c r="B220" i="43"/>
  <c r="B219" i="43"/>
  <c r="B218" i="43"/>
  <c r="B217" i="43"/>
  <c r="B216" i="43"/>
  <c r="B215" i="43"/>
  <c r="B214" i="43"/>
  <c r="B213" i="43"/>
  <c r="B212" i="43"/>
  <c r="B211" i="43"/>
  <c r="B210" i="43"/>
  <c r="B209" i="43"/>
  <c r="B208" i="43"/>
  <c r="B207" i="43"/>
  <c r="B206" i="43"/>
  <c r="B205" i="43"/>
  <c r="B204" i="43"/>
  <c r="B203" i="43"/>
  <c r="B202" i="43"/>
  <c r="B188" i="43"/>
  <c r="B187" i="43"/>
  <c r="B185" i="43"/>
  <c r="B184" i="43"/>
  <c r="B183" i="43"/>
  <c r="B181" i="43"/>
  <c r="B180" i="43"/>
  <c r="B179" i="43"/>
  <c r="B178" i="43"/>
  <c r="B177" i="43"/>
  <c r="B176" i="43"/>
  <c r="B175" i="43"/>
  <c r="B174" i="43"/>
  <c r="B173" i="43"/>
  <c r="B172" i="43"/>
  <c r="B171" i="43"/>
  <c r="B170" i="43"/>
  <c r="B169" i="43"/>
  <c r="B168" i="43"/>
  <c r="B167" i="43"/>
  <c r="B159" i="43"/>
  <c r="B158" i="43"/>
  <c r="B157" i="43"/>
  <c r="B156" i="43"/>
  <c r="B155" i="43"/>
  <c r="B154" i="43"/>
  <c r="B153" i="43"/>
  <c r="B152" i="43"/>
  <c r="B151" i="43"/>
  <c r="B150" i="43"/>
  <c r="B149" i="43"/>
  <c r="B148" i="43"/>
  <c r="B141" i="43"/>
  <c r="B140" i="43"/>
  <c r="B138" i="43"/>
  <c r="B137" i="43"/>
  <c r="B136" i="43"/>
  <c r="B135" i="43"/>
  <c r="B134" i="43"/>
  <c r="B133" i="43"/>
  <c r="B125" i="43"/>
  <c r="B124" i="43"/>
  <c r="B123" i="43"/>
  <c r="B121" i="43"/>
  <c r="B120" i="43"/>
  <c r="B119" i="43"/>
  <c r="B118" i="43"/>
  <c r="B117" i="43"/>
  <c r="B116" i="43"/>
  <c r="B115" i="43"/>
  <c r="B114" i="43"/>
  <c r="B107" i="43"/>
  <c r="B106" i="43"/>
  <c r="B105" i="43"/>
  <c r="B104" i="43"/>
  <c r="B103" i="43"/>
  <c r="B96" i="43"/>
  <c r="B95" i="43"/>
  <c r="B94" i="43"/>
  <c r="B86" i="43"/>
  <c r="B85" i="43"/>
  <c r="B84" i="43"/>
  <c r="B83" i="43"/>
  <c r="B82" i="43"/>
  <c r="B81" i="43"/>
  <c r="B80" i="43"/>
  <c r="B74" i="43"/>
  <c r="B73" i="43"/>
  <c r="B72" i="43"/>
  <c r="B71" i="43"/>
  <c r="B65" i="43"/>
  <c r="B64" i="43"/>
  <c r="B63" i="43"/>
  <c r="B62" i="43"/>
  <c r="B61" i="43"/>
  <c r="B60" i="43"/>
  <c r="B53" i="43"/>
  <c r="B52" i="43"/>
  <c r="B51" i="43"/>
  <c r="B50" i="43"/>
  <c r="B49" i="43"/>
  <c r="B48" i="43"/>
  <c r="B47" i="43"/>
  <c r="B46" i="43"/>
  <c r="B45" i="43"/>
  <c r="B44" i="43"/>
  <c r="B43" i="43"/>
  <c r="B42" i="43"/>
  <c r="B41" i="43"/>
  <c r="B40" i="43"/>
  <c r="B39" i="43"/>
  <c r="B38" i="43"/>
  <c r="B37" i="43"/>
  <c r="B36" i="43"/>
  <c r="B35" i="43"/>
  <c r="B34" i="43"/>
  <c r="B33" i="43"/>
  <c r="B32" i="43"/>
  <c r="B31" i="43"/>
  <c r="B30" i="43"/>
  <c r="B23" i="43"/>
  <c r="B22" i="43"/>
  <c r="B21" i="43"/>
  <c r="B20" i="43"/>
  <c r="B19" i="43"/>
  <c r="B18" i="43"/>
  <c r="B16" i="43"/>
  <c r="B15" i="43"/>
  <c r="B14" i="43"/>
  <c r="B13" i="43"/>
  <c r="B12" i="43"/>
  <c r="B11" i="43"/>
  <c r="B10" i="43"/>
  <c r="B9" i="43"/>
  <c r="B8" i="43"/>
  <c r="B7" i="43"/>
  <c r="B6" i="43"/>
  <c r="B5" i="43"/>
  <c r="B359" i="41"/>
  <c r="B358" i="41"/>
  <c r="B357" i="41"/>
  <c r="B356" i="41"/>
  <c r="B355" i="41"/>
  <c r="B354" i="41"/>
  <c r="B353" i="41"/>
  <c r="B352" i="41"/>
  <c r="B342" i="41"/>
  <c r="B341" i="41"/>
  <c r="B340" i="41"/>
  <c r="B339" i="41"/>
  <c r="B338" i="41"/>
  <c r="B337" i="41"/>
  <c r="B336" i="41"/>
  <c r="B335" i="41"/>
  <c r="B334" i="41"/>
  <c r="B333" i="41"/>
  <c r="B322" i="41"/>
  <c r="B321" i="41"/>
  <c r="B320" i="41"/>
  <c r="B319" i="41"/>
  <c r="B318" i="41"/>
  <c r="B317" i="41"/>
  <c r="B316" i="41"/>
  <c r="B315" i="41"/>
  <c r="B314" i="41"/>
  <c r="B313" i="41"/>
  <c r="B312" i="41"/>
  <c r="B311" i="41"/>
  <c r="B310" i="41"/>
  <c r="B309" i="41"/>
  <c r="B308" i="41"/>
  <c r="B307" i="41"/>
  <c r="B306" i="41"/>
  <c r="B305" i="41"/>
  <c r="B304" i="41"/>
  <c r="B303" i="41"/>
  <c r="B302" i="41"/>
  <c r="B301" i="41"/>
  <c r="B300" i="41"/>
  <c r="B299" i="41"/>
  <c r="B298" i="41"/>
  <c r="B291" i="41"/>
  <c r="B290" i="41"/>
  <c r="B289" i="41"/>
  <c r="B288" i="41"/>
  <c r="B287" i="41"/>
  <c r="B286" i="41"/>
  <c r="B285" i="41"/>
  <c r="B284" i="41"/>
  <c r="B283" i="41"/>
  <c r="B282" i="41"/>
  <c r="B281" i="41"/>
  <c r="B280" i="41"/>
  <c r="B279" i="41"/>
  <c r="B278" i="41"/>
  <c r="B277" i="41"/>
  <c r="B276" i="41"/>
  <c r="B275" i="41"/>
  <c r="B274" i="41"/>
  <c r="B273" i="41"/>
  <c r="B272" i="41"/>
  <c r="B271" i="41"/>
  <c r="B270" i="41"/>
  <c r="B269" i="41"/>
  <c r="B268" i="41"/>
  <c r="B267" i="41"/>
  <c r="B266" i="41"/>
  <c r="B265" i="41"/>
  <c r="B264" i="41"/>
  <c r="B257" i="41"/>
  <c r="B256" i="41"/>
  <c r="B255" i="41"/>
  <c r="B253" i="41"/>
  <c r="B252" i="41"/>
  <c r="B245" i="41"/>
  <c r="B244" i="41"/>
  <c r="B243" i="41"/>
  <c r="B242" i="41"/>
  <c r="B241" i="41"/>
  <c r="B240" i="41"/>
  <c r="B239" i="41"/>
  <c r="B238" i="41"/>
  <c r="B237" i="41"/>
  <c r="B235" i="41"/>
  <c r="B234" i="41"/>
  <c r="B233" i="41"/>
  <c r="B232" i="41"/>
  <c r="B231" i="41"/>
  <c r="B230" i="41"/>
  <c r="B229" i="41"/>
  <c r="B228" i="41"/>
  <c r="B227" i="41"/>
  <c r="B220" i="41"/>
  <c r="B219" i="41"/>
  <c r="B218" i="41"/>
  <c r="B217" i="41"/>
  <c r="B216" i="41"/>
  <c r="B215" i="41"/>
  <c r="B214" i="41"/>
  <c r="B213" i="41"/>
  <c r="B212" i="41"/>
  <c r="B211" i="41"/>
  <c r="B210" i="41"/>
  <c r="B209" i="41"/>
  <c r="B208" i="41"/>
  <c r="B207" i="41"/>
  <c r="B206" i="41"/>
  <c r="B205" i="41"/>
  <c r="B204" i="41"/>
  <c r="B203" i="41"/>
  <c r="B202" i="41"/>
  <c r="B188" i="41"/>
  <c r="B187" i="41"/>
  <c r="B185" i="41"/>
  <c r="B184" i="41"/>
  <c r="B183" i="41"/>
  <c r="B181" i="41"/>
  <c r="B180" i="41"/>
  <c r="B179" i="41"/>
  <c r="B178" i="41"/>
  <c r="B177" i="41"/>
  <c r="B176" i="41"/>
  <c r="B175" i="41"/>
  <c r="B174" i="41"/>
  <c r="B173" i="41"/>
  <c r="B172" i="41"/>
  <c r="B171" i="41"/>
  <c r="B170" i="41"/>
  <c r="B169" i="41"/>
  <c r="B168" i="41"/>
  <c r="B159" i="41"/>
  <c r="B158" i="41"/>
  <c r="B157" i="41"/>
  <c r="B156" i="41"/>
  <c r="B155" i="41"/>
  <c r="B154" i="41"/>
  <c r="B153" i="41"/>
  <c r="B152" i="41"/>
  <c r="B151" i="41"/>
  <c r="B150" i="41"/>
  <c r="B149" i="41"/>
  <c r="B148" i="41"/>
  <c r="B139" i="41"/>
  <c r="B132" i="41"/>
  <c r="B140" i="41"/>
  <c r="B138" i="41"/>
  <c r="B135" i="41"/>
  <c r="B137" i="41"/>
  <c r="B136" i="41"/>
  <c r="B125" i="41"/>
  <c r="B124" i="41"/>
  <c r="B123" i="41"/>
  <c r="B121" i="41"/>
  <c r="B120" i="41"/>
  <c r="B119" i="41"/>
  <c r="B118" i="41"/>
  <c r="B117" i="41"/>
  <c r="B116" i="41"/>
  <c r="B115" i="41"/>
  <c r="B114" i="41"/>
  <c r="B107" i="41"/>
  <c r="B106" i="41"/>
  <c r="B105" i="41"/>
  <c r="B104" i="41"/>
  <c r="B103" i="41"/>
  <c r="B96" i="41"/>
  <c r="B95" i="41"/>
  <c r="B94" i="41"/>
  <c r="B86" i="41"/>
  <c r="B85" i="41"/>
  <c r="B84" i="41"/>
  <c r="B83" i="41"/>
  <c r="B82" i="41"/>
  <c r="B81" i="41"/>
  <c r="B80" i="41"/>
  <c r="B74" i="41"/>
  <c r="B73" i="41"/>
  <c r="B72" i="41"/>
  <c r="B71" i="41"/>
  <c r="B65" i="41"/>
  <c r="B64" i="41"/>
  <c r="B63" i="41"/>
  <c r="B62" i="41"/>
  <c r="B61" i="41"/>
  <c r="B60" i="41"/>
  <c r="B53" i="41"/>
  <c r="B52" i="41"/>
  <c r="B51" i="41"/>
  <c r="B50" i="41"/>
  <c r="B49" i="41"/>
  <c r="B48" i="41"/>
  <c r="B47" i="41"/>
  <c r="B46" i="41"/>
  <c r="B45" i="41"/>
  <c r="B44" i="41"/>
  <c r="B43" i="41"/>
  <c r="B42" i="41"/>
  <c r="B41" i="41"/>
  <c r="B40" i="41"/>
  <c r="B39" i="41"/>
  <c r="B38" i="41"/>
  <c r="B37" i="41"/>
  <c r="B36" i="41"/>
  <c r="B35" i="41"/>
  <c r="B34" i="41"/>
  <c r="B33" i="41"/>
  <c r="B32" i="41"/>
  <c r="B31" i="41"/>
  <c r="B30" i="41"/>
  <c r="B23" i="41"/>
  <c r="B22" i="41"/>
  <c r="B21" i="41"/>
  <c r="B20" i="41"/>
  <c r="B19" i="41"/>
  <c r="B18" i="41"/>
  <c r="B16" i="41"/>
  <c r="B15" i="41"/>
  <c r="B14" i="41"/>
  <c r="B13" i="41"/>
  <c r="B12" i="41"/>
  <c r="B11" i="41"/>
  <c r="B10" i="41"/>
  <c r="B9" i="41"/>
  <c r="B8" i="41"/>
  <c r="B7" i="41"/>
  <c r="B6" i="41"/>
  <c r="B5" i="41"/>
  <c r="J30" i="64"/>
  <c r="J16" i="64"/>
  <c r="J2" i="64"/>
  <c r="P34" i="62"/>
  <c r="H30" i="62"/>
  <c r="P19" i="62"/>
  <c r="H16" i="62"/>
  <c r="H2" i="62"/>
  <c r="C346" i="41" l="1"/>
  <c r="BQ349" i="43"/>
  <c r="BP349" i="43"/>
  <c r="BQ350" i="43"/>
  <c r="BP350" i="43"/>
  <c r="BQ351" i="43"/>
  <c r="BP351" i="43"/>
  <c r="BP363" i="43"/>
  <c r="BQ363" i="43"/>
  <c r="BP10" i="41"/>
  <c r="BP10" i="43" s="1"/>
  <c r="O34" i="54" s="1"/>
  <c r="BQ10" i="41"/>
  <c r="BQ10" i="43" s="1"/>
  <c r="BQ41" i="41"/>
  <c r="BQ41" i="43" s="1"/>
  <c r="BP41" i="41"/>
  <c r="BP41" i="43" s="1"/>
  <c r="O37" i="54" s="1"/>
  <c r="BP106" i="41"/>
  <c r="BP106" i="43" s="1"/>
  <c r="G55" i="54" s="1"/>
  <c r="BQ106" i="41"/>
  <c r="BQ106" i="43" s="1"/>
  <c r="BP152" i="41"/>
  <c r="BP152" i="43" s="1"/>
  <c r="O8" i="54" s="1"/>
  <c r="BQ152" i="41"/>
  <c r="BQ152" i="43" s="1"/>
  <c r="BQ185" i="41"/>
  <c r="BQ185" i="43" s="1"/>
  <c r="BP185" i="41"/>
  <c r="BP185" i="43" s="1"/>
  <c r="K36" i="54" s="1"/>
  <c r="BP229" i="41"/>
  <c r="BP229" i="43" s="1"/>
  <c r="K48" i="54" s="1"/>
  <c r="BQ229" i="41"/>
  <c r="BQ229" i="43" s="1"/>
  <c r="BP242" i="41"/>
  <c r="BP242" i="43" s="1"/>
  <c r="C13" i="54" s="1"/>
  <c r="BQ242" i="41"/>
  <c r="BQ242" i="43" s="1"/>
  <c r="BP279" i="41"/>
  <c r="BP279" i="43" s="1"/>
  <c r="K82" i="54" s="1"/>
  <c r="BQ279" i="41"/>
  <c r="BQ279" i="43" s="1"/>
  <c r="BP309" i="41"/>
  <c r="BP309" i="43" s="1"/>
  <c r="G9" i="54" s="1"/>
  <c r="T9" i="54" s="1"/>
  <c r="BQ309" i="41"/>
  <c r="BQ309" i="43" s="1"/>
  <c r="BP352" i="41"/>
  <c r="BQ352" i="41"/>
  <c r="BP11" i="41"/>
  <c r="BP11" i="43" s="1"/>
  <c r="G51" i="54" s="1"/>
  <c r="BQ11" i="41"/>
  <c r="BQ11" i="43" s="1"/>
  <c r="BP82" i="41"/>
  <c r="BP82" i="43" s="1"/>
  <c r="C51" i="54" s="1"/>
  <c r="BQ82" i="41"/>
  <c r="BQ82" i="43" s="1"/>
  <c r="BP136" i="41"/>
  <c r="BP133" i="43" s="1"/>
  <c r="BQ136" i="41"/>
  <c r="BQ133" i="43" s="1"/>
  <c r="BP187" i="41"/>
  <c r="BP187" i="43" s="1"/>
  <c r="G12" i="54" s="1"/>
  <c r="T12" i="54" s="1"/>
  <c r="BQ187" i="41"/>
  <c r="BQ187" i="43" s="1"/>
  <c r="BP230" i="41"/>
  <c r="BP230" i="43" s="1"/>
  <c r="K49" i="54" s="1"/>
  <c r="BQ230" i="41"/>
  <c r="BQ230" i="43" s="1"/>
  <c r="BP280" i="41"/>
  <c r="BP280" i="43" s="1"/>
  <c r="K83" i="54" s="1"/>
  <c r="BQ280" i="41"/>
  <c r="BQ280" i="43" s="1"/>
  <c r="BP310" i="41"/>
  <c r="BP310" i="43" s="1"/>
  <c r="O25" i="54" s="1"/>
  <c r="BQ310" i="41"/>
  <c r="BQ310" i="43" s="1"/>
  <c r="BP322" i="41"/>
  <c r="BP322" i="43" s="1"/>
  <c r="BQ322" i="41"/>
  <c r="BQ322" i="43" s="1"/>
  <c r="BP182" i="43"/>
  <c r="O4" i="54" s="1"/>
  <c r="BP43" i="41"/>
  <c r="BP43" i="43" s="1"/>
  <c r="G46" i="54" s="1"/>
  <c r="BQ43" i="41"/>
  <c r="BQ43" i="43" s="1"/>
  <c r="BP83" i="41"/>
  <c r="BP83" i="43" s="1"/>
  <c r="O35" i="54" s="1"/>
  <c r="BQ83" i="41"/>
  <c r="BQ83" i="43" s="1"/>
  <c r="BP137" i="41"/>
  <c r="BP134" i="43" s="1"/>
  <c r="C34" i="54" s="1"/>
  <c r="BQ137" i="41"/>
  <c r="BQ134" i="43" s="1"/>
  <c r="BP174" i="41"/>
  <c r="BP174" i="43" s="1"/>
  <c r="O22" i="54" s="1"/>
  <c r="BQ174" i="41"/>
  <c r="BQ174" i="43" s="1"/>
  <c r="BP213" i="41"/>
  <c r="BP213" i="43" s="1"/>
  <c r="G24" i="54" s="1"/>
  <c r="BQ213" i="41"/>
  <c r="BQ213" i="43" s="1"/>
  <c r="BP244" i="41"/>
  <c r="BP244" i="43" s="1"/>
  <c r="G78" i="54" s="1"/>
  <c r="BQ244" i="41"/>
  <c r="BQ244" i="43" s="1"/>
  <c r="BP269" i="41"/>
  <c r="BP269" i="43" s="1"/>
  <c r="K72" i="54" s="1"/>
  <c r="BQ269" i="41"/>
  <c r="BQ269" i="43" s="1"/>
  <c r="BP311" i="41"/>
  <c r="BP311" i="43" s="1"/>
  <c r="K22" i="54" s="1"/>
  <c r="BQ311" i="41"/>
  <c r="BQ311" i="43" s="1"/>
  <c r="BP354" i="41"/>
  <c r="BP354" i="43" s="1"/>
  <c r="BQ354" i="41"/>
  <c r="BQ354" i="43" s="1"/>
  <c r="BQ33" i="41"/>
  <c r="BQ33" i="43" s="1"/>
  <c r="BP33" i="41"/>
  <c r="BP33" i="43" s="1"/>
  <c r="G31" i="54" s="1"/>
  <c r="BP63" i="41"/>
  <c r="BP63" i="43" s="1"/>
  <c r="C53" i="54" s="1"/>
  <c r="BQ63" i="41"/>
  <c r="BQ63" i="43" s="1"/>
  <c r="BP116" i="41"/>
  <c r="BP116" i="43" s="1"/>
  <c r="K32" i="54" s="1"/>
  <c r="BQ116" i="41"/>
  <c r="BQ116" i="43" s="1"/>
  <c r="BP176" i="41"/>
  <c r="BP176" i="43" s="1"/>
  <c r="G23" i="54" s="1"/>
  <c r="BQ176" i="41"/>
  <c r="BQ176" i="43" s="1"/>
  <c r="BP215" i="41"/>
  <c r="BP215" i="43" s="1"/>
  <c r="K24" i="54" s="1"/>
  <c r="BQ215" i="41"/>
  <c r="BQ215" i="43" s="1"/>
  <c r="BQ252" i="41"/>
  <c r="BP252" i="41"/>
  <c r="BP301" i="41"/>
  <c r="BP301" i="43" s="1"/>
  <c r="G34" i="54" s="1"/>
  <c r="BQ301" i="41"/>
  <c r="BQ301" i="43" s="1"/>
  <c r="BP335" i="41"/>
  <c r="BP335" i="43" s="1"/>
  <c r="C69" i="54" s="1"/>
  <c r="BQ335" i="41"/>
  <c r="BQ335" i="43" s="1"/>
  <c r="BP15" i="41"/>
  <c r="BR4" i="41" s="1"/>
  <c r="BQ15" i="41"/>
  <c r="BQ15" i="43" s="1"/>
  <c r="BP64" i="41"/>
  <c r="BP64" i="43" s="1"/>
  <c r="O11" i="54" s="1"/>
  <c r="BQ64" i="41"/>
  <c r="BQ64" i="43" s="1"/>
  <c r="BP86" i="41"/>
  <c r="BP86" i="43" s="1"/>
  <c r="C39" i="54" s="1"/>
  <c r="BQ86" i="41"/>
  <c r="BQ86" i="43" s="1"/>
  <c r="BP140" i="41"/>
  <c r="BP137" i="43" s="1"/>
  <c r="C25" i="54" s="1"/>
  <c r="BQ140" i="41"/>
  <c r="BQ137" i="43" s="1"/>
  <c r="BP157" i="41"/>
  <c r="BP157" i="43" s="1"/>
  <c r="C3" i="54" s="1"/>
  <c r="BQ157" i="41"/>
  <c r="BQ157" i="43" s="1"/>
  <c r="BP177" i="41"/>
  <c r="BP177" i="43" s="1"/>
  <c r="BQ177" i="41"/>
  <c r="BQ177" i="43" s="1"/>
  <c r="BP234" i="41"/>
  <c r="BP234" i="43" s="1"/>
  <c r="K50" i="54" s="1"/>
  <c r="BQ234" i="41"/>
  <c r="BQ234" i="43" s="1"/>
  <c r="BP253" i="41"/>
  <c r="BP253" i="43" s="1"/>
  <c r="G68" i="54" s="1"/>
  <c r="BQ253" i="41"/>
  <c r="BQ253" i="43" s="1"/>
  <c r="BP272" i="41"/>
  <c r="BP272" i="43" s="1"/>
  <c r="K75" i="54" s="1"/>
  <c r="BQ272" i="41"/>
  <c r="BQ272" i="43" s="1"/>
  <c r="BP314" i="41"/>
  <c r="BP314" i="43" s="1"/>
  <c r="C36" i="54" s="1"/>
  <c r="BQ314" i="41"/>
  <c r="BQ314" i="43" s="1"/>
  <c r="BP357" i="41"/>
  <c r="BP357" i="43" s="1"/>
  <c r="BQ357" i="41"/>
  <c r="BQ357" i="43" s="1"/>
  <c r="BP16" i="41"/>
  <c r="BP16" i="43" s="1"/>
  <c r="C56" i="54" s="1"/>
  <c r="BQ16" i="41"/>
  <c r="BQ16" i="43" s="1"/>
  <c r="BQ94" i="41"/>
  <c r="BP94" i="41"/>
  <c r="BQ132" i="41"/>
  <c r="BQ138" i="43" s="1"/>
  <c r="BP132" i="41"/>
  <c r="BP138" i="43" s="1"/>
  <c r="K39" i="54" s="1"/>
  <c r="BP178" i="41"/>
  <c r="BP178" i="43" s="1"/>
  <c r="C23" i="54" s="1"/>
  <c r="BQ178" i="41"/>
  <c r="BQ178" i="43" s="1"/>
  <c r="BP255" i="41"/>
  <c r="BP255" i="43" s="1"/>
  <c r="G70" i="54" s="1"/>
  <c r="BQ255" i="41"/>
  <c r="BQ255" i="43" s="1"/>
  <c r="BQ303" i="41"/>
  <c r="BQ303" i="43" s="1"/>
  <c r="BP303" i="41"/>
  <c r="BP303" i="43" s="1"/>
  <c r="C7" i="54" s="1"/>
  <c r="BP5" i="41"/>
  <c r="BQ5" i="41"/>
  <c r="BQ132" i="43"/>
  <c r="BP132" i="43"/>
  <c r="K41" i="54" s="1"/>
  <c r="U41" i="54" s="1"/>
  <c r="BQ236" i="43"/>
  <c r="BP236" i="43"/>
  <c r="K55" i="54" s="1"/>
  <c r="BQ166" i="43"/>
  <c r="BP166" i="43"/>
  <c r="G33" i="54" s="1"/>
  <c r="BP71" i="41"/>
  <c r="BQ71" i="41"/>
  <c r="BQ159" i="41"/>
  <c r="BQ159" i="43" s="1"/>
  <c r="BP159" i="41"/>
  <c r="BP159" i="43" s="1"/>
  <c r="K27" i="54" s="1"/>
  <c r="BP206" i="41"/>
  <c r="BP206" i="43" s="1"/>
  <c r="C50" i="54" s="1"/>
  <c r="BQ206" i="41"/>
  <c r="BQ206" i="43" s="1"/>
  <c r="BP316" i="41"/>
  <c r="BP316" i="43" s="1"/>
  <c r="O13" i="54" s="1"/>
  <c r="BQ316" i="41"/>
  <c r="BQ316" i="43" s="1"/>
  <c r="BP359" i="41"/>
  <c r="BP359" i="43" s="1"/>
  <c r="BQ359" i="41"/>
  <c r="BQ359" i="43" s="1"/>
  <c r="BP186" i="43"/>
  <c r="G11" i="54" s="1"/>
  <c r="T11" i="54" s="1"/>
  <c r="BP72" i="41"/>
  <c r="BP72" i="43" s="1"/>
  <c r="G6" i="54" s="1"/>
  <c r="BQ72" i="41"/>
  <c r="BQ72" i="43" s="1"/>
  <c r="BQ168" i="41"/>
  <c r="BP168" i="41"/>
  <c r="BP238" i="41"/>
  <c r="BP238" i="43" s="1"/>
  <c r="C21" i="54" s="1"/>
  <c r="BQ238" i="41"/>
  <c r="BQ238" i="43" s="1"/>
  <c r="BQ305" i="41"/>
  <c r="BQ305" i="43" s="1"/>
  <c r="BP305" i="41"/>
  <c r="BP305" i="43" s="1"/>
  <c r="G7" i="54" s="1"/>
  <c r="T7" i="54" s="1"/>
  <c r="BP122" i="43"/>
  <c r="C18" i="54" s="1"/>
  <c r="BP7" i="41"/>
  <c r="BP7" i="43" s="1"/>
  <c r="O19" i="54" s="1"/>
  <c r="BQ7" i="41"/>
  <c r="BQ7" i="43" s="1"/>
  <c r="BQ73" i="41"/>
  <c r="BQ73" i="43" s="1"/>
  <c r="BP73" i="41"/>
  <c r="BP73" i="43" s="1"/>
  <c r="O27" i="54" s="1"/>
  <c r="BP121" i="41"/>
  <c r="BP121" i="43" s="1"/>
  <c r="K23" i="54" s="1"/>
  <c r="BQ121" i="41"/>
  <c r="BQ121" i="43" s="1"/>
  <c r="BP169" i="41"/>
  <c r="BP169" i="43" s="1"/>
  <c r="K4" i="54" s="1"/>
  <c r="BQ169" i="41"/>
  <c r="BQ169" i="43" s="1"/>
  <c r="BP181" i="41"/>
  <c r="BP181" i="43" s="1"/>
  <c r="C17" i="54" s="1"/>
  <c r="BQ181" i="41"/>
  <c r="BQ181" i="43" s="1"/>
  <c r="BP239" i="41"/>
  <c r="BP239" i="43" s="1"/>
  <c r="G50" i="54" s="1"/>
  <c r="BQ239" i="41"/>
  <c r="BQ239" i="43" s="1"/>
  <c r="BP276" i="41"/>
  <c r="BP276" i="43" s="1"/>
  <c r="K79" i="54" s="1"/>
  <c r="BQ276" i="41"/>
  <c r="BQ276" i="43" s="1"/>
  <c r="BQ318" i="41"/>
  <c r="BQ318" i="43" s="1"/>
  <c r="BP318" i="41"/>
  <c r="BP318" i="43" s="1"/>
  <c r="K37" i="54" s="1"/>
  <c r="BP340" i="41"/>
  <c r="BP340" i="43" s="1"/>
  <c r="C74" i="54" s="1"/>
  <c r="BQ340" i="41"/>
  <c r="BQ340" i="43" s="1"/>
  <c r="BQ254" i="43"/>
  <c r="BP254" i="43"/>
  <c r="G69" i="54" s="1"/>
  <c r="BQ122" i="43"/>
  <c r="BP139" i="43"/>
  <c r="G53" i="54" s="1"/>
  <c r="BP23" i="41"/>
  <c r="BP23" i="43" s="1"/>
  <c r="BQ23" i="41"/>
  <c r="BQ23" i="43" s="1"/>
  <c r="BP81" i="41"/>
  <c r="BP81" i="43" s="1"/>
  <c r="C33" i="54" s="1"/>
  <c r="BQ81" i="41"/>
  <c r="BQ81" i="43" s="1"/>
  <c r="BQ125" i="41"/>
  <c r="BQ125" i="43" s="1"/>
  <c r="BP125" i="41"/>
  <c r="BP125" i="43" s="1"/>
  <c r="G4" i="54" s="1"/>
  <c r="BP172" i="41"/>
  <c r="BP172" i="43" s="1"/>
  <c r="O21" i="54" s="1"/>
  <c r="BQ172" i="41"/>
  <c r="BQ172" i="43" s="1"/>
  <c r="BP211" i="41"/>
  <c r="BP211" i="43" s="1"/>
  <c r="G52" i="54" s="1"/>
  <c r="BQ211" i="41"/>
  <c r="BQ211" i="43" s="1"/>
  <c r="BP267" i="41"/>
  <c r="BP267" i="43" s="1"/>
  <c r="K70" i="54" s="1"/>
  <c r="BQ267" i="41"/>
  <c r="BQ267" i="43" s="1"/>
  <c r="BP321" i="41"/>
  <c r="BP321" i="43" s="1"/>
  <c r="G27" i="54" s="1"/>
  <c r="BQ321" i="41"/>
  <c r="BQ321" i="43" s="1"/>
  <c r="BQ182" i="43"/>
  <c r="BP42" i="41"/>
  <c r="BP42" i="43" s="1"/>
  <c r="C24" i="54" s="1"/>
  <c r="BQ42" i="41"/>
  <c r="BQ42" i="43" s="1"/>
  <c r="BQ173" i="41"/>
  <c r="BQ173" i="43" s="1"/>
  <c r="BP173" i="41"/>
  <c r="BP173" i="43" s="1"/>
  <c r="G21" i="54" s="1"/>
  <c r="BP243" i="41"/>
  <c r="BP243" i="43" s="1"/>
  <c r="C40" i="54" s="1"/>
  <c r="BQ243" i="41"/>
  <c r="BQ243" i="43" s="1"/>
  <c r="BQ298" i="41"/>
  <c r="BQ298" i="43" s="1"/>
  <c r="BP298" i="41"/>
  <c r="BP298" i="43" s="1"/>
  <c r="C19" i="54" s="1"/>
  <c r="BQ12" i="41"/>
  <c r="BQ12" i="43" s="1"/>
  <c r="BP12" i="41"/>
  <c r="BP12" i="43" s="1"/>
  <c r="C83" i="54" s="1"/>
  <c r="BP31" i="41"/>
  <c r="BP31" i="43" s="1"/>
  <c r="G18" i="54" s="1"/>
  <c r="BQ31" i="41"/>
  <c r="BQ31" i="43" s="1"/>
  <c r="BQ61" i="41"/>
  <c r="BQ61" i="43" s="1"/>
  <c r="BP61" i="41"/>
  <c r="BP61" i="43" s="1"/>
  <c r="K10" i="54" s="1"/>
  <c r="BQ114" i="41"/>
  <c r="BP114" i="41"/>
  <c r="BP154" i="41"/>
  <c r="BP154" i="43" s="1"/>
  <c r="O24" i="54" s="1"/>
  <c r="BQ154" i="41"/>
  <c r="BQ154" i="43" s="1"/>
  <c r="BP188" i="41"/>
  <c r="BP188" i="43" s="1"/>
  <c r="K26" i="54" s="1"/>
  <c r="BQ188" i="41"/>
  <c r="BQ188" i="43" s="1"/>
  <c r="BP231" i="41"/>
  <c r="BP231" i="43" s="1"/>
  <c r="K51" i="54" s="1"/>
  <c r="BQ231" i="41"/>
  <c r="BQ231" i="43" s="1"/>
  <c r="BP281" i="41"/>
  <c r="BP281" i="43" s="1"/>
  <c r="K84" i="54" s="1"/>
  <c r="BQ281" i="41"/>
  <c r="BQ281" i="43" s="1"/>
  <c r="BP299" i="41"/>
  <c r="BP299" i="43" s="1"/>
  <c r="C5" i="54" s="1"/>
  <c r="BQ299" i="41"/>
  <c r="BQ299" i="43" s="1"/>
  <c r="BQ333" i="41"/>
  <c r="BQ333" i="43" s="1"/>
  <c r="BP333" i="41"/>
  <c r="BP333" i="43" s="1"/>
  <c r="C67" i="54" s="1"/>
  <c r="BQ32" i="41"/>
  <c r="BQ32" i="43" s="1"/>
  <c r="BP32" i="41"/>
  <c r="BP32" i="43" s="1"/>
  <c r="C47" i="54" s="1"/>
  <c r="BP62" i="41"/>
  <c r="BP62" i="43" s="1"/>
  <c r="O23" i="54" s="1"/>
  <c r="BQ62" i="41"/>
  <c r="BQ62" i="43" s="1"/>
  <c r="BP84" i="41"/>
  <c r="BP84" i="43" s="1"/>
  <c r="O20" i="54" s="1"/>
  <c r="BQ84" i="41"/>
  <c r="BQ84" i="43" s="1"/>
  <c r="BP135" i="41"/>
  <c r="BP135" i="43" s="1"/>
  <c r="K19" i="54" s="1"/>
  <c r="BQ135" i="41"/>
  <c r="BQ135" i="43" s="1"/>
  <c r="BP175" i="41"/>
  <c r="BP175" i="43" s="1"/>
  <c r="G36" i="54" s="1"/>
  <c r="BQ175" i="41"/>
  <c r="BQ175" i="43" s="1"/>
  <c r="BP214" i="41"/>
  <c r="BP214" i="43" s="1"/>
  <c r="O39" i="54" s="1"/>
  <c r="BQ214" i="41"/>
  <c r="BQ214" i="43" s="1"/>
  <c r="BP232" i="41"/>
  <c r="BP232" i="43" s="1"/>
  <c r="K52" i="54" s="1"/>
  <c r="BQ232" i="41"/>
  <c r="BQ232" i="43" s="1"/>
  <c r="BP270" i="41"/>
  <c r="BP270" i="43" s="1"/>
  <c r="K73" i="54" s="1"/>
  <c r="BQ270" i="41"/>
  <c r="BQ270" i="43" s="1"/>
  <c r="BQ282" i="41"/>
  <c r="BQ282" i="43" s="1"/>
  <c r="BP282" i="41"/>
  <c r="BP282" i="43" s="1"/>
  <c r="K85" i="54" s="1"/>
  <c r="BP312" i="41"/>
  <c r="BP312" i="43" s="1"/>
  <c r="G38" i="54" s="1"/>
  <c r="BQ312" i="41"/>
  <c r="BQ312" i="43" s="1"/>
  <c r="BP355" i="41"/>
  <c r="BP355" i="43" s="1"/>
  <c r="BQ355" i="41"/>
  <c r="BQ355" i="43" s="1"/>
  <c r="BQ45" i="41"/>
  <c r="BQ45" i="43" s="1"/>
  <c r="BP45" i="41"/>
  <c r="BP45" i="43" s="1"/>
  <c r="O3" i="54" s="1"/>
  <c r="BP156" i="41"/>
  <c r="BP156" i="43" s="1"/>
  <c r="O9" i="54" s="1"/>
  <c r="BQ156" i="41"/>
  <c r="BQ156" i="43" s="1"/>
  <c r="BP46" i="41"/>
  <c r="BP46" i="43" s="1"/>
  <c r="C31" i="54" s="1"/>
  <c r="BQ46" i="41"/>
  <c r="BQ46" i="43" s="1"/>
  <c r="BQ117" i="41"/>
  <c r="BQ117" i="43" s="1"/>
  <c r="BP117" i="41"/>
  <c r="BP117" i="43" s="1"/>
  <c r="O6" i="54" s="1"/>
  <c r="BP216" i="41"/>
  <c r="BP216" i="43" s="1"/>
  <c r="O12" i="54" s="1"/>
  <c r="BQ216" i="41"/>
  <c r="BQ216" i="43" s="1"/>
  <c r="BP302" i="41"/>
  <c r="BP302" i="43" s="1"/>
  <c r="C82" i="54" s="1"/>
  <c r="BQ302" i="41"/>
  <c r="BQ302" i="43" s="1"/>
  <c r="BP336" i="41"/>
  <c r="BP336" i="43" s="1"/>
  <c r="C70" i="54" s="1"/>
  <c r="BQ336" i="41"/>
  <c r="BQ336" i="43" s="1"/>
  <c r="BP36" i="41"/>
  <c r="BP36" i="43" s="1"/>
  <c r="G3" i="54" s="1"/>
  <c r="BQ36" i="41"/>
  <c r="BQ36" i="43" s="1"/>
  <c r="BP119" i="41"/>
  <c r="BP119" i="43" s="1"/>
  <c r="K25" i="54" s="1"/>
  <c r="BQ119" i="41"/>
  <c r="BQ119" i="43" s="1"/>
  <c r="BP139" i="41"/>
  <c r="BP140" i="43" s="1"/>
  <c r="G40" i="54" s="1"/>
  <c r="BQ139" i="41"/>
  <c r="BQ140" i="43" s="1"/>
  <c r="BP179" i="41"/>
  <c r="BP179" i="43" s="1"/>
  <c r="G37" i="54" s="1"/>
  <c r="BQ179" i="41"/>
  <c r="BQ179" i="43" s="1"/>
  <c r="BP274" i="41"/>
  <c r="BP274" i="43" s="1"/>
  <c r="K77" i="54" s="1"/>
  <c r="BQ274" i="41"/>
  <c r="BQ274" i="43" s="1"/>
  <c r="BP304" i="41"/>
  <c r="BP304" i="43" s="1"/>
  <c r="K9" i="54" s="1"/>
  <c r="BQ304" i="41"/>
  <c r="BQ304" i="43" s="1"/>
  <c r="BP338" i="41"/>
  <c r="BP338" i="43" s="1"/>
  <c r="C72" i="54" s="1"/>
  <c r="BQ338" i="41"/>
  <c r="BQ338" i="43" s="1"/>
  <c r="BQ37" i="41"/>
  <c r="BQ37" i="43" s="1"/>
  <c r="BP37" i="41"/>
  <c r="BP37" i="43" s="1"/>
  <c r="K34" i="54" s="1"/>
  <c r="BP120" i="41"/>
  <c r="BP120" i="43" s="1"/>
  <c r="C14" i="54" s="1"/>
  <c r="BQ120" i="41"/>
  <c r="BQ120" i="43" s="1"/>
  <c r="BQ148" i="41"/>
  <c r="BP148" i="41"/>
  <c r="BP207" i="41"/>
  <c r="BP207" i="43" s="1"/>
  <c r="G8" i="54" s="1"/>
  <c r="T8" i="54" s="1"/>
  <c r="BQ207" i="41"/>
  <c r="BQ207" i="43" s="1"/>
  <c r="BQ317" i="41"/>
  <c r="BQ317" i="43" s="1"/>
  <c r="BP317" i="41"/>
  <c r="BP317" i="43" s="1"/>
  <c r="G39" i="54" s="1"/>
  <c r="BQ139" i="43"/>
  <c r="BP38" i="41"/>
  <c r="BP38" i="43" s="1"/>
  <c r="K3" i="54" s="1"/>
  <c r="BQ38" i="41"/>
  <c r="BQ38" i="43" s="1"/>
  <c r="BP103" i="41"/>
  <c r="BQ103" i="41"/>
  <c r="BP149" i="41"/>
  <c r="BP149" i="43" s="1"/>
  <c r="K6" i="54" s="1"/>
  <c r="BQ149" i="41"/>
  <c r="BQ149" i="43" s="1"/>
  <c r="BP208" i="41"/>
  <c r="BP208" i="43" s="1"/>
  <c r="G32" i="54" s="1"/>
  <c r="BQ208" i="41"/>
  <c r="BQ208" i="43" s="1"/>
  <c r="BP264" i="41"/>
  <c r="BQ264" i="41"/>
  <c r="BP8" i="41"/>
  <c r="BP8" i="43" s="1"/>
  <c r="O31" i="54" s="1"/>
  <c r="BQ8" i="41"/>
  <c r="BQ8" i="43" s="1"/>
  <c r="BP39" i="41"/>
  <c r="BP39" i="43" s="1"/>
  <c r="G35" i="54" s="1"/>
  <c r="BQ39" i="41"/>
  <c r="BQ39" i="43" s="1"/>
  <c r="BP104" i="41"/>
  <c r="BP104" i="43" s="1"/>
  <c r="C9" i="54" s="1"/>
  <c r="BQ104" i="41"/>
  <c r="BQ104" i="43" s="1"/>
  <c r="BQ123" i="41"/>
  <c r="BQ123" i="43" s="1"/>
  <c r="BP123" i="41"/>
  <c r="BP123" i="43" s="1"/>
  <c r="C26" i="54" s="1"/>
  <c r="BP150" i="41"/>
  <c r="BP150" i="43" s="1"/>
  <c r="G17" i="54" s="1"/>
  <c r="BQ150" i="41"/>
  <c r="BQ150" i="43" s="1"/>
  <c r="BP170" i="41"/>
  <c r="BP170" i="43" s="1"/>
  <c r="K20" i="54" s="1"/>
  <c r="BQ170" i="41"/>
  <c r="BQ170" i="43" s="1"/>
  <c r="BP183" i="41"/>
  <c r="BP183" i="43" s="1"/>
  <c r="O26" i="54" s="1"/>
  <c r="BQ183" i="41"/>
  <c r="BQ183" i="43" s="1"/>
  <c r="BP209" i="41"/>
  <c r="BP209" i="43" s="1"/>
  <c r="C32" i="54" s="1"/>
  <c r="BQ209" i="41"/>
  <c r="BQ209" i="43" s="1"/>
  <c r="BP227" i="41"/>
  <c r="BQ227" i="41"/>
  <c r="BP240" i="41"/>
  <c r="BP240" i="43" s="1"/>
  <c r="K35" i="54" s="1"/>
  <c r="BQ240" i="41"/>
  <c r="BQ240" i="43" s="1"/>
  <c r="BP265" i="41"/>
  <c r="BP265" i="43" s="1"/>
  <c r="K68" i="54" s="1"/>
  <c r="BQ265" i="41"/>
  <c r="BQ265" i="43" s="1"/>
  <c r="BQ277" i="41"/>
  <c r="BQ277" i="43" s="1"/>
  <c r="BP277" i="41"/>
  <c r="BP277" i="43" s="1"/>
  <c r="K80" i="54" s="1"/>
  <c r="BP307" i="41"/>
  <c r="BP307" i="43" s="1"/>
  <c r="K21" i="54" s="1"/>
  <c r="BQ307" i="41"/>
  <c r="BQ307" i="43" s="1"/>
  <c r="BQ319" i="41"/>
  <c r="BQ319" i="43" s="1"/>
  <c r="BP319" i="41"/>
  <c r="BP319" i="43" s="1"/>
  <c r="C55" i="54" s="1"/>
  <c r="BQ167" i="43"/>
  <c r="BP167" i="43"/>
  <c r="G49" i="54" s="1"/>
  <c r="BQ189" i="43"/>
  <c r="BQ17" i="43"/>
  <c r="BQ30" i="41"/>
  <c r="BP30" i="41"/>
  <c r="BQ60" i="41"/>
  <c r="BP60" i="41"/>
  <c r="BP153" i="41"/>
  <c r="BP153" i="43" s="1"/>
  <c r="O38" i="54" s="1"/>
  <c r="BQ153" i="41"/>
  <c r="BQ153" i="43" s="1"/>
  <c r="BP212" i="41"/>
  <c r="BP212" i="43" s="1"/>
  <c r="C10" i="54" s="1"/>
  <c r="BQ212" i="41"/>
  <c r="BQ212" i="43" s="1"/>
  <c r="BP268" i="41"/>
  <c r="BP268" i="43" s="1"/>
  <c r="K71" i="54" s="1"/>
  <c r="BQ268" i="41"/>
  <c r="BQ268" i="43" s="1"/>
  <c r="BP353" i="41"/>
  <c r="BP353" i="43" s="1"/>
  <c r="BQ353" i="41"/>
  <c r="BQ353" i="43" s="1"/>
  <c r="BP13" i="41"/>
  <c r="BP13" i="43" s="1"/>
  <c r="C12" i="54" s="1"/>
  <c r="BQ13" i="41"/>
  <c r="BQ13" i="43" s="1"/>
  <c r="BP44" i="41"/>
  <c r="BP44" i="43" s="1"/>
  <c r="K18" i="54" s="1"/>
  <c r="BQ44" i="41"/>
  <c r="BQ44" i="43" s="1"/>
  <c r="BP115" i="41"/>
  <c r="BP115" i="43" s="1"/>
  <c r="G5" i="54" s="1"/>
  <c r="BQ115" i="41"/>
  <c r="BQ115" i="43" s="1"/>
  <c r="BP155" i="41"/>
  <c r="BP155" i="43" s="1"/>
  <c r="G10" i="54" s="1"/>
  <c r="T10" i="54" s="1"/>
  <c r="BQ155" i="41"/>
  <c r="BQ155" i="43" s="1"/>
  <c r="BQ202" i="41"/>
  <c r="BP202" i="41"/>
  <c r="BP245" i="41"/>
  <c r="BP245" i="43" s="1"/>
  <c r="G79" i="54" s="1"/>
  <c r="BQ245" i="41"/>
  <c r="BQ245" i="43" s="1"/>
  <c r="BP300" i="41"/>
  <c r="BP300" i="43" s="1"/>
  <c r="G19" i="54" s="1"/>
  <c r="BQ300" i="41"/>
  <c r="BQ300" i="43" s="1"/>
  <c r="BP334" i="41"/>
  <c r="BP334" i="43" s="1"/>
  <c r="C68" i="54" s="1"/>
  <c r="BQ334" i="41"/>
  <c r="BQ334" i="43" s="1"/>
  <c r="BP14" i="41"/>
  <c r="BP14" i="43" s="1"/>
  <c r="K38" i="54" s="1"/>
  <c r="BQ14" i="41"/>
  <c r="BQ14" i="43" s="1"/>
  <c r="BQ85" i="41"/>
  <c r="BQ85" i="43" s="1"/>
  <c r="BP85" i="41"/>
  <c r="BP85" i="43" s="1"/>
  <c r="K40" i="54" s="1"/>
  <c r="U40" i="54" s="1"/>
  <c r="BP138" i="41"/>
  <c r="BP136" i="43" s="1"/>
  <c r="C11" i="54" s="1"/>
  <c r="BQ138" i="41"/>
  <c r="BQ136" i="43" s="1"/>
  <c r="BP203" i="41"/>
  <c r="BP203" i="43" s="1"/>
  <c r="C20" i="54" s="1"/>
  <c r="BQ203" i="41"/>
  <c r="BQ203" i="43" s="1"/>
  <c r="BP233" i="41"/>
  <c r="BP233" i="43" s="1"/>
  <c r="K53" i="54" s="1"/>
  <c r="BQ233" i="41"/>
  <c r="BQ233" i="43" s="1"/>
  <c r="BP271" i="41"/>
  <c r="BP271" i="43" s="1"/>
  <c r="K74" i="54" s="1"/>
  <c r="BQ271" i="41"/>
  <c r="BQ271" i="43" s="1"/>
  <c r="BP313" i="41"/>
  <c r="BP313" i="43" s="1"/>
  <c r="C54" i="54" s="1"/>
  <c r="BQ313" i="41"/>
  <c r="BQ313" i="43" s="1"/>
  <c r="BP356" i="41"/>
  <c r="BP356" i="43" s="1"/>
  <c r="BQ356" i="41"/>
  <c r="BQ356" i="43" s="1"/>
  <c r="BP34" i="41"/>
  <c r="BP34" i="43" s="1"/>
  <c r="O17" i="54" s="1"/>
  <c r="BQ34" i="41"/>
  <c r="BQ34" i="43" s="1"/>
  <c r="BP204" i="41"/>
  <c r="BP204" i="43" s="1"/>
  <c r="K8" i="54" s="1"/>
  <c r="BQ204" i="41"/>
  <c r="BQ204" i="43" s="1"/>
  <c r="BP35" i="41"/>
  <c r="BP35" i="43" s="1"/>
  <c r="C4" i="54" s="1"/>
  <c r="BQ35" i="41"/>
  <c r="BQ35" i="43" s="1"/>
  <c r="BP65" i="41"/>
  <c r="BP65" i="43" s="1"/>
  <c r="O41" i="54" s="1"/>
  <c r="BQ65" i="41"/>
  <c r="BQ65" i="43" s="1"/>
  <c r="BP118" i="41"/>
  <c r="BP118" i="43" s="1"/>
  <c r="O10" i="54" s="1"/>
  <c r="BQ118" i="41"/>
  <c r="BQ118" i="43" s="1"/>
  <c r="BP158" i="41"/>
  <c r="BP158" i="43" s="1"/>
  <c r="C27" i="54" s="1"/>
  <c r="BQ158" i="41"/>
  <c r="BQ158" i="43" s="1"/>
  <c r="BP205" i="41"/>
  <c r="BP205" i="43" s="1"/>
  <c r="O18" i="54" s="1"/>
  <c r="BQ205" i="41"/>
  <c r="BQ205" i="43" s="1"/>
  <c r="BQ235" i="41"/>
  <c r="BQ235" i="43" s="1"/>
  <c r="BP235" i="41"/>
  <c r="BP235" i="43" s="1"/>
  <c r="K54" i="54" s="1"/>
  <c r="BP273" i="41"/>
  <c r="BP273" i="43" s="1"/>
  <c r="K76" i="54" s="1"/>
  <c r="BQ273" i="41"/>
  <c r="BQ273" i="43" s="1"/>
  <c r="BP315" i="41"/>
  <c r="BP315" i="43" s="1"/>
  <c r="K11" i="54" s="1"/>
  <c r="BQ315" i="41"/>
  <c r="BQ315" i="43" s="1"/>
  <c r="BP337" i="41"/>
  <c r="BP337" i="43" s="1"/>
  <c r="C71" i="54" s="1"/>
  <c r="BQ337" i="41"/>
  <c r="BQ337" i="43" s="1"/>
  <c r="BP358" i="41"/>
  <c r="BP358" i="43" s="1"/>
  <c r="BQ358" i="41"/>
  <c r="BQ358" i="43" s="1"/>
  <c r="BQ186" i="43"/>
  <c r="BP6" i="41"/>
  <c r="BP6" i="43" s="1"/>
  <c r="C81" i="54" s="1"/>
  <c r="BQ6" i="41"/>
  <c r="BQ6" i="43" s="1"/>
  <c r="BP180" i="41"/>
  <c r="BP180" i="43" s="1"/>
  <c r="K12" i="54" s="1"/>
  <c r="BQ180" i="41"/>
  <c r="BQ180" i="43" s="1"/>
  <c r="BQ275" i="41"/>
  <c r="BQ275" i="43" s="1"/>
  <c r="BP275" i="41"/>
  <c r="BP275" i="43" s="1"/>
  <c r="K78" i="54" s="1"/>
  <c r="BP339" i="41"/>
  <c r="BP339" i="43" s="1"/>
  <c r="C73" i="54" s="1"/>
  <c r="BQ339" i="41"/>
  <c r="BQ339" i="43" s="1"/>
  <c r="BP9" i="41"/>
  <c r="BP9" i="43" s="1"/>
  <c r="G20" i="54" s="1"/>
  <c r="BQ9" i="41"/>
  <c r="BQ9" i="43" s="1"/>
  <c r="BP40" i="41"/>
  <c r="BP40" i="43" s="1"/>
  <c r="O32" i="54" s="1"/>
  <c r="BQ40" i="41"/>
  <c r="BQ40" i="43" s="1"/>
  <c r="BP80" i="41"/>
  <c r="BQ80" i="41"/>
  <c r="BP105" i="41"/>
  <c r="BP105" i="43" s="1"/>
  <c r="C37" i="54" s="1"/>
  <c r="BQ105" i="41"/>
  <c r="BQ105" i="43" s="1"/>
  <c r="BP124" i="41"/>
  <c r="BP124" i="43" s="1"/>
  <c r="G26" i="54" s="1"/>
  <c r="BQ124" i="41"/>
  <c r="BQ124" i="43" s="1"/>
  <c r="BQ151" i="41"/>
  <c r="BQ151" i="43" s="1"/>
  <c r="BP151" i="41"/>
  <c r="BP151" i="43" s="1"/>
  <c r="K33" i="54" s="1"/>
  <c r="BP171" i="41"/>
  <c r="BP171" i="43" s="1"/>
  <c r="O7" i="54" s="1"/>
  <c r="BQ171" i="41"/>
  <c r="BQ171" i="43" s="1"/>
  <c r="BP184" i="41"/>
  <c r="BP184" i="43" s="1"/>
  <c r="K17" i="54" s="1"/>
  <c r="BQ184" i="41"/>
  <c r="BQ184" i="43" s="1"/>
  <c r="BQ210" i="41"/>
  <c r="BQ210" i="43" s="1"/>
  <c r="BP210" i="41"/>
  <c r="BP210" i="43" s="1"/>
  <c r="G22" i="54" s="1"/>
  <c r="BP228" i="41"/>
  <c r="BP228" i="43" s="1"/>
  <c r="K47" i="54" s="1"/>
  <c r="BQ228" i="41"/>
  <c r="BQ228" i="43" s="1"/>
  <c r="BP241" i="41"/>
  <c r="BP241" i="43" s="1"/>
  <c r="G25" i="54" s="1"/>
  <c r="BQ241" i="41"/>
  <c r="BQ241" i="43" s="1"/>
  <c r="BQ266" i="41"/>
  <c r="BQ266" i="43" s="1"/>
  <c r="BP266" i="41"/>
  <c r="BP266" i="43" s="1"/>
  <c r="K69" i="54" s="1"/>
  <c r="BP278" i="41"/>
  <c r="BP278" i="43" s="1"/>
  <c r="K81" i="54" s="1"/>
  <c r="BQ278" i="41"/>
  <c r="BQ278" i="43" s="1"/>
  <c r="BQ308" i="41"/>
  <c r="BQ308" i="43" s="1"/>
  <c r="BP308" i="41"/>
  <c r="BP308" i="43" s="1"/>
  <c r="C22" i="54" s="1"/>
  <c r="BP320" i="41"/>
  <c r="BP320" i="43" s="1"/>
  <c r="C38" i="54" s="1"/>
  <c r="BQ320" i="41"/>
  <c r="BQ320" i="43" s="1"/>
  <c r="BP189" i="43"/>
  <c r="K31" i="54" s="1"/>
  <c r="BP17" i="43"/>
  <c r="K13" i="54" s="1"/>
  <c r="BP306" i="41"/>
  <c r="BP306" i="43" s="1"/>
  <c r="O36" i="54" s="1"/>
  <c r="BQ306" i="41"/>
  <c r="BQ306" i="43" s="1"/>
  <c r="BQ360" i="43"/>
  <c r="BQ323" i="43"/>
  <c r="BQ361" i="43"/>
  <c r="BP364" i="43"/>
  <c r="BP361" i="43"/>
  <c r="BP362" i="43"/>
  <c r="BP360" i="43"/>
  <c r="BQ362" i="43"/>
  <c r="BP323" i="43"/>
  <c r="G54" i="54" s="1"/>
  <c r="BQ364" i="43"/>
  <c r="D53" i="64"/>
  <c r="C53" i="64"/>
  <c r="H47" i="64"/>
  <c r="I47" i="64"/>
  <c r="S25" i="64"/>
  <c r="R25" i="64"/>
  <c r="M82" i="64"/>
  <c r="N82" i="64"/>
  <c r="D8" i="64"/>
  <c r="C8" i="64"/>
  <c r="C22" i="64"/>
  <c r="D22" i="64"/>
  <c r="C52" i="64"/>
  <c r="D52" i="64"/>
  <c r="I9" i="64"/>
  <c r="H9" i="64"/>
  <c r="I23" i="64"/>
  <c r="H23" i="64"/>
  <c r="M3" i="64"/>
  <c r="N3" i="64"/>
  <c r="N31" i="64"/>
  <c r="M31" i="64"/>
  <c r="S3" i="64"/>
  <c r="R3" i="64"/>
  <c r="R24" i="64"/>
  <c r="S24" i="64"/>
  <c r="R36" i="64"/>
  <c r="S36" i="64"/>
  <c r="C71" i="64"/>
  <c r="D71" i="64"/>
  <c r="N81" i="64"/>
  <c r="M81" i="64"/>
  <c r="M69" i="64"/>
  <c r="N69" i="64"/>
  <c r="M13" i="64"/>
  <c r="N13" i="64"/>
  <c r="C7" i="64"/>
  <c r="D7" i="64"/>
  <c r="C21" i="64"/>
  <c r="D21" i="64"/>
  <c r="C51" i="64"/>
  <c r="D51" i="64"/>
  <c r="H8" i="64"/>
  <c r="I8" i="64"/>
  <c r="H22" i="64"/>
  <c r="I22" i="64"/>
  <c r="N17" i="64"/>
  <c r="M17" i="64"/>
  <c r="N32" i="64"/>
  <c r="M32" i="64"/>
  <c r="R23" i="64"/>
  <c r="S23" i="64"/>
  <c r="S35" i="64"/>
  <c r="R35" i="64"/>
  <c r="D70" i="64"/>
  <c r="C70" i="64"/>
  <c r="N67" i="64"/>
  <c r="M67" i="64"/>
  <c r="M80" i="64"/>
  <c r="N80" i="64"/>
  <c r="M68" i="64"/>
  <c r="N68" i="64"/>
  <c r="M12" i="64"/>
  <c r="N12" i="64"/>
  <c r="C6" i="64"/>
  <c r="D6" i="64"/>
  <c r="C20" i="64"/>
  <c r="D20" i="64"/>
  <c r="C50" i="64"/>
  <c r="D50" i="64"/>
  <c r="H7" i="64"/>
  <c r="I7" i="64"/>
  <c r="H21" i="64"/>
  <c r="I21" i="64"/>
  <c r="N27" i="64"/>
  <c r="M27" i="64"/>
  <c r="M46" i="64"/>
  <c r="N46" i="64"/>
  <c r="R9" i="64"/>
  <c r="S9" i="64"/>
  <c r="R22" i="64"/>
  <c r="S22" i="64"/>
  <c r="R34" i="64"/>
  <c r="S34" i="64"/>
  <c r="C69" i="64"/>
  <c r="D69" i="64"/>
  <c r="N79" i="64"/>
  <c r="M79" i="64"/>
  <c r="M11" i="64"/>
  <c r="N11" i="64"/>
  <c r="C5" i="64"/>
  <c r="D5" i="64"/>
  <c r="D19" i="64"/>
  <c r="C19" i="64"/>
  <c r="C49" i="64"/>
  <c r="D49" i="64"/>
  <c r="H6" i="64"/>
  <c r="I6" i="64"/>
  <c r="H20" i="64"/>
  <c r="I20" i="64"/>
  <c r="M26" i="64"/>
  <c r="N26" i="64"/>
  <c r="N55" i="64"/>
  <c r="M55" i="64"/>
  <c r="R8" i="64"/>
  <c r="S8" i="64"/>
  <c r="R21" i="64"/>
  <c r="S21" i="64"/>
  <c r="R33" i="64"/>
  <c r="S33" i="64"/>
  <c r="C68" i="64"/>
  <c r="D68" i="64"/>
  <c r="M78" i="64"/>
  <c r="N78" i="64"/>
  <c r="M10" i="64"/>
  <c r="N10" i="64"/>
  <c r="C24" i="64"/>
  <c r="D24" i="64"/>
  <c r="R26" i="64"/>
  <c r="S26" i="64"/>
  <c r="S6" i="64"/>
  <c r="R6" i="64"/>
  <c r="H48" i="64"/>
  <c r="I48" i="64"/>
  <c r="C10" i="64"/>
  <c r="D10" i="64"/>
  <c r="H25" i="64"/>
  <c r="I25" i="64"/>
  <c r="N48" i="64"/>
  <c r="M48" i="64"/>
  <c r="R38" i="64"/>
  <c r="S38" i="64"/>
  <c r="M83" i="64"/>
  <c r="N83" i="64"/>
  <c r="H10" i="64"/>
  <c r="I10" i="64"/>
  <c r="N47" i="64"/>
  <c r="M47" i="64"/>
  <c r="C47" i="64"/>
  <c r="D47" i="64"/>
  <c r="M24" i="64"/>
  <c r="N24" i="64"/>
  <c r="D67" i="64"/>
  <c r="C67" i="64"/>
  <c r="M23" i="64"/>
  <c r="N23" i="64"/>
  <c r="H70" i="64"/>
  <c r="I70" i="64"/>
  <c r="M22" i="64"/>
  <c r="N22" i="64"/>
  <c r="I11" i="64"/>
  <c r="H11" i="64"/>
  <c r="M19" i="64"/>
  <c r="N19" i="64"/>
  <c r="C73" i="64"/>
  <c r="D73" i="64"/>
  <c r="C9" i="64"/>
  <c r="D9" i="64"/>
  <c r="M18" i="64"/>
  <c r="N18" i="64"/>
  <c r="C72" i="64"/>
  <c r="D72" i="64"/>
  <c r="M70" i="64"/>
  <c r="N70" i="64"/>
  <c r="D48" i="64"/>
  <c r="C48" i="64"/>
  <c r="N25" i="64"/>
  <c r="M25" i="64"/>
  <c r="R32" i="64"/>
  <c r="S32" i="64"/>
  <c r="D17" i="64"/>
  <c r="C17" i="64"/>
  <c r="H18" i="64"/>
  <c r="I18" i="64"/>
  <c r="S19" i="64"/>
  <c r="R19" i="64"/>
  <c r="M52" i="64"/>
  <c r="N52" i="64"/>
  <c r="C13" i="64"/>
  <c r="D13" i="64"/>
  <c r="C27" i="64"/>
  <c r="D27" i="64"/>
  <c r="M51" i="64"/>
  <c r="N51" i="64"/>
  <c r="R4" i="64"/>
  <c r="S4" i="64"/>
  <c r="S31" i="64"/>
  <c r="R31" i="64"/>
  <c r="H69" i="64"/>
  <c r="I69" i="64"/>
  <c r="N74" i="64"/>
  <c r="M74" i="64"/>
  <c r="M6" i="64"/>
  <c r="N6" i="64"/>
  <c r="C12" i="64"/>
  <c r="D12" i="64"/>
  <c r="D26" i="64"/>
  <c r="C26" i="64"/>
  <c r="H13" i="64"/>
  <c r="I13" i="64"/>
  <c r="H27" i="64"/>
  <c r="I27" i="64"/>
  <c r="I46" i="64"/>
  <c r="H46" i="64"/>
  <c r="N21" i="64"/>
  <c r="M21" i="64"/>
  <c r="M50" i="64"/>
  <c r="N50" i="64"/>
  <c r="S17" i="64"/>
  <c r="R17" i="64"/>
  <c r="H68" i="64"/>
  <c r="I68" i="64"/>
  <c r="N85" i="64"/>
  <c r="M85" i="64"/>
  <c r="N73" i="64"/>
  <c r="M73" i="64"/>
  <c r="M5" i="64"/>
  <c r="N5" i="64"/>
  <c r="D54" i="64"/>
  <c r="C54" i="64"/>
  <c r="N71" i="64"/>
  <c r="M71" i="64"/>
  <c r="C23" i="64"/>
  <c r="D23" i="64"/>
  <c r="I24" i="64"/>
  <c r="H24" i="64"/>
  <c r="R37" i="64"/>
  <c r="S37" i="64"/>
  <c r="C4" i="64"/>
  <c r="D4" i="64"/>
  <c r="C18" i="64"/>
  <c r="D18" i="64"/>
  <c r="I5" i="64"/>
  <c r="H5" i="64"/>
  <c r="H19" i="64"/>
  <c r="I19" i="64"/>
  <c r="N54" i="64"/>
  <c r="M54" i="64"/>
  <c r="S7" i="64"/>
  <c r="R7" i="64"/>
  <c r="R20" i="64"/>
  <c r="S20" i="64"/>
  <c r="I67" i="64"/>
  <c r="H67" i="64"/>
  <c r="M77" i="64"/>
  <c r="N77" i="64"/>
  <c r="N9" i="64"/>
  <c r="M9" i="64"/>
  <c r="C3" i="64"/>
  <c r="D3" i="64"/>
  <c r="C31" i="64"/>
  <c r="D31" i="64"/>
  <c r="H4" i="64"/>
  <c r="I4" i="64"/>
  <c r="M53" i="64"/>
  <c r="N53" i="64"/>
  <c r="M76" i="64"/>
  <c r="N76" i="64"/>
  <c r="M8" i="64"/>
  <c r="N8" i="64"/>
  <c r="D14" i="64"/>
  <c r="C14" i="64"/>
  <c r="I3" i="64"/>
  <c r="H3" i="64"/>
  <c r="I17" i="64"/>
  <c r="H17" i="64"/>
  <c r="R5" i="64"/>
  <c r="S5" i="64"/>
  <c r="R18" i="64"/>
  <c r="S18" i="64"/>
  <c r="M75" i="64"/>
  <c r="N75" i="64"/>
  <c r="M7" i="64"/>
  <c r="N7" i="64"/>
  <c r="D46" i="64"/>
  <c r="C46" i="64"/>
  <c r="C56" i="64"/>
  <c r="D56" i="64"/>
  <c r="C11" i="64"/>
  <c r="D11" i="64"/>
  <c r="D25" i="64"/>
  <c r="C25" i="64"/>
  <c r="C55" i="64"/>
  <c r="D55" i="64"/>
  <c r="H12" i="64"/>
  <c r="I12" i="64"/>
  <c r="H26" i="64"/>
  <c r="I26" i="64"/>
  <c r="M20" i="64"/>
  <c r="N20" i="64"/>
  <c r="M49" i="64"/>
  <c r="N49" i="64"/>
  <c r="R27" i="64"/>
  <c r="S27" i="64"/>
  <c r="R39" i="64"/>
  <c r="S39" i="64"/>
  <c r="C74" i="64"/>
  <c r="D74" i="64"/>
  <c r="N84" i="64"/>
  <c r="M84" i="64"/>
  <c r="M72" i="64"/>
  <c r="N72" i="64"/>
  <c r="N4" i="64"/>
  <c r="M4" i="64"/>
  <c r="C261" i="43"/>
  <c r="C261" i="41"/>
  <c r="C129" i="43"/>
  <c r="H41" i="64"/>
  <c r="K81" i="76"/>
  <c r="K52" i="76"/>
  <c r="K69" i="76"/>
  <c r="K51" i="76"/>
  <c r="K32" i="76"/>
  <c r="O41" i="76"/>
  <c r="G49" i="76"/>
  <c r="C56" i="76"/>
  <c r="O20" i="76"/>
  <c r="G54" i="76"/>
  <c r="C48" i="76"/>
  <c r="O23" i="76"/>
  <c r="O12" i="76"/>
  <c r="O24" i="76"/>
  <c r="G27" i="76"/>
  <c r="C39" i="76"/>
  <c r="C73" i="76"/>
  <c r="C51" i="76"/>
  <c r="K7" i="76"/>
  <c r="O5" i="76"/>
  <c r="C41" i="64"/>
  <c r="C75" i="54"/>
  <c r="I41" i="64"/>
  <c r="C71" i="76"/>
  <c r="G47" i="76"/>
  <c r="C52" i="76"/>
  <c r="G46" i="76"/>
  <c r="K25" i="76"/>
  <c r="G37" i="76"/>
  <c r="C40" i="76"/>
  <c r="C49" i="76"/>
  <c r="O7" i="76"/>
  <c r="K34" i="76"/>
  <c r="C27" i="76"/>
  <c r="K79" i="76"/>
  <c r="K13" i="76"/>
  <c r="C47" i="76"/>
  <c r="O18" i="76"/>
  <c r="C76" i="54"/>
  <c r="O37" i="76"/>
  <c r="G21" i="76"/>
  <c r="K47" i="76"/>
  <c r="G38" i="76"/>
  <c r="K46" i="76"/>
  <c r="K38" i="76"/>
  <c r="K49" i="76"/>
  <c r="C77" i="54"/>
  <c r="G50" i="76"/>
  <c r="O8" i="76"/>
  <c r="O3" i="76"/>
  <c r="K3" i="76"/>
  <c r="K26" i="76"/>
  <c r="O25" i="76"/>
  <c r="K77" i="76"/>
  <c r="G25" i="76"/>
  <c r="G8" i="76"/>
  <c r="C5" i="76"/>
  <c r="O9" i="76"/>
  <c r="K40" i="76"/>
  <c r="C37" i="76"/>
  <c r="K35" i="76"/>
  <c r="O36" i="76"/>
  <c r="K48" i="76"/>
  <c r="C25" i="76"/>
  <c r="C55" i="76"/>
  <c r="C4" i="76"/>
  <c r="C32" i="76"/>
  <c r="C72" i="76"/>
  <c r="C23" i="76"/>
  <c r="C22" i="76"/>
  <c r="C69" i="76"/>
  <c r="C21" i="76"/>
  <c r="O4" i="76"/>
  <c r="K83" i="76"/>
  <c r="K55" i="76"/>
  <c r="K71" i="76"/>
  <c r="G39" i="76"/>
  <c r="C14" i="76"/>
  <c r="K72" i="76"/>
  <c r="C18" i="76"/>
  <c r="K54" i="76"/>
  <c r="G12" i="76"/>
  <c r="K18" i="76"/>
  <c r="G51" i="76"/>
  <c r="G13" i="76"/>
  <c r="C74" i="76"/>
  <c r="G68" i="76"/>
  <c r="C36" i="76"/>
  <c r="C81" i="76"/>
  <c r="K31" i="76"/>
  <c r="O21" i="76"/>
  <c r="C11" i="76"/>
  <c r="K9" i="76"/>
  <c r="G53" i="76"/>
  <c r="K12" i="76"/>
  <c r="G26" i="76"/>
  <c r="C10" i="76"/>
  <c r="O11" i="76"/>
  <c r="O10" i="76"/>
  <c r="G10" i="76"/>
  <c r="C46" i="76"/>
  <c r="C9" i="76"/>
  <c r="K39" i="76"/>
  <c r="O38" i="76"/>
  <c r="K20" i="76"/>
  <c r="C82" i="76"/>
  <c r="K33" i="76"/>
  <c r="K70" i="76"/>
  <c r="C70" i="76"/>
  <c r="O22" i="76"/>
  <c r="G40" i="76"/>
  <c r="C54" i="76"/>
  <c r="C35" i="76"/>
  <c r="O6" i="76"/>
  <c r="K37" i="76"/>
  <c r="K5" i="76"/>
  <c r="O34" i="76"/>
  <c r="K23" i="76"/>
  <c r="C34" i="76"/>
  <c r="K74" i="76"/>
  <c r="K21" i="76"/>
  <c r="K78" i="76"/>
  <c r="O39" i="76"/>
  <c r="C13" i="76"/>
  <c r="O27" i="76"/>
  <c r="C20" i="76"/>
  <c r="C67" i="76"/>
  <c r="G69" i="76"/>
  <c r="G6" i="76"/>
  <c r="K73" i="76"/>
  <c r="G32" i="76"/>
  <c r="O32" i="76"/>
  <c r="C3" i="76"/>
  <c r="G3" i="76"/>
  <c r="C38" i="76"/>
  <c r="C17" i="76"/>
  <c r="K84" i="76"/>
  <c r="C31" i="76"/>
  <c r="K8" i="76"/>
  <c r="K19" i="76"/>
  <c r="G11" i="76"/>
  <c r="D41" i="64"/>
  <c r="K17" i="76"/>
  <c r="G52" i="76"/>
  <c r="C12" i="76"/>
  <c r="K53" i="76"/>
  <c r="O17" i="76"/>
  <c r="O33" i="76"/>
  <c r="C33" i="76"/>
  <c r="G9" i="76"/>
  <c r="K67" i="76"/>
  <c r="G24" i="76"/>
  <c r="G5" i="76"/>
  <c r="G34" i="76"/>
  <c r="G36" i="76"/>
  <c r="O26" i="76"/>
  <c r="C6" i="76"/>
  <c r="K10" i="76"/>
  <c r="G20" i="76"/>
  <c r="K36" i="76"/>
  <c r="O31" i="76"/>
  <c r="G33" i="76"/>
  <c r="G23" i="76"/>
  <c r="K22" i="76"/>
  <c r="K75" i="76"/>
  <c r="G31" i="76"/>
  <c r="K11" i="76"/>
  <c r="K82" i="76"/>
  <c r="O35" i="76"/>
  <c r="G35" i="76"/>
  <c r="G22" i="76"/>
  <c r="K27" i="76"/>
  <c r="C19" i="76"/>
  <c r="K50" i="76"/>
  <c r="K6" i="76"/>
  <c r="G19" i="76"/>
  <c r="K80" i="76"/>
  <c r="G18" i="76"/>
  <c r="K68" i="76"/>
  <c r="K24" i="76"/>
  <c r="C8" i="76"/>
  <c r="C68" i="76"/>
  <c r="O19" i="76"/>
  <c r="C50" i="76"/>
  <c r="O40" i="76"/>
  <c r="K76" i="76"/>
  <c r="C26" i="76"/>
  <c r="G55" i="76"/>
  <c r="C24" i="76"/>
  <c r="C53" i="76"/>
  <c r="K85" i="76"/>
  <c r="G17" i="76"/>
  <c r="G67" i="76"/>
  <c r="G70" i="76"/>
  <c r="G4" i="76"/>
  <c r="C7" i="76"/>
  <c r="K4" i="76"/>
  <c r="C83" i="76"/>
  <c r="C80" i="76" s="1"/>
  <c r="C37" i="75"/>
  <c r="O19" i="75"/>
  <c r="C6" i="75"/>
  <c r="K73" i="75"/>
  <c r="K34" i="75"/>
  <c r="K18" i="75"/>
  <c r="K4" i="75"/>
  <c r="G67" i="75"/>
  <c r="C31" i="75"/>
  <c r="G13" i="75"/>
  <c r="K74" i="75"/>
  <c r="G12" i="75"/>
  <c r="C81" i="75"/>
  <c r="K79" i="75"/>
  <c r="G17" i="75"/>
  <c r="K84" i="75"/>
  <c r="K70" i="75"/>
  <c r="K85" i="75"/>
  <c r="G70" i="75"/>
  <c r="G50" i="75"/>
  <c r="O37" i="75"/>
  <c r="K24" i="75"/>
  <c r="O12" i="75"/>
  <c r="K69" i="75"/>
  <c r="G9" i="75"/>
  <c r="C74" i="75"/>
  <c r="C73" i="75"/>
  <c r="G11" i="75"/>
  <c r="K77" i="75"/>
  <c r="C56" i="75"/>
  <c r="K71" i="75"/>
  <c r="K51" i="75"/>
  <c r="K38" i="75"/>
  <c r="O31" i="75"/>
  <c r="C20" i="75"/>
  <c r="C9" i="75"/>
  <c r="C55" i="75"/>
  <c r="G6" i="75"/>
  <c r="C69" i="75"/>
  <c r="G68" i="75"/>
  <c r="G8" i="75"/>
  <c r="C71" i="75"/>
  <c r="C72" i="75"/>
  <c r="C52" i="75"/>
  <c r="K39" i="75"/>
  <c r="K32" i="75"/>
  <c r="O24" i="75"/>
  <c r="K13" i="75"/>
  <c r="K5" i="75"/>
  <c r="G51" i="75"/>
  <c r="G3" i="75"/>
  <c r="G54" i="75"/>
  <c r="K53" i="75"/>
  <c r="G5" i="75"/>
  <c r="C67" i="75"/>
  <c r="G52" i="75"/>
  <c r="O39" i="75"/>
  <c r="K33" i="75"/>
  <c r="C25" i="75"/>
  <c r="K20" i="75"/>
  <c r="C10" i="75"/>
  <c r="C54" i="75"/>
  <c r="G39" i="75"/>
  <c r="G69" i="75"/>
  <c r="K46" i="75"/>
  <c r="C46" i="75"/>
  <c r="C68" i="75"/>
  <c r="K48" i="75"/>
  <c r="C34" i="75"/>
  <c r="K25" i="75"/>
  <c r="K21" i="75"/>
  <c r="C17" i="75"/>
  <c r="G10" i="75"/>
  <c r="K75" i="75"/>
  <c r="K35" i="75"/>
  <c r="G36" i="75"/>
  <c r="K54" i="75"/>
  <c r="O38" i="75"/>
  <c r="G38" i="75"/>
  <c r="G53" i="75"/>
  <c r="G40" i="75"/>
  <c r="O25" i="75"/>
  <c r="O21" i="75"/>
  <c r="K17" i="75"/>
  <c r="K10" i="75"/>
  <c r="O6" i="75"/>
  <c r="G55" i="75"/>
  <c r="C27" i="75"/>
  <c r="O4" i="75"/>
  <c r="G33" i="75"/>
  <c r="C51" i="75"/>
  <c r="O35" i="75"/>
  <c r="G35" i="75"/>
  <c r="K49" i="75"/>
  <c r="G37" i="75"/>
  <c r="C22" i="75"/>
  <c r="O17" i="75"/>
  <c r="O10" i="75"/>
  <c r="C7" i="75"/>
  <c r="C3" i="75"/>
  <c r="K47" i="75"/>
  <c r="O22" i="75"/>
  <c r="O18" i="75"/>
  <c r="G27" i="75"/>
  <c r="C47" i="75"/>
  <c r="O32" i="75"/>
  <c r="G32" i="75"/>
  <c r="O41" i="75"/>
  <c r="G34" i="75"/>
  <c r="C18" i="75"/>
  <c r="C11" i="75"/>
  <c r="K3" i="75"/>
  <c r="K67" i="75"/>
  <c r="K36" i="75"/>
  <c r="C19" i="75"/>
  <c r="O34" i="75"/>
  <c r="G24" i="75"/>
  <c r="C39" i="75"/>
  <c r="O26" i="75"/>
  <c r="G26" i="75"/>
  <c r="C38" i="75"/>
  <c r="G31" i="75"/>
  <c r="K11" i="75"/>
  <c r="K7" i="75"/>
  <c r="O3" i="75"/>
  <c r="K80" i="75"/>
  <c r="C49" i="75"/>
  <c r="K27" i="75"/>
  <c r="K12" i="75"/>
  <c r="G21" i="75"/>
  <c r="C36" i="75"/>
  <c r="O23" i="75"/>
  <c r="G23" i="75"/>
  <c r="C35" i="75"/>
  <c r="K83" i="75"/>
  <c r="O7" i="75"/>
  <c r="C4" i="75"/>
  <c r="K82" i="75"/>
  <c r="K68" i="75"/>
  <c r="K37" i="75"/>
  <c r="C23" i="75"/>
  <c r="O8" i="75"/>
  <c r="C82" i="75"/>
  <c r="G18" i="75"/>
  <c r="C33" i="75"/>
  <c r="O20" i="75"/>
  <c r="G20" i="75"/>
  <c r="C32" i="75"/>
  <c r="K76" i="75"/>
  <c r="G4" i="75"/>
  <c r="C83" i="75"/>
  <c r="C80" i="75" s="1"/>
  <c r="C70" i="75"/>
  <c r="G49" i="75"/>
  <c r="K31" i="75"/>
  <c r="G19" i="75"/>
  <c r="C5" i="75"/>
  <c r="O40" i="75"/>
  <c r="O11" i="75"/>
  <c r="C53" i="75"/>
  <c r="C21" i="75"/>
  <c r="C26" i="75"/>
  <c r="C14" i="75"/>
  <c r="K22" i="75"/>
  <c r="G47" i="75"/>
  <c r="K6" i="75"/>
  <c r="K78" i="75"/>
  <c r="O27" i="75"/>
  <c r="K26" i="75"/>
  <c r="K81" i="75"/>
  <c r="G46" i="75"/>
  <c r="O9" i="75"/>
  <c r="K23" i="75"/>
  <c r="C12" i="75"/>
  <c r="G25" i="75"/>
  <c r="O36" i="75"/>
  <c r="K55" i="75"/>
  <c r="K50" i="75"/>
  <c r="C24" i="75"/>
  <c r="O33" i="75"/>
  <c r="K8" i="75"/>
  <c r="C50" i="75"/>
  <c r="K9" i="75"/>
  <c r="K72" i="75"/>
  <c r="C8" i="75"/>
  <c r="K52" i="75"/>
  <c r="G22" i="75"/>
  <c r="C48" i="75"/>
  <c r="C40" i="75"/>
  <c r="O5" i="75"/>
  <c r="K40" i="75"/>
  <c r="C13" i="75"/>
  <c r="K19" i="75"/>
  <c r="C163" i="41"/>
  <c r="C163" i="43"/>
  <c r="U57" i="62"/>
  <c r="U59" i="62"/>
  <c r="U58" i="62"/>
  <c r="I30" i="62"/>
  <c r="C1" i="43"/>
  <c r="C1" i="41"/>
  <c r="C224" i="43"/>
  <c r="C224" i="41"/>
  <c r="X58" i="64"/>
  <c r="X57" i="64"/>
  <c r="X59" i="64"/>
  <c r="C295" i="41"/>
  <c r="C295" i="43"/>
  <c r="C57" i="41"/>
  <c r="C57" i="43"/>
  <c r="K2" i="64"/>
  <c r="P30" i="64"/>
  <c r="K16" i="64"/>
  <c r="K30" i="64"/>
  <c r="P2" i="64"/>
  <c r="P16" i="64"/>
  <c r="A30" i="62"/>
  <c r="A2" i="64"/>
  <c r="A16" i="64"/>
  <c r="A30" i="64"/>
  <c r="E30" i="62"/>
  <c r="A2" i="62"/>
  <c r="E2" i="62"/>
  <c r="A16" i="62"/>
  <c r="I16" i="62"/>
  <c r="M16" i="62"/>
  <c r="F2" i="64"/>
  <c r="F16" i="64"/>
  <c r="F30" i="64"/>
  <c r="A45" i="64"/>
  <c r="F45" i="64"/>
  <c r="M30" i="62"/>
  <c r="E45" i="62"/>
  <c r="E16" i="62"/>
  <c r="A45" i="62"/>
  <c r="M2" i="62"/>
  <c r="I2" i="62"/>
  <c r="H30" i="54"/>
  <c r="H16" i="54"/>
  <c r="H2" i="54"/>
  <c r="U59" i="54"/>
  <c r="U58" i="54"/>
  <c r="U57" i="54"/>
  <c r="P34" i="54"/>
  <c r="AF380" i="43"/>
  <c r="AD380" i="43"/>
  <c r="AB380" i="43"/>
  <c r="Z380" i="43"/>
  <c r="X380" i="43"/>
  <c r="V380" i="43"/>
  <c r="T380" i="43"/>
  <c r="R380" i="43"/>
  <c r="P380" i="43"/>
  <c r="N380" i="43"/>
  <c r="L380" i="43"/>
  <c r="J380" i="43"/>
  <c r="H380" i="43"/>
  <c r="F380" i="43"/>
  <c r="D380" i="43"/>
  <c r="AG376" i="43"/>
  <c r="AG401" i="43" s="1"/>
  <c r="AF376" i="43"/>
  <c r="AF401" i="43" s="1"/>
  <c r="AE376" i="43"/>
  <c r="AE401" i="43" s="1"/>
  <c r="AD376" i="43"/>
  <c r="AD401" i="43" s="1"/>
  <c r="AC376" i="43"/>
  <c r="AC401" i="43" s="1"/>
  <c r="AB376" i="43"/>
  <c r="AB401" i="43" s="1"/>
  <c r="AA376" i="43"/>
  <c r="AA401" i="43" s="1"/>
  <c r="Z376" i="43"/>
  <c r="Z401" i="43" s="1"/>
  <c r="Y376" i="43"/>
  <c r="Y401" i="43" s="1"/>
  <c r="X376" i="43"/>
  <c r="X401" i="43" s="1"/>
  <c r="W376" i="43"/>
  <c r="W401" i="43" s="1"/>
  <c r="V376" i="43"/>
  <c r="V401" i="43" s="1"/>
  <c r="U376" i="43"/>
  <c r="U401" i="43" s="1"/>
  <c r="T376" i="43"/>
  <c r="T401" i="43" s="1"/>
  <c r="S376" i="43"/>
  <c r="S401" i="43" s="1"/>
  <c r="R376" i="43"/>
  <c r="R401" i="43" s="1"/>
  <c r="Q376" i="43"/>
  <c r="Q401" i="43" s="1"/>
  <c r="P376" i="43"/>
  <c r="P401" i="43" s="1"/>
  <c r="O376" i="43"/>
  <c r="O401" i="43" s="1"/>
  <c r="N376" i="43"/>
  <c r="N401" i="43" s="1"/>
  <c r="M376" i="43"/>
  <c r="M401" i="43" s="1"/>
  <c r="L376" i="43"/>
  <c r="L401" i="43" s="1"/>
  <c r="K376" i="43"/>
  <c r="K401" i="43" s="1"/>
  <c r="J376" i="43"/>
  <c r="J401" i="43" s="1"/>
  <c r="I376" i="43"/>
  <c r="I401" i="43" s="1"/>
  <c r="H376" i="43"/>
  <c r="H401" i="43" s="1"/>
  <c r="G376" i="43"/>
  <c r="G401" i="43" s="1"/>
  <c r="F376" i="43"/>
  <c r="F401" i="43" s="1"/>
  <c r="E376" i="43"/>
  <c r="E401" i="43" s="1"/>
  <c r="D376" i="43"/>
  <c r="D401" i="43" s="1"/>
  <c r="AF369" i="43"/>
  <c r="AD369" i="43"/>
  <c r="AB369" i="43"/>
  <c r="Z369" i="43"/>
  <c r="X369" i="43"/>
  <c r="V369" i="43"/>
  <c r="T369" i="43"/>
  <c r="R369" i="43"/>
  <c r="P369" i="43"/>
  <c r="N369" i="43"/>
  <c r="L369" i="43"/>
  <c r="J369" i="43"/>
  <c r="H369" i="43"/>
  <c r="F369" i="43"/>
  <c r="D369" i="43"/>
  <c r="C368" i="43"/>
  <c r="AG400" i="43"/>
  <c r="AF400" i="43"/>
  <c r="AE400" i="43"/>
  <c r="AD400" i="43"/>
  <c r="AC400" i="43"/>
  <c r="AB400" i="43"/>
  <c r="AA400" i="43"/>
  <c r="Z400" i="43"/>
  <c r="Y400" i="43"/>
  <c r="X400" i="43"/>
  <c r="W400" i="43"/>
  <c r="V400" i="43"/>
  <c r="U400" i="43"/>
  <c r="T400" i="43"/>
  <c r="S400" i="43"/>
  <c r="R400" i="43"/>
  <c r="Q400" i="43"/>
  <c r="P400" i="43"/>
  <c r="O400" i="43"/>
  <c r="N400" i="43"/>
  <c r="M400" i="43"/>
  <c r="L400" i="43"/>
  <c r="K400" i="43"/>
  <c r="J400" i="43"/>
  <c r="I400" i="43"/>
  <c r="H400" i="43"/>
  <c r="G400" i="43"/>
  <c r="F400" i="43"/>
  <c r="E400" i="43"/>
  <c r="D400" i="43"/>
  <c r="AF347" i="43"/>
  <c r="AD347" i="43"/>
  <c r="AB347" i="43"/>
  <c r="Z347" i="43"/>
  <c r="X347" i="43"/>
  <c r="V347" i="43"/>
  <c r="T347" i="43"/>
  <c r="R347" i="43"/>
  <c r="P347" i="43"/>
  <c r="N347" i="43"/>
  <c r="L347" i="43"/>
  <c r="J347" i="43"/>
  <c r="H347" i="43"/>
  <c r="F347" i="43"/>
  <c r="D347" i="43"/>
  <c r="AG343" i="43"/>
  <c r="AG399" i="43" s="1"/>
  <c r="AF343" i="43"/>
  <c r="AF399" i="43" s="1"/>
  <c r="AE343" i="43"/>
  <c r="AE399" i="43" s="1"/>
  <c r="AD343" i="43"/>
  <c r="AD399" i="43" s="1"/>
  <c r="AC343" i="43"/>
  <c r="AC399" i="43" s="1"/>
  <c r="AB343" i="43"/>
  <c r="AB399" i="43" s="1"/>
  <c r="AA343" i="43"/>
  <c r="AA399" i="43" s="1"/>
  <c r="Z343" i="43"/>
  <c r="Z399" i="43" s="1"/>
  <c r="Y343" i="43"/>
  <c r="Y399" i="43" s="1"/>
  <c r="X343" i="43"/>
  <c r="X399" i="43" s="1"/>
  <c r="W343" i="43"/>
  <c r="W399" i="43" s="1"/>
  <c r="V343" i="43"/>
  <c r="V399" i="43" s="1"/>
  <c r="U343" i="43"/>
  <c r="U399" i="43" s="1"/>
  <c r="T343" i="43"/>
  <c r="T399" i="43" s="1"/>
  <c r="S343" i="43"/>
  <c r="S399" i="43" s="1"/>
  <c r="R343" i="43"/>
  <c r="R399" i="43" s="1"/>
  <c r="Q343" i="43"/>
  <c r="Q399" i="43" s="1"/>
  <c r="P343" i="43"/>
  <c r="P399" i="43" s="1"/>
  <c r="O343" i="43"/>
  <c r="O399" i="43" s="1"/>
  <c r="N343" i="43"/>
  <c r="N399" i="43" s="1"/>
  <c r="M343" i="43"/>
  <c r="M399" i="43" s="1"/>
  <c r="L343" i="43"/>
  <c r="L399" i="43" s="1"/>
  <c r="K343" i="43"/>
  <c r="K399" i="43" s="1"/>
  <c r="J343" i="43"/>
  <c r="J399" i="43" s="1"/>
  <c r="I343" i="43"/>
  <c r="I399" i="43" s="1"/>
  <c r="H343" i="43"/>
  <c r="H399" i="43" s="1"/>
  <c r="G343" i="43"/>
  <c r="G399" i="43" s="1"/>
  <c r="F343" i="43"/>
  <c r="F399" i="43" s="1"/>
  <c r="E343" i="43"/>
  <c r="E399" i="43" s="1"/>
  <c r="D343" i="43"/>
  <c r="D399" i="43" s="1"/>
  <c r="AF331" i="43"/>
  <c r="AD331" i="43"/>
  <c r="AB331" i="43"/>
  <c r="Z331" i="43"/>
  <c r="X331" i="43"/>
  <c r="V331" i="43"/>
  <c r="T331" i="43"/>
  <c r="R331" i="43"/>
  <c r="P331" i="43"/>
  <c r="N331" i="43"/>
  <c r="L331" i="43"/>
  <c r="J331" i="43"/>
  <c r="H331" i="43"/>
  <c r="F331" i="43"/>
  <c r="D331" i="43"/>
  <c r="AG398" i="43"/>
  <c r="AF398" i="43"/>
  <c r="AE398" i="43"/>
  <c r="AD398" i="43"/>
  <c r="AC398" i="43"/>
  <c r="AB398" i="43"/>
  <c r="AA398" i="43"/>
  <c r="Z398" i="43"/>
  <c r="Y398" i="43"/>
  <c r="X398" i="43"/>
  <c r="W398" i="43"/>
  <c r="V398" i="43"/>
  <c r="U398" i="43"/>
  <c r="T398" i="43"/>
  <c r="S398" i="43"/>
  <c r="R398" i="43"/>
  <c r="Q398" i="43"/>
  <c r="P398" i="43"/>
  <c r="O398" i="43"/>
  <c r="N398" i="43"/>
  <c r="M398" i="43"/>
  <c r="L398" i="43"/>
  <c r="K398" i="43"/>
  <c r="J398" i="43"/>
  <c r="I398" i="43"/>
  <c r="H398" i="43"/>
  <c r="G398" i="43"/>
  <c r="F398" i="43"/>
  <c r="E398" i="43"/>
  <c r="D398" i="43"/>
  <c r="AF296" i="43"/>
  <c r="AD296" i="43"/>
  <c r="AB296" i="43"/>
  <c r="Z296" i="43"/>
  <c r="X296" i="43"/>
  <c r="V296" i="43"/>
  <c r="T296" i="43"/>
  <c r="R296" i="43"/>
  <c r="P296" i="43"/>
  <c r="N296" i="43"/>
  <c r="L296" i="43"/>
  <c r="J296" i="43"/>
  <c r="H296" i="43"/>
  <c r="F296" i="43"/>
  <c r="D296" i="43"/>
  <c r="AG397" i="43"/>
  <c r="AF397" i="43"/>
  <c r="AE397" i="43"/>
  <c r="AD397" i="43"/>
  <c r="AC397" i="43"/>
  <c r="AB397" i="43"/>
  <c r="AA397" i="43"/>
  <c r="Z397" i="43"/>
  <c r="Y397" i="43"/>
  <c r="X397" i="43"/>
  <c r="W397" i="43"/>
  <c r="V397" i="43"/>
  <c r="U397" i="43"/>
  <c r="T397" i="43"/>
  <c r="S397" i="43"/>
  <c r="R397" i="43"/>
  <c r="Q397" i="43"/>
  <c r="P397" i="43"/>
  <c r="O397" i="43"/>
  <c r="N397" i="43"/>
  <c r="M397" i="43"/>
  <c r="L397" i="43"/>
  <c r="K397" i="43"/>
  <c r="J397" i="43"/>
  <c r="I397" i="43"/>
  <c r="H397" i="43"/>
  <c r="G397" i="43"/>
  <c r="F397" i="43"/>
  <c r="E397" i="43"/>
  <c r="D397" i="43"/>
  <c r="AF262" i="43"/>
  <c r="AD262" i="43"/>
  <c r="AB262" i="43"/>
  <c r="Z262" i="43"/>
  <c r="X262" i="43"/>
  <c r="V262" i="43"/>
  <c r="T262" i="43"/>
  <c r="R262" i="43"/>
  <c r="P262" i="43"/>
  <c r="N262" i="43"/>
  <c r="L262" i="43"/>
  <c r="J262" i="43"/>
  <c r="H262" i="43"/>
  <c r="F262" i="43"/>
  <c r="D262" i="43"/>
  <c r="AG258" i="43"/>
  <c r="AG396" i="43" s="1"/>
  <c r="AF258" i="43"/>
  <c r="AF396" i="43" s="1"/>
  <c r="AE258" i="43"/>
  <c r="AE396" i="43" s="1"/>
  <c r="AD258" i="43"/>
  <c r="AD396" i="43" s="1"/>
  <c r="AC258" i="43"/>
  <c r="AC396" i="43" s="1"/>
  <c r="AB258" i="43"/>
  <c r="AB396" i="43" s="1"/>
  <c r="AA258" i="43"/>
  <c r="AA396" i="43" s="1"/>
  <c r="Z258" i="43"/>
  <c r="Z396" i="43" s="1"/>
  <c r="Y258" i="43"/>
  <c r="Y396" i="43" s="1"/>
  <c r="X258" i="43"/>
  <c r="X396" i="43" s="1"/>
  <c r="W258" i="43"/>
  <c r="W396" i="43" s="1"/>
  <c r="V258" i="43"/>
  <c r="V396" i="43" s="1"/>
  <c r="U258" i="43"/>
  <c r="U396" i="43" s="1"/>
  <c r="T258" i="43"/>
  <c r="T396" i="43" s="1"/>
  <c r="S258" i="43"/>
  <c r="S396" i="43" s="1"/>
  <c r="R258" i="43"/>
  <c r="R396" i="43" s="1"/>
  <c r="Q258" i="43"/>
  <c r="Q396" i="43" s="1"/>
  <c r="P258" i="43"/>
  <c r="P396" i="43" s="1"/>
  <c r="O258" i="43"/>
  <c r="O396" i="43" s="1"/>
  <c r="N258" i="43"/>
  <c r="N396" i="43" s="1"/>
  <c r="M258" i="43"/>
  <c r="M396" i="43" s="1"/>
  <c r="L258" i="43"/>
  <c r="L396" i="43" s="1"/>
  <c r="K258" i="43"/>
  <c r="K396" i="43" s="1"/>
  <c r="J258" i="43"/>
  <c r="J396" i="43" s="1"/>
  <c r="I258" i="43"/>
  <c r="I396" i="43" s="1"/>
  <c r="H258" i="43"/>
  <c r="H396" i="43" s="1"/>
  <c r="G258" i="43"/>
  <c r="G396" i="43" s="1"/>
  <c r="F258" i="43"/>
  <c r="F396" i="43" s="1"/>
  <c r="E258" i="43"/>
  <c r="E396" i="43" s="1"/>
  <c r="D258" i="43"/>
  <c r="D396" i="43" s="1"/>
  <c r="AF250" i="43"/>
  <c r="AD250" i="43"/>
  <c r="AB250" i="43"/>
  <c r="Z250" i="43"/>
  <c r="X250" i="43"/>
  <c r="V250" i="43"/>
  <c r="T250" i="43"/>
  <c r="R250" i="43"/>
  <c r="P250" i="43"/>
  <c r="N250" i="43"/>
  <c r="L250" i="43"/>
  <c r="J250" i="43"/>
  <c r="H250" i="43"/>
  <c r="F250" i="43"/>
  <c r="D250" i="43"/>
  <c r="AG394" i="43"/>
  <c r="AF394" i="43"/>
  <c r="AE394" i="43"/>
  <c r="AD394" i="43"/>
  <c r="AC394" i="43"/>
  <c r="AB394" i="43"/>
  <c r="AA394" i="43"/>
  <c r="Z394" i="43"/>
  <c r="Y394" i="43"/>
  <c r="X394" i="43"/>
  <c r="W394" i="43"/>
  <c r="V394" i="43"/>
  <c r="U394" i="43"/>
  <c r="T394" i="43"/>
  <c r="S394" i="43"/>
  <c r="R394" i="43"/>
  <c r="Q394" i="43"/>
  <c r="P394" i="43"/>
  <c r="O394" i="43"/>
  <c r="N394" i="43"/>
  <c r="M394" i="43"/>
  <c r="L394" i="43"/>
  <c r="K394" i="43"/>
  <c r="J394" i="43"/>
  <c r="I394" i="43"/>
  <c r="H394" i="43"/>
  <c r="G394" i="43"/>
  <c r="F394" i="43"/>
  <c r="E394" i="43"/>
  <c r="D394" i="43"/>
  <c r="AF225" i="43"/>
  <c r="AD225" i="43"/>
  <c r="AB225" i="43"/>
  <c r="Z225" i="43"/>
  <c r="X225" i="43"/>
  <c r="V225" i="43"/>
  <c r="T225" i="43"/>
  <c r="R225" i="43"/>
  <c r="P225" i="43"/>
  <c r="N225" i="43"/>
  <c r="L225" i="43"/>
  <c r="J225" i="43"/>
  <c r="H225" i="43"/>
  <c r="F225" i="43"/>
  <c r="D225" i="43"/>
  <c r="AG221" i="43"/>
  <c r="AG393" i="43" s="1"/>
  <c r="AF221" i="43"/>
  <c r="AF393" i="43" s="1"/>
  <c r="AE221" i="43"/>
  <c r="AE393" i="43" s="1"/>
  <c r="AD221" i="43"/>
  <c r="AD393" i="43" s="1"/>
  <c r="AC221" i="43"/>
  <c r="AC393" i="43" s="1"/>
  <c r="AB221" i="43"/>
  <c r="AB393" i="43" s="1"/>
  <c r="AA221" i="43"/>
  <c r="AA393" i="43" s="1"/>
  <c r="Z221" i="43"/>
  <c r="Z393" i="43" s="1"/>
  <c r="Y221" i="43"/>
  <c r="Y393" i="43" s="1"/>
  <c r="X221" i="43"/>
  <c r="X393" i="43" s="1"/>
  <c r="W221" i="43"/>
  <c r="W393" i="43" s="1"/>
  <c r="V221" i="43"/>
  <c r="V393" i="43" s="1"/>
  <c r="U221" i="43"/>
  <c r="U393" i="43" s="1"/>
  <c r="T221" i="43"/>
  <c r="T393" i="43" s="1"/>
  <c r="S221" i="43"/>
  <c r="S393" i="43" s="1"/>
  <c r="R221" i="43"/>
  <c r="R393" i="43" s="1"/>
  <c r="Q221" i="43"/>
  <c r="Q393" i="43" s="1"/>
  <c r="P221" i="43"/>
  <c r="P393" i="43" s="1"/>
  <c r="O221" i="43"/>
  <c r="O393" i="43" s="1"/>
  <c r="N221" i="43"/>
  <c r="N393" i="43" s="1"/>
  <c r="M221" i="43"/>
  <c r="M393" i="43" s="1"/>
  <c r="L221" i="43"/>
  <c r="L393" i="43" s="1"/>
  <c r="K221" i="43"/>
  <c r="K393" i="43" s="1"/>
  <c r="J221" i="43"/>
  <c r="J393" i="43" s="1"/>
  <c r="I221" i="43"/>
  <c r="I393" i="43" s="1"/>
  <c r="H221" i="43"/>
  <c r="H393" i="43" s="1"/>
  <c r="G221" i="43"/>
  <c r="G393" i="43" s="1"/>
  <c r="F221" i="43"/>
  <c r="F393" i="43" s="1"/>
  <c r="E221" i="43"/>
  <c r="E393" i="43" s="1"/>
  <c r="D221" i="43"/>
  <c r="D393" i="43" s="1"/>
  <c r="AF200" i="43"/>
  <c r="AD200" i="43"/>
  <c r="AB200" i="43"/>
  <c r="Z200" i="43"/>
  <c r="X200" i="43"/>
  <c r="V200" i="43"/>
  <c r="T200" i="43"/>
  <c r="R200" i="43"/>
  <c r="P200" i="43"/>
  <c r="N200" i="43"/>
  <c r="L200" i="43"/>
  <c r="J200" i="43"/>
  <c r="H200" i="43"/>
  <c r="F200" i="43"/>
  <c r="D200" i="43"/>
  <c r="AG392" i="43"/>
  <c r="AF392" i="43"/>
  <c r="AE392" i="43"/>
  <c r="AD392" i="43"/>
  <c r="AC392" i="43"/>
  <c r="AB392" i="43"/>
  <c r="AA392" i="43"/>
  <c r="Z392" i="43"/>
  <c r="Y392" i="43"/>
  <c r="X392" i="43"/>
  <c r="W392" i="43"/>
  <c r="V392" i="43"/>
  <c r="U392" i="43"/>
  <c r="T392" i="43"/>
  <c r="S392" i="43"/>
  <c r="R392" i="43"/>
  <c r="Q392" i="43"/>
  <c r="P392" i="43"/>
  <c r="O392" i="43"/>
  <c r="N392" i="43"/>
  <c r="M392" i="43"/>
  <c r="L392" i="43"/>
  <c r="K392" i="43"/>
  <c r="J392" i="43"/>
  <c r="I392" i="43"/>
  <c r="H392" i="43"/>
  <c r="G392" i="43"/>
  <c r="F392" i="43"/>
  <c r="E392" i="43"/>
  <c r="D392" i="43"/>
  <c r="AF164" i="43"/>
  <c r="AD164" i="43"/>
  <c r="AB164" i="43"/>
  <c r="Z164" i="43"/>
  <c r="X164" i="43"/>
  <c r="V164" i="43"/>
  <c r="T164" i="43"/>
  <c r="R164" i="43"/>
  <c r="P164" i="43"/>
  <c r="N164" i="43"/>
  <c r="L164" i="43"/>
  <c r="J164" i="43"/>
  <c r="H164" i="43"/>
  <c r="F164" i="43"/>
  <c r="D164" i="43"/>
  <c r="AG160" i="43"/>
  <c r="AG391" i="43" s="1"/>
  <c r="AF160" i="43"/>
  <c r="AF391" i="43" s="1"/>
  <c r="AE160" i="43"/>
  <c r="AE391" i="43" s="1"/>
  <c r="AD160" i="43"/>
  <c r="AD391" i="43" s="1"/>
  <c r="AC160" i="43"/>
  <c r="AC391" i="43" s="1"/>
  <c r="AB160" i="43"/>
  <c r="AB391" i="43" s="1"/>
  <c r="AA160" i="43"/>
  <c r="AA391" i="43" s="1"/>
  <c r="Z160" i="43"/>
  <c r="Z391" i="43" s="1"/>
  <c r="Y160" i="43"/>
  <c r="Y391" i="43" s="1"/>
  <c r="X160" i="43"/>
  <c r="X391" i="43" s="1"/>
  <c r="W160" i="43"/>
  <c r="W391" i="43" s="1"/>
  <c r="V160" i="43"/>
  <c r="V391" i="43" s="1"/>
  <c r="U160" i="43"/>
  <c r="U391" i="43" s="1"/>
  <c r="T160" i="43"/>
  <c r="T391" i="43" s="1"/>
  <c r="S160" i="43"/>
  <c r="S391" i="43" s="1"/>
  <c r="R160" i="43"/>
  <c r="R391" i="43" s="1"/>
  <c r="Q160" i="43"/>
  <c r="Q391" i="43" s="1"/>
  <c r="P160" i="43"/>
  <c r="P391" i="43" s="1"/>
  <c r="O160" i="43"/>
  <c r="O391" i="43" s="1"/>
  <c r="N160" i="43"/>
  <c r="N391" i="43" s="1"/>
  <c r="M160" i="43"/>
  <c r="M391" i="43" s="1"/>
  <c r="L160" i="43"/>
  <c r="L391" i="43" s="1"/>
  <c r="K160" i="43"/>
  <c r="K391" i="43" s="1"/>
  <c r="J160" i="43"/>
  <c r="J391" i="43" s="1"/>
  <c r="I160" i="43"/>
  <c r="I391" i="43" s="1"/>
  <c r="H160" i="43"/>
  <c r="H391" i="43" s="1"/>
  <c r="G160" i="43"/>
  <c r="G391" i="43" s="1"/>
  <c r="F160" i="43"/>
  <c r="F391" i="43" s="1"/>
  <c r="E160" i="43"/>
  <c r="E391" i="43" s="1"/>
  <c r="D160" i="43"/>
  <c r="D391" i="43" s="1"/>
  <c r="AF146" i="43"/>
  <c r="AD146" i="43"/>
  <c r="AB146" i="43"/>
  <c r="Z146" i="43"/>
  <c r="X146" i="43"/>
  <c r="V146" i="43"/>
  <c r="T146" i="43"/>
  <c r="R146" i="43"/>
  <c r="P146" i="43"/>
  <c r="N146" i="43"/>
  <c r="L146" i="43"/>
  <c r="J146" i="43"/>
  <c r="H146" i="43"/>
  <c r="F146" i="43"/>
  <c r="D146" i="43"/>
  <c r="AG390" i="43"/>
  <c r="AF390" i="43"/>
  <c r="AE390" i="43"/>
  <c r="AD390" i="43"/>
  <c r="AC390" i="43"/>
  <c r="AB390" i="43"/>
  <c r="AA390" i="43"/>
  <c r="Z390" i="43"/>
  <c r="Y390" i="43"/>
  <c r="X390" i="43"/>
  <c r="W390" i="43"/>
  <c r="V390" i="43"/>
  <c r="U390" i="43"/>
  <c r="T390" i="43"/>
  <c r="S390" i="43"/>
  <c r="R390" i="43"/>
  <c r="Q390" i="43"/>
  <c r="P390" i="43"/>
  <c r="O390" i="43"/>
  <c r="N390" i="43"/>
  <c r="M390" i="43"/>
  <c r="L390" i="43"/>
  <c r="K390" i="43"/>
  <c r="J390" i="43"/>
  <c r="I390" i="43"/>
  <c r="H390" i="43"/>
  <c r="G390" i="43"/>
  <c r="F390" i="43"/>
  <c r="E390" i="43"/>
  <c r="D390" i="43"/>
  <c r="AF130" i="43"/>
  <c r="AD130" i="43"/>
  <c r="AB130" i="43"/>
  <c r="Z130" i="43"/>
  <c r="X130" i="43"/>
  <c r="V130" i="43"/>
  <c r="T130" i="43"/>
  <c r="R130" i="43"/>
  <c r="P130" i="43"/>
  <c r="N130" i="43"/>
  <c r="L130" i="43"/>
  <c r="J130" i="43"/>
  <c r="H130" i="43"/>
  <c r="F130" i="43"/>
  <c r="D130" i="43"/>
  <c r="AG126" i="43"/>
  <c r="AG389" i="43" s="1"/>
  <c r="AF126" i="43"/>
  <c r="AF389" i="43" s="1"/>
  <c r="AE126" i="43"/>
  <c r="AE389" i="43" s="1"/>
  <c r="AD126" i="43"/>
  <c r="AD389" i="43" s="1"/>
  <c r="AC126" i="43"/>
  <c r="AC389" i="43" s="1"/>
  <c r="AB126" i="43"/>
  <c r="AB389" i="43" s="1"/>
  <c r="AA126" i="43"/>
  <c r="AA389" i="43" s="1"/>
  <c r="Z126" i="43"/>
  <c r="Z389" i="43" s="1"/>
  <c r="Y126" i="43"/>
  <c r="Y389" i="43" s="1"/>
  <c r="X126" i="43"/>
  <c r="X389" i="43" s="1"/>
  <c r="W126" i="43"/>
  <c r="W389" i="43" s="1"/>
  <c r="V126" i="43"/>
  <c r="V389" i="43" s="1"/>
  <c r="U126" i="43"/>
  <c r="U389" i="43" s="1"/>
  <c r="T126" i="43"/>
  <c r="T389" i="43" s="1"/>
  <c r="S126" i="43"/>
  <c r="S389" i="43" s="1"/>
  <c r="R126" i="43"/>
  <c r="R389" i="43" s="1"/>
  <c r="Q126" i="43"/>
  <c r="Q389" i="43" s="1"/>
  <c r="P126" i="43"/>
  <c r="P389" i="43" s="1"/>
  <c r="O126" i="43"/>
  <c r="O389" i="43" s="1"/>
  <c r="N126" i="43"/>
  <c r="N389" i="43" s="1"/>
  <c r="M126" i="43"/>
  <c r="M389" i="43" s="1"/>
  <c r="L126" i="43"/>
  <c r="L389" i="43" s="1"/>
  <c r="K126" i="43"/>
  <c r="K389" i="43" s="1"/>
  <c r="J126" i="43"/>
  <c r="J389" i="43" s="1"/>
  <c r="I126" i="43"/>
  <c r="I389" i="43" s="1"/>
  <c r="H126" i="43"/>
  <c r="H389" i="43" s="1"/>
  <c r="G126" i="43"/>
  <c r="G389" i="43" s="1"/>
  <c r="F126" i="43"/>
  <c r="F389" i="43" s="1"/>
  <c r="E126" i="43"/>
  <c r="E389" i="43" s="1"/>
  <c r="D126" i="43"/>
  <c r="D389" i="43" s="1"/>
  <c r="AF112" i="43"/>
  <c r="AD112" i="43"/>
  <c r="AB112" i="43"/>
  <c r="Z112" i="43"/>
  <c r="X112" i="43"/>
  <c r="V112" i="43"/>
  <c r="T112" i="43"/>
  <c r="R112" i="43"/>
  <c r="P112" i="43"/>
  <c r="N112" i="43"/>
  <c r="L112" i="43"/>
  <c r="J112" i="43"/>
  <c r="H112" i="43"/>
  <c r="F112" i="43"/>
  <c r="D112" i="43"/>
  <c r="AG108" i="43"/>
  <c r="AG388" i="43" s="1"/>
  <c r="AF108" i="43"/>
  <c r="AF388" i="43" s="1"/>
  <c r="AE108" i="43"/>
  <c r="AE388" i="43" s="1"/>
  <c r="AD108" i="43"/>
  <c r="AD388" i="43" s="1"/>
  <c r="AC108" i="43"/>
  <c r="AC388" i="43" s="1"/>
  <c r="AB108" i="43"/>
  <c r="AB388" i="43" s="1"/>
  <c r="AA108" i="43"/>
  <c r="AA388" i="43" s="1"/>
  <c r="Z108" i="43"/>
  <c r="Z388" i="43" s="1"/>
  <c r="Y108" i="43"/>
  <c r="Y388" i="43" s="1"/>
  <c r="X108" i="43"/>
  <c r="X388" i="43" s="1"/>
  <c r="W108" i="43"/>
  <c r="W388" i="43" s="1"/>
  <c r="V108" i="43"/>
  <c r="V388" i="43" s="1"/>
  <c r="U108" i="43"/>
  <c r="U388" i="43" s="1"/>
  <c r="T108" i="43"/>
  <c r="T388" i="43" s="1"/>
  <c r="S108" i="43"/>
  <c r="S388" i="43" s="1"/>
  <c r="R108" i="43"/>
  <c r="R388" i="43" s="1"/>
  <c r="Q108" i="43"/>
  <c r="Q388" i="43" s="1"/>
  <c r="P108" i="43"/>
  <c r="P388" i="43" s="1"/>
  <c r="O108" i="43"/>
  <c r="O388" i="43" s="1"/>
  <c r="N108" i="43"/>
  <c r="N388" i="43" s="1"/>
  <c r="M108" i="43"/>
  <c r="M388" i="43" s="1"/>
  <c r="L108" i="43"/>
  <c r="L388" i="43" s="1"/>
  <c r="K108" i="43"/>
  <c r="K388" i="43" s="1"/>
  <c r="J108" i="43"/>
  <c r="J388" i="43" s="1"/>
  <c r="I108" i="43"/>
  <c r="I388" i="43" s="1"/>
  <c r="H108" i="43"/>
  <c r="H388" i="43" s="1"/>
  <c r="G108" i="43"/>
  <c r="G388" i="43" s="1"/>
  <c r="F108" i="43"/>
  <c r="F388" i="43" s="1"/>
  <c r="E108" i="43"/>
  <c r="E388" i="43" s="1"/>
  <c r="D108" i="43"/>
  <c r="D388" i="43" s="1"/>
  <c r="AF101" i="43"/>
  <c r="AD101" i="43"/>
  <c r="AB101" i="43"/>
  <c r="Z101" i="43"/>
  <c r="X101" i="43"/>
  <c r="V101" i="43"/>
  <c r="T101" i="43"/>
  <c r="R101" i="43"/>
  <c r="P101" i="43"/>
  <c r="N101" i="43"/>
  <c r="L101" i="43"/>
  <c r="J101" i="43"/>
  <c r="H101" i="43"/>
  <c r="F101" i="43"/>
  <c r="D101" i="43"/>
  <c r="AG97" i="43"/>
  <c r="AG387" i="43" s="1"/>
  <c r="AF97" i="43"/>
  <c r="AF387" i="43" s="1"/>
  <c r="AE97" i="43"/>
  <c r="AE387" i="43" s="1"/>
  <c r="AD97" i="43"/>
  <c r="AD387" i="43" s="1"/>
  <c r="AC97" i="43"/>
  <c r="AC387" i="43" s="1"/>
  <c r="AB97" i="43"/>
  <c r="AB387" i="43" s="1"/>
  <c r="AA97" i="43"/>
  <c r="AA387" i="43" s="1"/>
  <c r="Z97" i="43"/>
  <c r="Z387" i="43" s="1"/>
  <c r="Y97" i="43"/>
  <c r="Y387" i="43" s="1"/>
  <c r="X97" i="43"/>
  <c r="X387" i="43" s="1"/>
  <c r="W97" i="43"/>
  <c r="W387" i="43" s="1"/>
  <c r="V97" i="43"/>
  <c r="V387" i="43" s="1"/>
  <c r="U97" i="43"/>
  <c r="U387" i="43" s="1"/>
  <c r="T97" i="43"/>
  <c r="T387" i="43" s="1"/>
  <c r="S97" i="43"/>
  <c r="S387" i="43" s="1"/>
  <c r="R97" i="43"/>
  <c r="R387" i="43" s="1"/>
  <c r="Q97" i="43"/>
  <c r="Q387" i="43" s="1"/>
  <c r="P97" i="43"/>
  <c r="P387" i="43" s="1"/>
  <c r="O97" i="43"/>
  <c r="O387" i="43" s="1"/>
  <c r="N97" i="43"/>
  <c r="N387" i="43" s="1"/>
  <c r="M97" i="43"/>
  <c r="M387" i="43" s="1"/>
  <c r="L97" i="43"/>
  <c r="L387" i="43" s="1"/>
  <c r="K97" i="43"/>
  <c r="K387" i="43" s="1"/>
  <c r="J97" i="43"/>
  <c r="J387" i="43" s="1"/>
  <c r="I97" i="43"/>
  <c r="I387" i="43" s="1"/>
  <c r="H97" i="43"/>
  <c r="H387" i="43" s="1"/>
  <c r="G97" i="43"/>
  <c r="G387" i="43" s="1"/>
  <c r="F97" i="43"/>
  <c r="F387" i="43" s="1"/>
  <c r="E97" i="43"/>
  <c r="E387" i="43" s="1"/>
  <c r="D97" i="43"/>
  <c r="D387" i="43" s="1"/>
  <c r="AF92" i="43"/>
  <c r="AD92" i="43"/>
  <c r="AB92" i="43"/>
  <c r="Z92" i="43"/>
  <c r="X92" i="43"/>
  <c r="V92" i="43"/>
  <c r="T92" i="43"/>
  <c r="R92" i="43"/>
  <c r="P92" i="43"/>
  <c r="N92" i="43"/>
  <c r="L92" i="43"/>
  <c r="J92" i="43"/>
  <c r="H92" i="43"/>
  <c r="F92" i="43"/>
  <c r="D92" i="43"/>
  <c r="AG386" i="43"/>
  <c r="AF386" i="43"/>
  <c r="AE386" i="43"/>
  <c r="AD386" i="43"/>
  <c r="AC386" i="43"/>
  <c r="AB386" i="43"/>
  <c r="AA386" i="43"/>
  <c r="Z386" i="43"/>
  <c r="Y386" i="43"/>
  <c r="X386" i="43"/>
  <c r="W386" i="43"/>
  <c r="V386" i="43"/>
  <c r="U386" i="43"/>
  <c r="T386" i="43"/>
  <c r="S386" i="43"/>
  <c r="R386" i="43"/>
  <c r="Q386" i="43"/>
  <c r="P386" i="43"/>
  <c r="O386" i="43"/>
  <c r="N386" i="43"/>
  <c r="M386" i="43"/>
  <c r="L386" i="43"/>
  <c r="K386" i="43"/>
  <c r="J386" i="43"/>
  <c r="I386" i="43"/>
  <c r="H386" i="43"/>
  <c r="G386" i="43"/>
  <c r="F386" i="43"/>
  <c r="E386" i="43"/>
  <c r="D386" i="43"/>
  <c r="AF78" i="43"/>
  <c r="AD78" i="43"/>
  <c r="AB78" i="43"/>
  <c r="Z78" i="43"/>
  <c r="X78" i="43"/>
  <c r="V78" i="43"/>
  <c r="T78" i="43"/>
  <c r="R78" i="43"/>
  <c r="P78" i="43"/>
  <c r="N78" i="43"/>
  <c r="L78" i="43"/>
  <c r="J78" i="43"/>
  <c r="H78" i="43"/>
  <c r="F78" i="43"/>
  <c r="D78" i="43"/>
  <c r="AG75" i="43"/>
  <c r="AG385" i="43" s="1"/>
  <c r="AF75" i="43"/>
  <c r="AF385" i="43" s="1"/>
  <c r="AE75" i="43"/>
  <c r="AE385" i="43" s="1"/>
  <c r="AD75" i="43"/>
  <c r="AD385" i="43" s="1"/>
  <c r="AC75" i="43"/>
  <c r="AC385" i="43" s="1"/>
  <c r="AB75" i="43"/>
  <c r="AB385" i="43" s="1"/>
  <c r="AA75" i="43"/>
  <c r="AA385" i="43" s="1"/>
  <c r="Z75" i="43"/>
  <c r="Z385" i="43" s="1"/>
  <c r="Y75" i="43"/>
  <c r="Y385" i="43" s="1"/>
  <c r="X75" i="43"/>
  <c r="X385" i="43" s="1"/>
  <c r="W75" i="43"/>
  <c r="W385" i="43" s="1"/>
  <c r="V75" i="43"/>
  <c r="V385" i="43" s="1"/>
  <c r="U75" i="43"/>
  <c r="U385" i="43" s="1"/>
  <c r="T75" i="43"/>
  <c r="T385" i="43" s="1"/>
  <c r="S75" i="43"/>
  <c r="S385" i="43" s="1"/>
  <c r="R75" i="43"/>
  <c r="R385" i="43" s="1"/>
  <c r="Q75" i="43"/>
  <c r="Q385" i="43" s="1"/>
  <c r="P75" i="43"/>
  <c r="P385" i="43" s="1"/>
  <c r="O75" i="43"/>
  <c r="O385" i="43" s="1"/>
  <c r="N75" i="43"/>
  <c r="N385" i="43" s="1"/>
  <c r="M75" i="43"/>
  <c r="M385" i="43" s="1"/>
  <c r="L75" i="43"/>
  <c r="L385" i="43" s="1"/>
  <c r="K75" i="43"/>
  <c r="K385" i="43" s="1"/>
  <c r="J75" i="43"/>
  <c r="J385" i="43" s="1"/>
  <c r="I75" i="43"/>
  <c r="I385" i="43" s="1"/>
  <c r="H75" i="43"/>
  <c r="H385" i="43" s="1"/>
  <c r="G75" i="43"/>
  <c r="G385" i="43" s="1"/>
  <c r="F75" i="43"/>
  <c r="F385" i="43" s="1"/>
  <c r="E75" i="43"/>
  <c r="E385" i="43" s="1"/>
  <c r="D75" i="43"/>
  <c r="D385" i="43" s="1"/>
  <c r="AF69" i="43"/>
  <c r="AD69" i="43"/>
  <c r="AB69" i="43"/>
  <c r="Z69" i="43"/>
  <c r="X69" i="43"/>
  <c r="V69" i="43"/>
  <c r="T69" i="43"/>
  <c r="R69" i="43"/>
  <c r="P69" i="43"/>
  <c r="N69" i="43"/>
  <c r="L69" i="43"/>
  <c r="J69" i="43"/>
  <c r="H69" i="43"/>
  <c r="F69" i="43"/>
  <c r="D69" i="43"/>
  <c r="AG384" i="43"/>
  <c r="AF384" i="43"/>
  <c r="AE384" i="43"/>
  <c r="AD384" i="43"/>
  <c r="AC384" i="43"/>
  <c r="AB384" i="43"/>
  <c r="AA384" i="43"/>
  <c r="Z384" i="43"/>
  <c r="Y384" i="43"/>
  <c r="X384" i="43"/>
  <c r="W384" i="43"/>
  <c r="V384" i="43"/>
  <c r="U384" i="43"/>
  <c r="T384" i="43"/>
  <c r="S384" i="43"/>
  <c r="R384" i="43"/>
  <c r="Q384" i="43"/>
  <c r="P384" i="43"/>
  <c r="O384" i="43"/>
  <c r="N384" i="43"/>
  <c r="M384" i="43"/>
  <c r="L384" i="43"/>
  <c r="K384" i="43"/>
  <c r="J384" i="43"/>
  <c r="I384" i="43"/>
  <c r="H384" i="43"/>
  <c r="G384" i="43"/>
  <c r="F384" i="43"/>
  <c r="E384" i="43"/>
  <c r="D384" i="43"/>
  <c r="AF58" i="43"/>
  <c r="AD58" i="43"/>
  <c r="AB58" i="43"/>
  <c r="Z58" i="43"/>
  <c r="X58" i="43"/>
  <c r="V58" i="43"/>
  <c r="T58" i="43"/>
  <c r="R58" i="43"/>
  <c r="P58" i="43"/>
  <c r="N58" i="43"/>
  <c r="L58" i="43"/>
  <c r="J58" i="43"/>
  <c r="H58" i="43"/>
  <c r="F58" i="43"/>
  <c r="D58" i="43"/>
  <c r="AG54" i="43"/>
  <c r="AG383" i="43" s="1"/>
  <c r="AF54" i="43"/>
  <c r="AF383" i="43" s="1"/>
  <c r="AE54" i="43"/>
  <c r="AE383" i="43" s="1"/>
  <c r="AD54" i="43"/>
  <c r="AD383" i="43" s="1"/>
  <c r="AC54" i="43"/>
  <c r="AC383" i="43" s="1"/>
  <c r="AB54" i="43"/>
  <c r="AB383" i="43" s="1"/>
  <c r="AA54" i="43"/>
  <c r="AA383" i="43" s="1"/>
  <c r="Z54" i="43"/>
  <c r="Z383" i="43" s="1"/>
  <c r="Y54" i="43"/>
  <c r="Y383" i="43" s="1"/>
  <c r="X54" i="43"/>
  <c r="X383" i="43" s="1"/>
  <c r="W54" i="43"/>
  <c r="W383" i="43" s="1"/>
  <c r="V54" i="43"/>
  <c r="V383" i="43" s="1"/>
  <c r="U54" i="43"/>
  <c r="U383" i="43" s="1"/>
  <c r="T54" i="43"/>
  <c r="T383" i="43" s="1"/>
  <c r="S54" i="43"/>
  <c r="S383" i="43" s="1"/>
  <c r="R54" i="43"/>
  <c r="R383" i="43" s="1"/>
  <c r="Q54" i="43"/>
  <c r="Q383" i="43" s="1"/>
  <c r="P54" i="43"/>
  <c r="P383" i="43" s="1"/>
  <c r="O54" i="43"/>
  <c r="O383" i="43" s="1"/>
  <c r="N54" i="43"/>
  <c r="N383" i="43" s="1"/>
  <c r="M54" i="43"/>
  <c r="M383" i="43" s="1"/>
  <c r="L54" i="43"/>
  <c r="L383" i="43" s="1"/>
  <c r="K54" i="43"/>
  <c r="K383" i="43" s="1"/>
  <c r="J54" i="43"/>
  <c r="J383" i="43" s="1"/>
  <c r="I54" i="43"/>
  <c r="I383" i="43" s="1"/>
  <c r="H54" i="43"/>
  <c r="H383" i="43" s="1"/>
  <c r="G54" i="43"/>
  <c r="G383" i="43" s="1"/>
  <c r="F54" i="43"/>
  <c r="F383" i="43" s="1"/>
  <c r="E54" i="43"/>
  <c r="E383" i="43" s="1"/>
  <c r="D54" i="43"/>
  <c r="D383" i="43" s="1"/>
  <c r="AF28" i="43"/>
  <c r="AD28" i="43"/>
  <c r="AB28" i="43"/>
  <c r="Z28" i="43"/>
  <c r="X28" i="43"/>
  <c r="V28" i="43"/>
  <c r="T28" i="43"/>
  <c r="R28" i="43"/>
  <c r="P28" i="43"/>
  <c r="N28" i="43"/>
  <c r="L28" i="43"/>
  <c r="J28" i="43"/>
  <c r="H28" i="43"/>
  <c r="F28" i="43"/>
  <c r="D28" i="43"/>
  <c r="AG382" i="43"/>
  <c r="AF382" i="43"/>
  <c r="AE382" i="43"/>
  <c r="AD382" i="43"/>
  <c r="AC382" i="43"/>
  <c r="AB382" i="43"/>
  <c r="AA382" i="43"/>
  <c r="Z382" i="43"/>
  <c r="Y382" i="43"/>
  <c r="X382" i="43"/>
  <c r="W382" i="43"/>
  <c r="V382" i="43"/>
  <c r="U382" i="43"/>
  <c r="T382" i="43"/>
  <c r="S382" i="43"/>
  <c r="R382" i="43"/>
  <c r="Q382" i="43"/>
  <c r="P382" i="43"/>
  <c r="O382" i="43"/>
  <c r="N382" i="43"/>
  <c r="M382" i="43"/>
  <c r="L382" i="43"/>
  <c r="K382" i="43"/>
  <c r="J382" i="43"/>
  <c r="I382" i="43"/>
  <c r="H382" i="43"/>
  <c r="G382" i="43"/>
  <c r="F382" i="43"/>
  <c r="E382" i="43"/>
  <c r="D382" i="43"/>
  <c r="AF380" i="41"/>
  <c r="AD380" i="41"/>
  <c r="AB380" i="41"/>
  <c r="Z380" i="41"/>
  <c r="X380" i="41"/>
  <c r="V380" i="41"/>
  <c r="T380" i="41"/>
  <c r="R380" i="41"/>
  <c r="P380" i="41"/>
  <c r="N380" i="41"/>
  <c r="L380" i="41"/>
  <c r="J380" i="41"/>
  <c r="H380" i="41"/>
  <c r="F380" i="41"/>
  <c r="D380" i="41"/>
  <c r="AG376" i="41"/>
  <c r="AG401" i="41" s="1"/>
  <c r="AF376" i="41"/>
  <c r="AF401" i="41" s="1"/>
  <c r="AE376" i="41"/>
  <c r="AE401" i="41" s="1"/>
  <c r="AD376" i="41"/>
  <c r="AD401" i="41" s="1"/>
  <c r="AC376" i="41"/>
  <c r="AC401" i="41" s="1"/>
  <c r="AB376" i="41"/>
  <c r="AB401" i="41" s="1"/>
  <c r="AA376" i="41"/>
  <c r="AA401" i="41" s="1"/>
  <c r="Z376" i="41"/>
  <c r="Z401" i="41" s="1"/>
  <c r="Y376" i="41"/>
  <c r="Y401" i="41" s="1"/>
  <c r="X376" i="41"/>
  <c r="X401" i="41" s="1"/>
  <c r="W376" i="41"/>
  <c r="W401" i="41" s="1"/>
  <c r="V376" i="41"/>
  <c r="V401" i="41" s="1"/>
  <c r="U376" i="41"/>
  <c r="U401" i="41" s="1"/>
  <c r="T376" i="41"/>
  <c r="T401" i="41" s="1"/>
  <c r="S376" i="41"/>
  <c r="S401" i="41" s="1"/>
  <c r="R376" i="41"/>
  <c r="R401" i="41" s="1"/>
  <c r="Q376" i="41"/>
  <c r="Q401" i="41" s="1"/>
  <c r="P376" i="41"/>
  <c r="P401" i="41" s="1"/>
  <c r="O376" i="41"/>
  <c r="O401" i="41" s="1"/>
  <c r="N376" i="41"/>
  <c r="N401" i="41" s="1"/>
  <c r="M376" i="41"/>
  <c r="M401" i="41" s="1"/>
  <c r="L376" i="41"/>
  <c r="L401" i="41" s="1"/>
  <c r="K376" i="41"/>
  <c r="K401" i="41" s="1"/>
  <c r="J376" i="41"/>
  <c r="J401" i="41" s="1"/>
  <c r="I376" i="41"/>
  <c r="I401" i="41" s="1"/>
  <c r="H376" i="41"/>
  <c r="H401" i="41" s="1"/>
  <c r="G376" i="41"/>
  <c r="G401" i="41" s="1"/>
  <c r="F376" i="41"/>
  <c r="F401" i="41" s="1"/>
  <c r="E376" i="41"/>
  <c r="E401" i="41" s="1"/>
  <c r="D376" i="41"/>
  <c r="D401" i="41" s="1"/>
  <c r="AF369" i="41"/>
  <c r="AD369" i="41"/>
  <c r="AB369" i="41"/>
  <c r="Z369" i="41"/>
  <c r="X369" i="41"/>
  <c r="V369" i="41"/>
  <c r="T369" i="41"/>
  <c r="R369" i="41"/>
  <c r="P369" i="41"/>
  <c r="N369" i="41"/>
  <c r="L369" i="41"/>
  <c r="J369" i="41"/>
  <c r="H369" i="41"/>
  <c r="F369" i="41"/>
  <c r="D369" i="41"/>
  <c r="C368" i="41"/>
  <c r="AG400" i="41"/>
  <c r="AF400" i="41"/>
  <c r="AE400" i="41"/>
  <c r="AD400" i="41"/>
  <c r="AC400" i="41"/>
  <c r="AB400" i="41"/>
  <c r="AA400" i="41"/>
  <c r="Z400" i="41"/>
  <c r="Y400" i="41"/>
  <c r="X400" i="41"/>
  <c r="W400" i="41"/>
  <c r="V400" i="41"/>
  <c r="U400" i="41"/>
  <c r="T400" i="41"/>
  <c r="S400" i="41"/>
  <c r="R400" i="41"/>
  <c r="Q400" i="41"/>
  <c r="P400" i="41"/>
  <c r="O400" i="41"/>
  <c r="N400" i="41"/>
  <c r="M400" i="41"/>
  <c r="L400" i="41"/>
  <c r="K400" i="41"/>
  <c r="J400" i="41"/>
  <c r="I400" i="41"/>
  <c r="H400" i="41"/>
  <c r="G400" i="41"/>
  <c r="F400" i="41"/>
  <c r="E400" i="41"/>
  <c r="D400" i="41"/>
  <c r="AF347" i="41"/>
  <c r="AD347" i="41"/>
  <c r="AB347" i="41"/>
  <c r="Z347" i="41"/>
  <c r="X347" i="41"/>
  <c r="V347" i="41"/>
  <c r="T347" i="41"/>
  <c r="R347" i="41"/>
  <c r="P347" i="41"/>
  <c r="N347" i="41"/>
  <c r="L347" i="41"/>
  <c r="J347" i="41"/>
  <c r="H347" i="41"/>
  <c r="F347" i="41"/>
  <c r="D347" i="41"/>
  <c r="AG343" i="41"/>
  <c r="AG399" i="41" s="1"/>
  <c r="AF343" i="41"/>
  <c r="AF399" i="41" s="1"/>
  <c r="AE343" i="41"/>
  <c r="AE399" i="41" s="1"/>
  <c r="AD343" i="41"/>
  <c r="AD399" i="41" s="1"/>
  <c r="AC343" i="41"/>
  <c r="AC399" i="41" s="1"/>
  <c r="AB343" i="41"/>
  <c r="AB399" i="41" s="1"/>
  <c r="AA343" i="41"/>
  <c r="AA399" i="41" s="1"/>
  <c r="Z343" i="41"/>
  <c r="Z399" i="41" s="1"/>
  <c r="Y343" i="41"/>
  <c r="Y399" i="41" s="1"/>
  <c r="X343" i="41"/>
  <c r="X399" i="41" s="1"/>
  <c r="W343" i="41"/>
  <c r="W399" i="41" s="1"/>
  <c r="V343" i="41"/>
  <c r="V399" i="41" s="1"/>
  <c r="U343" i="41"/>
  <c r="U399" i="41" s="1"/>
  <c r="T343" i="41"/>
  <c r="T399" i="41" s="1"/>
  <c r="S343" i="41"/>
  <c r="S399" i="41" s="1"/>
  <c r="R343" i="41"/>
  <c r="R399" i="41" s="1"/>
  <c r="Q343" i="41"/>
  <c r="Q399" i="41" s="1"/>
  <c r="P343" i="41"/>
  <c r="P399" i="41" s="1"/>
  <c r="O343" i="41"/>
  <c r="O399" i="41" s="1"/>
  <c r="N343" i="41"/>
  <c r="N399" i="41" s="1"/>
  <c r="M343" i="41"/>
  <c r="M399" i="41" s="1"/>
  <c r="L343" i="41"/>
  <c r="L399" i="41" s="1"/>
  <c r="K343" i="41"/>
  <c r="K399" i="41" s="1"/>
  <c r="J343" i="41"/>
  <c r="J399" i="41" s="1"/>
  <c r="I343" i="41"/>
  <c r="I399" i="41" s="1"/>
  <c r="H343" i="41"/>
  <c r="H399" i="41" s="1"/>
  <c r="G343" i="41"/>
  <c r="G399" i="41" s="1"/>
  <c r="F343" i="41"/>
  <c r="F399" i="41" s="1"/>
  <c r="E343" i="41"/>
  <c r="E399" i="41" s="1"/>
  <c r="D343" i="41"/>
  <c r="D399" i="41" s="1"/>
  <c r="AF331" i="41"/>
  <c r="AD331" i="41"/>
  <c r="AB331" i="41"/>
  <c r="Z331" i="41"/>
  <c r="X331" i="41"/>
  <c r="V331" i="41"/>
  <c r="T331" i="41"/>
  <c r="R331" i="41"/>
  <c r="P331" i="41"/>
  <c r="N331" i="41"/>
  <c r="L331" i="41"/>
  <c r="J331" i="41"/>
  <c r="H331" i="41"/>
  <c r="F331" i="41"/>
  <c r="D331" i="41"/>
  <c r="AG398" i="41"/>
  <c r="AF398" i="41"/>
  <c r="AE398" i="41"/>
  <c r="AD398" i="41"/>
  <c r="AC398" i="41"/>
  <c r="AB398" i="41"/>
  <c r="AA398" i="41"/>
  <c r="Z398" i="41"/>
  <c r="Y398" i="41"/>
  <c r="X398" i="41"/>
  <c r="W398" i="41"/>
  <c r="V398" i="41"/>
  <c r="U398" i="41"/>
  <c r="T398" i="41"/>
  <c r="S398" i="41"/>
  <c r="R398" i="41"/>
  <c r="Q398" i="41"/>
  <c r="P398" i="41"/>
  <c r="O398" i="41"/>
  <c r="N398" i="41"/>
  <c r="M398" i="41"/>
  <c r="L398" i="41"/>
  <c r="K398" i="41"/>
  <c r="J398" i="41"/>
  <c r="I398" i="41"/>
  <c r="H398" i="41"/>
  <c r="G398" i="41"/>
  <c r="F398" i="41"/>
  <c r="E398" i="41"/>
  <c r="D398" i="41"/>
  <c r="AF296" i="41"/>
  <c r="AD296" i="41"/>
  <c r="AB296" i="41"/>
  <c r="Z296" i="41"/>
  <c r="X296" i="41"/>
  <c r="V296" i="41"/>
  <c r="T296" i="41"/>
  <c r="R296" i="41"/>
  <c r="P296" i="41"/>
  <c r="N296" i="41"/>
  <c r="L296" i="41"/>
  <c r="J296" i="41"/>
  <c r="H296" i="41"/>
  <c r="F296" i="41"/>
  <c r="D296" i="41"/>
  <c r="AG397" i="41"/>
  <c r="AF397" i="41"/>
  <c r="AE397" i="41"/>
  <c r="AD397" i="41"/>
  <c r="AC397" i="41"/>
  <c r="AB397" i="41"/>
  <c r="AA397" i="41"/>
  <c r="Z397" i="41"/>
  <c r="Y397" i="41"/>
  <c r="X397" i="41"/>
  <c r="W397" i="41"/>
  <c r="V397" i="41"/>
  <c r="U397" i="41"/>
  <c r="T397" i="41"/>
  <c r="S397" i="41"/>
  <c r="R397" i="41"/>
  <c r="Q397" i="41"/>
  <c r="P397" i="41"/>
  <c r="O397" i="41"/>
  <c r="N397" i="41"/>
  <c r="M397" i="41"/>
  <c r="L397" i="41"/>
  <c r="K397" i="41"/>
  <c r="J397" i="41"/>
  <c r="I397" i="41"/>
  <c r="H397" i="41"/>
  <c r="G397" i="41"/>
  <c r="F397" i="41"/>
  <c r="E397" i="41"/>
  <c r="D397" i="41"/>
  <c r="AF262" i="41"/>
  <c r="AD262" i="41"/>
  <c r="AB262" i="41"/>
  <c r="Z262" i="41"/>
  <c r="X262" i="41"/>
  <c r="V262" i="41"/>
  <c r="T262" i="41"/>
  <c r="R262" i="41"/>
  <c r="P262" i="41"/>
  <c r="N262" i="41"/>
  <c r="L262" i="41"/>
  <c r="J262" i="41"/>
  <c r="H262" i="41"/>
  <c r="F262" i="41"/>
  <c r="D262" i="41"/>
  <c r="AG258" i="41"/>
  <c r="AG396" i="41" s="1"/>
  <c r="AF258" i="41"/>
  <c r="AF396" i="41" s="1"/>
  <c r="AE258" i="41"/>
  <c r="AE396" i="41" s="1"/>
  <c r="AD258" i="41"/>
  <c r="AD396" i="41" s="1"/>
  <c r="AC258" i="41"/>
  <c r="AC396" i="41" s="1"/>
  <c r="AB258" i="41"/>
  <c r="AB396" i="41" s="1"/>
  <c r="AA258" i="41"/>
  <c r="AA396" i="41" s="1"/>
  <c r="Z258" i="41"/>
  <c r="Z396" i="41" s="1"/>
  <c r="Y258" i="41"/>
  <c r="Y396" i="41" s="1"/>
  <c r="X258" i="41"/>
  <c r="X396" i="41" s="1"/>
  <c r="W258" i="41"/>
  <c r="W396" i="41" s="1"/>
  <c r="V258" i="41"/>
  <c r="V396" i="41" s="1"/>
  <c r="U258" i="41"/>
  <c r="U396" i="41" s="1"/>
  <c r="T258" i="41"/>
  <c r="T396" i="41" s="1"/>
  <c r="S258" i="41"/>
  <c r="S396" i="41" s="1"/>
  <c r="R258" i="41"/>
  <c r="R396" i="41" s="1"/>
  <c r="Q258" i="41"/>
  <c r="Q396" i="41" s="1"/>
  <c r="P258" i="41"/>
  <c r="P396" i="41" s="1"/>
  <c r="O258" i="41"/>
  <c r="O396" i="41" s="1"/>
  <c r="N258" i="41"/>
  <c r="N396" i="41" s="1"/>
  <c r="M258" i="41"/>
  <c r="M396" i="41" s="1"/>
  <c r="L258" i="41"/>
  <c r="L396" i="41" s="1"/>
  <c r="K258" i="41"/>
  <c r="K396" i="41" s="1"/>
  <c r="J258" i="41"/>
  <c r="J396" i="41" s="1"/>
  <c r="I258" i="41"/>
  <c r="I396" i="41" s="1"/>
  <c r="H258" i="41"/>
  <c r="H396" i="41" s="1"/>
  <c r="G258" i="41"/>
  <c r="G396" i="41" s="1"/>
  <c r="F258" i="41"/>
  <c r="F396" i="41" s="1"/>
  <c r="E258" i="41"/>
  <c r="E396" i="41" s="1"/>
  <c r="D258" i="41"/>
  <c r="D396" i="41" s="1"/>
  <c r="AF250" i="41"/>
  <c r="AD250" i="41"/>
  <c r="AB250" i="41"/>
  <c r="Z250" i="41"/>
  <c r="X250" i="41"/>
  <c r="V250" i="41"/>
  <c r="T250" i="41"/>
  <c r="R250" i="41"/>
  <c r="P250" i="41"/>
  <c r="N250" i="41"/>
  <c r="L250" i="41"/>
  <c r="J250" i="41"/>
  <c r="H250" i="41"/>
  <c r="F250" i="41"/>
  <c r="D250" i="41"/>
  <c r="AG394" i="41"/>
  <c r="AF394" i="41"/>
  <c r="AE394" i="41"/>
  <c r="AD394" i="41"/>
  <c r="AC394" i="41"/>
  <c r="AB394" i="41"/>
  <c r="AA394" i="41"/>
  <c r="Z394" i="41"/>
  <c r="Y394" i="41"/>
  <c r="X394" i="41"/>
  <c r="W394" i="41"/>
  <c r="V394" i="41"/>
  <c r="U394" i="41"/>
  <c r="T394" i="41"/>
  <c r="S394" i="41"/>
  <c r="R394" i="41"/>
  <c r="Q394" i="41"/>
  <c r="P394" i="41"/>
  <c r="O394" i="41"/>
  <c r="N394" i="41"/>
  <c r="M394" i="41"/>
  <c r="L394" i="41"/>
  <c r="K394" i="41"/>
  <c r="J394" i="41"/>
  <c r="I394" i="41"/>
  <c r="H394" i="41"/>
  <c r="G394" i="41"/>
  <c r="F394" i="41"/>
  <c r="E394" i="41"/>
  <c r="D394" i="41"/>
  <c r="AF225" i="41"/>
  <c r="AD225" i="41"/>
  <c r="AB225" i="41"/>
  <c r="Z225" i="41"/>
  <c r="X225" i="41"/>
  <c r="V225" i="41"/>
  <c r="T225" i="41"/>
  <c r="R225" i="41"/>
  <c r="P225" i="41"/>
  <c r="N225" i="41"/>
  <c r="L225" i="41"/>
  <c r="J225" i="41"/>
  <c r="H225" i="41"/>
  <c r="F225" i="41"/>
  <c r="D225" i="41"/>
  <c r="AG221" i="41"/>
  <c r="AG393" i="41" s="1"/>
  <c r="AF221" i="41"/>
  <c r="AF393" i="41" s="1"/>
  <c r="AE221" i="41"/>
  <c r="AE393" i="41" s="1"/>
  <c r="AD221" i="41"/>
  <c r="AD393" i="41" s="1"/>
  <c r="AC221" i="41"/>
  <c r="AC393" i="41" s="1"/>
  <c r="AB221" i="41"/>
  <c r="AB393" i="41" s="1"/>
  <c r="AA221" i="41"/>
  <c r="AA393" i="41" s="1"/>
  <c r="Z221" i="41"/>
  <c r="Z393" i="41" s="1"/>
  <c r="Y221" i="41"/>
  <c r="Y393" i="41" s="1"/>
  <c r="X221" i="41"/>
  <c r="X393" i="41" s="1"/>
  <c r="W221" i="41"/>
  <c r="W393" i="41" s="1"/>
  <c r="V221" i="41"/>
  <c r="V393" i="41" s="1"/>
  <c r="U221" i="41"/>
  <c r="U393" i="41" s="1"/>
  <c r="T221" i="41"/>
  <c r="T393" i="41" s="1"/>
  <c r="S221" i="41"/>
  <c r="S393" i="41" s="1"/>
  <c r="R221" i="41"/>
  <c r="R393" i="41" s="1"/>
  <c r="Q221" i="41"/>
  <c r="Q393" i="41" s="1"/>
  <c r="P221" i="41"/>
  <c r="P393" i="41" s="1"/>
  <c r="O221" i="41"/>
  <c r="O393" i="41" s="1"/>
  <c r="N221" i="41"/>
  <c r="N393" i="41" s="1"/>
  <c r="M221" i="41"/>
  <c r="M393" i="41" s="1"/>
  <c r="L221" i="41"/>
  <c r="L393" i="41" s="1"/>
  <c r="K221" i="41"/>
  <c r="K393" i="41" s="1"/>
  <c r="J221" i="41"/>
  <c r="J393" i="41" s="1"/>
  <c r="I221" i="41"/>
  <c r="I393" i="41" s="1"/>
  <c r="H221" i="41"/>
  <c r="H393" i="41" s="1"/>
  <c r="G221" i="41"/>
  <c r="G393" i="41" s="1"/>
  <c r="F221" i="41"/>
  <c r="F393" i="41" s="1"/>
  <c r="E221" i="41"/>
  <c r="E393" i="41" s="1"/>
  <c r="D221" i="41"/>
  <c r="D393" i="41" s="1"/>
  <c r="AF200" i="41"/>
  <c r="AD200" i="41"/>
  <c r="AB200" i="41"/>
  <c r="Z200" i="41"/>
  <c r="X200" i="41"/>
  <c r="V200" i="41"/>
  <c r="T200" i="41"/>
  <c r="R200" i="41"/>
  <c r="P200" i="41"/>
  <c r="N200" i="41"/>
  <c r="L200" i="41"/>
  <c r="J200" i="41"/>
  <c r="H200" i="41"/>
  <c r="F200" i="41"/>
  <c r="D200" i="41"/>
  <c r="AG392" i="41"/>
  <c r="AF392" i="41"/>
  <c r="AE392" i="41"/>
  <c r="AD392" i="41"/>
  <c r="AC392" i="41"/>
  <c r="AB392" i="41"/>
  <c r="AA392" i="41"/>
  <c r="Z392" i="41"/>
  <c r="Y392" i="41"/>
  <c r="X392" i="41"/>
  <c r="W392" i="41"/>
  <c r="V392" i="41"/>
  <c r="U392" i="41"/>
  <c r="T392" i="41"/>
  <c r="S392" i="41"/>
  <c r="R392" i="41"/>
  <c r="Q392" i="41"/>
  <c r="P392" i="41"/>
  <c r="O392" i="41"/>
  <c r="N392" i="41"/>
  <c r="M392" i="41"/>
  <c r="L392" i="41"/>
  <c r="K392" i="41"/>
  <c r="J392" i="41"/>
  <c r="I392" i="41"/>
  <c r="H392" i="41"/>
  <c r="G392" i="41"/>
  <c r="F392" i="41"/>
  <c r="E392" i="41"/>
  <c r="D392" i="41"/>
  <c r="AF164" i="41"/>
  <c r="AD164" i="41"/>
  <c r="AB164" i="41"/>
  <c r="Z164" i="41"/>
  <c r="X164" i="41"/>
  <c r="V164" i="41"/>
  <c r="T164" i="41"/>
  <c r="R164" i="41"/>
  <c r="P164" i="41"/>
  <c r="N164" i="41"/>
  <c r="L164" i="41"/>
  <c r="J164" i="41"/>
  <c r="H164" i="41"/>
  <c r="F164" i="41"/>
  <c r="D164" i="41"/>
  <c r="AG160" i="41"/>
  <c r="AG391" i="41" s="1"/>
  <c r="AF160" i="41"/>
  <c r="AF391" i="41" s="1"/>
  <c r="AE160" i="41"/>
  <c r="AE391" i="41" s="1"/>
  <c r="AD160" i="41"/>
  <c r="AD391" i="41" s="1"/>
  <c r="AC160" i="41"/>
  <c r="AC391" i="41" s="1"/>
  <c r="AB160" i="41"/>
  <c r="AB391" i="41" s="1"/>
  <c r="AA160" i="41"/>
  <c r="AA391" i="41" s="1"/>
  <c r="Z160" i="41"/>
  <c r="Z391" i="41" s="1"/>
  <c r="Y160" i="41"/>
  <c r="Y391" i="41" s="1"/>
  <c r="X160" i="41"/>
  <c r="X391" i="41" s="1"/>
  <c r="W160" i="41"/>
  <c r="W391" i="41" s="1"/>
  <c r="V160" i="41"/>
  <c r="V391" i="41" s="1"/>
  <c r="U160" i="41"/>
  <c r="U391" i="41" s="1"/>
  <c r="T160" i="41"/>
  <c r="T391" i="41" s="1"/>
  <c r="S160" i="41"/>
  <c r="S391" i="41" s="1"/>
  <c r="R160" i="41"/>
  <c r="R391" i="41" s="1"/>
  <c r="Q160" i="41"/>
  <c r="Q391" i="41" s="1"/>
  <c r="P160" i="41"/>
  <c r="P391" i="41" s="1"/>
  <c r="O160" i="41"/>
  <c r="O391" i="41" s="1"/>
  <c r="N160" i="41"/>
  <c r="N391" i="41" s="1"/>
  <c r="M160" i="41"/>
  <c r="M391" i="41" s="1"/>
  <c r="L160" i="41"/>
  <c r="L391" i="41" s="1"/>
  <c r="K160" i="41"/>
  <c r="K391" i="41" s="1"/>
  <c r="J160" i="41"/>
  <c r="J391" i="41" s="1"/>
  <c r="I160" i="41"/>
  <c r="I391" i="41" s="1"/>
  <c r="H160" i="41"/>
  <c r="H391" i="41" s="1"/>
  <c r="G160" i="41"/>
  <c r="G391" i="41" s="1"/>
  <c r="F160" i="41"/>
  <c r="F391" i="41" s="1"/>
  <c r="E160" i="41"/>
  <c r="E391" i="41" s="1"/>
  <c r="D160" i="41"/>
  <c r="D391" i="41" s="1"/>
  <c r="AF146" i="41"/>
  <c r="AD146" i="41"/>
  <c r="AB146" i="41"/>
  <c r="Z146" i="41"/>
  <c r="X146" i="41"/>
  <c r="V146" i="41"/>
  <c r="T146" i="41"/>
  <c r="R146" i="41"/>
  <c r="P146" i="41"/>
  <c r="N146" i="41"/>
  <c r="L146" i="41"/>
  <c r="J146" i="41"/>
  <c r="H146" i="41"/>
  <c r="F146" i="41"/>
  <c r="D146" i="41"/>
  <c r="AG142" i="41"/>
  <c r="AG390" i="41" s="1"/>
  <c r="AF142" i="41"/>
  <c r="AF390" i="41" s="1"/>
  <c r="AE142" i="41"/>
  <c r="AE390" i="41" s="1"/>
  <c r="AD142" i="41"/>
  <c r="AD390" i="41" s="1"/>
  <c r="AC142" i="41"/>
  <c r="AC390" i="41" s="1"/>
  <c r="AB142" i="41"/>
  <c r="AB390" i="41" s="1"/>
  <c r="AA142" i="41"/>
  <c r="AA390" i="41" s="1"/>
  <c r="Z142" i="41"/>
  <c r="Z390" i="41" s="1"/>
  <c r="Y142" i="41"/>
  <c r="Y390" i="41" s="1"/>
  <c r="X142" i="41"/>
  <c r="X390" i="41" s="1"/>
  <c r="W142" i="41"/>
  <c r="W390" i="41" s="1"/>
  <c r="V142" i="41"/>
  <c r="V390" i="41" s="1"/>
  <c r="U142" i="41"/>
  <c r="U390" i="41" s="1"/>
  <c r="T142" i="41"/>
  <c r="T390" i="41" s="1"/>
  <c r="S142" i="41"/>
  <c r="S390" i="41" s="1"/>
  <c r="R142" i="41"/>
  <c r="R390" i="41" s="1"/>
  <c r="Q142" i="41"/>
  <c r="Q390" i="41" s="1"/>
  <c r="P142" i="41"/>
  <c r="P390" i="41" s="1"/>
  <c r="O142" i="41"/>
  <c r="O390" i="41" s="1"/>
  <c r="N142" i="41"/>
  <c r="N390" i="41" s="1"/>
  <c r="M142" i="41"/>
  <c r="M390" i="41" s="1"/>
  <c r="L142" i="41"/>
  <c r="L390" i="41" s="1"/>
  <c r="K142" i="41"/>
  <c r="K390" i="41" s="1"/>
  <c r="J142" i="41"/>
  <c r="J390" i="41" s="1"/>
  <c r="I142" i="41"/>
  <c r="I390" i="41" s="1"/>
  <c r="H142" i="41"/>
  <c r="H390" i="41" s="1"/>
  <c r="G142" i="41"/>
  <c r="G390" i="41" s="1"/>
  <c r="F142" i="41"/>
  <c r="F390" i="41" s="1"/>
  <c r="E142" i="41"/>
  <c r="E390" i="41" s="1"/>
  <c r="D142" i="41"/>
  <c r="D390" i="41" s="1"/>
  <c r="AF130" i="41"/>
  <c r="AD130" i="41"/>
  <c r="AB130" i="41"/>
  <c r="Z130" i="41"/>
  <c r="X130" i="41"/>
  <c r="V130" i="41"/>
  <c r="T130" i="41"/>
  <c r="R130" i="41"/>
  <c r="P130" i="41"/>
  <c r="N130" i="41"/>
  <c r="L130" i="41"/>
  <c r="J130" i="41"/>
  <c r="H130" i="41"/>
  <c r="F130" i="41"/>
  <c r="D130" i="41"/>
  <c r="AG126" i="41"/>
  <c r="AG389" i="41" s="1"/>
  <c r="AF126" i="41"/>
  <c r="AF389" i="41" s="1"/>
  <c r="AE126" i="41"/>
  <c r="AE389" i="41" s="1"/>
  <c r="AD126" i="41"/>
  <c r="AD389" i="41" s="1"/>
  <c r="AC126" i="41"/>
  <c r="AC389" i="41" s="1"/>
  <c r="AB126" i="41"/>
  <c r="AB389" i="41" s="1"/>
  <c r="AA126" i="41"/>
  <c r="AA389" i="41" s="1"/>
  <c r="Z126" i="41"/>
  <c r="Z389" i="41" s="1"/>
  <c r="Y126" i="41"/>
  <c r="Y389" i="41" s="1"/>
  <c r="X126" i="41"/>
  <c r="X389" i="41" s="1"/>
  <c r="W126" i="41"/>
  <c r="W389" i="41" s="1"/>
  <c r="V126" i="41"/>
  <c r="V389" i="41" s="1"/>
  <c r="U126" i="41"/>
  <c r="U389" i="41" s="1"/>
  <c r="T126" i="41"/>
  <c r="T389" i="41" s="1"/>
  <c r="S126" i="41"/>
  <c r="S389" i="41" s="1"/>
  <c r="R126" i="41"/>
  <c r="R389" i="41" s="1"/>
  <c r="Q126" i="41"/>
  <c r="Q389" i="41" s="1"/>
  <c r="P126" i="41"/>
  <c r="P389" i="41" s="1"/>
  <c r="O126" i="41"/>
  <c r="O389" i="41" s="1"/>
  <c r="N126" i="41"/>
  <c r="N389" i="41" s="1"/>
  <c r="M126" i="41"/>
  <c r="M389" i="41" s="1"/>
  <c r="L126" i="41"/>
  <c r="L389" i="41" s="1"/>
  <c r="K126" i="41"/>
  <c r="K389" i="41" s="1"/>
  <c r="J126" i="41"/>
  <c r="J389" i="41" s="1"/>
  <c r="I126" i="41"/>
  <c r="I389" i="41" s="1"/>
  <c r="H126" i="41"/>
  <c r="H389" i="41" s="1"/>
  <c r="G126" i="41"/>
  <c r="G389" i="41" s="1"/>
  <c r="F126" i="41"/>
  <c r="F389" i="41" s="1"/>
  <c r="E126" i="41"/>
  <c r="E389" i="41" s="1"/>
  <c r="D126" i="41"/>
  <c r="D389" i="41" s="1"/>
  <c r="AF112" i="41"/>
  <c r="AD112" i="41"/>
  <c r="AB112" i="41"/>
  <c r="Z112" i="41"/>
  <c r="X112" i="41"/>
  <c r="V112" i="41"/>
  <c r="T112" i="41"/>
  <c r="R112" i="41"/>
  <c r="P112" i="41"/>
  <c r="N112" i="41"/>
  <c r="L112" i="41"/>
  <c r="J112" i="41"/>
  <c r="H112" i="41"/>
  <c r="F112" i="41"/>
  <c r="D112" i="41"/>
  <c r="AG108" i="41"/>
  <c r="AG388" i="41" s="1"/>
  <c r="AF108" i="41"/>
  <c r="AF388" i="41" s="1"/>
  <c r="AE108" i="41"/>
  <c r="AE388" i="41" s="1"/>
  <c r="AD108" i="41"/>
  <c r="AD388" i="41" s="1"/>
  <c r="AC108" i="41"/>
  <c r="AC388" i="41" s="1"/>
  <c r="AB108" i="41"/>
  <c r="AB388" i="41" s="1"/>
  <c r="AA108" i="41"/>
  <c r="AA388" i="41" s="1"/>
  <c r="Z108" i="41"/>
  <c r="Z388" i="41" s="1"/>
  <c r="Y108" i="41"/>
  <c r="Y388" i="41" s="1"/>
  <c r="X108" i="41"/>
  <c r="X388" i="41" s="1"/>
  <c r="W108" i="41"/>
  <c r="W388" i="41" s="1"/>
  <c r="V108" i="41"/>
  <c r="V388" i="41" s="1"/>
  <c r="U108" i="41"/>
  <c r="U388" i="41" s="1"/>
  <c r="T108" i="41"/>
  <c r="T388" i="41" s="1"/>
  <c r="S108" i="41"/>
  <c r="S388" i="41" s="1"/>
  <c r="R108" i="41"/>
  <c r="R388" i="41" s="1"/>
  <c r="Q108" i="41"/>
  <c r="Q388" i="41" s="1"/>
  <c r="P108" i="41"/>
  <c r="P388" i="41" s="1"/>
  <c r="O108" i="41"/>
  <c r="O388" i="41" s="1"/>
  <c r="N108" i="41"/>
  <c r="N388" i="41" s="1"/>
  <c r="M108" i="41"/>
  <c r="M388" i="41" s="1"/>
  <c r="L108" i="41"/>
  <c r="L388" i="41" s="1"/>
  <c r="K108" i="41"/>
  <c r="K388" i="41" s="1"/>
  <c r="J108" i="41"/>
  <c r="J388" i="41" s="1"/>
  <c r="I108" i="41"/>
  <c r="I388" i="41" s="1"/>
  <c r="H108" i="41"/>
  <c r="H388" i="41" s="1"/>
  <c r="G108" i="41"/>
  <c r="G388" i="41" s="1"/>
  <c r="F108" i="41"/>
  <c r="F388" i="41" s="1"/>
  <c r="E108" i="41"/>
  <c r="E388" i="41" s="1"/>
  <c r="D108" i="41"/>
  <c r="D388" i="41" s="1"/>
  <c r="AF101" i="41"/>
  <c r="AD101" i="41"/>
  <c r="AB101" i="41"/>
  <c r="Z101" i="41"/>
  <c r="X101" i="41"/>
  <c r="V101" i="41"/>
  <c r="T101" i="41"/>
  <c r="R101" i="41"/>
  <c r="P101" i="41"/>
  <c r="N101" i="41"/>
  <c r="L101" i="41"/>
  <c r="J101" i="41"/>
  <c r="H101" i="41"/>
  <c r="F101" i="41"/>
  <c r="D101" i="41"/>
  <c r="AG97" i="41"/>
  <c r="AG387" i="41" s="1"/>
  <c r="AF97" i="41"/>
  <c r="AF387" i="41" s="1"/>
  <c r="AE97" i="41"/>
  <c r="AE387" i="41" s="1"/>
  <c r="AD97" i="41"/>
  <c r="AD387" i="41" s="1"/>
  <c r="AC97" i="41"/>
  <c r="AC387" i="41" s="1"/>
  <c r="AB97" i="41"/>
  <c r="AB387" i="41" s="1"/>
  <c r="AA97" i="41"/>
  <c r="AA387" i="41" s="1"/>
  <c r="Z97" i="41"/>
  <c r="Z387" i="41" s="1"/>
  <c r="Y97" i="41"/>
  <c r="Y387" i="41" s="1"/>
  <c r="X97" i="41"/>
  <c r="X387" i="41" s="1"/>
  <c r="W97" i="41"/>
  <c r="W387" i="41" s="1"/>
  <c r="V97" i="41"/>
  <c r="V387" i="41" s="1"/>
  <c r="U97" i="41"/>
  <c r="U387" i="41" s="1"/>
  <c r="T97" i="41"/>
  <c r="T387" i="41" s="1"/>
  <c r="S97" i="41"/>
  <c r="S387" i="41" s="1"/>
  <c r="R97" i="41"/>
  <c r="R387" i="41" s="1"/>
  <c r="Q97" i="41"/>
  <c r="Q387" i="41" s="1"/>
  <c r="P97" i="41"/>
  <c r="P387" i="41" s="1"/>
  <c r="O97" i="41"/>
  <c r="O387" i="41" s="1"/>
  <c r="N97" i="41"/>
  <c r="N387" i="41" s="1"/>
  <c r="M97" i="41"/>
  <c r="M387" i="41" s="1"/>
  <c r="L97" i="41"/>
  <c r="L387" i="41" s="1"/>
  <c r="K97" i="41"/>
  <c r="K387" i="41" s="1"/>
  <c r="J97" i="41"/>
  <c r="J387" i="41" s="1"/>
  <c r="I97" i="41"/>
  <c r="I387" i="41" s="1"/>
  <c r="H97" i="41"/>
  <c r="H387" i="41" s="1"/>
  <c r="G97" i="41"/>
  <c r="G387" i="41" s="1"/>
  <c r="F97" i="41"/>
  <c r="F387" i="41" s="1"/>
  <c r="E97" i="41"/>
  <c r="E387" i="41" s="1"/>
  <c r="D97" i="41"/>
  <c r="D387" i="41" s="1"/>
  <c r="AF92" i="41"/>
  <c r="AD92" i="41"/>
  <c r="AB92" i="41"/>
  <c r="Z92" i="41"/>
  <c r="X92" i="41"/>
  <c r="V92" i="41"/>
  <c r="T92" i="41"/>
  <c r="R92" i="41"/>
  <c r="P92" i="41"/>
  <c r="N92" i="41"/>
  <c r="L92" i="41"/>
  <c r="J92" i="41"/>
  <c r="H92" i="41"/>
  <c r="F92" i="41"/>
  <c r="D92" i="41"/>
  <c r="AG386" i="41"/>
  <c r="AF386" i="41"/>
  <c r="AE386" i="41"/>
  <c r="AD386" i="41"/>
  <c r="AC386" i="41"/>
  <c r="AB386" i="41"/>
  <c r="AA386" i="41"/>
  <c r="Z386" i="41"/>
  <c r="Y386" i="41"/>
  <c r="X386" i="41"/>
  <c r="W386" i="41"/>
  <c r="V386" i="41"/>
  <c r="U386" i="41"/>
  <c r="T386" i="41"/>
  <c r="S386" i="41"/>
  <c r="R386" i="41"/>
  <c r="Q386" i="41"/>
  <c r="P386" i="41"/>
  <c r="O386" i="41"/>
  <c r="N386" i="41"/>
  <c r="M386" i="41"/>
  <c r="L386" i="41"/>
  <c r="K386" i="41"/>
  <c r="J386" i="41"/>
  <c r="I386" i="41"/>
  <c r="H386" i="41"/>
  <c r="G386" i="41"/>
  <c r="F386" i="41"/>
  <c r="E386" i="41"/>
  <c r="D386" i="41"/>
  <c r="AF78" i="41"/>
  <c r="AD78" i="41"/>
  <c r="AB78" i="41"/>
  <c r="Z78" i="41"/>
  <c r="X78" i="41"/>
  <c r="V78" i="41"/>
  <c r="T78" i="41"/>
  <c r="R78" i="41"/>
  <c r="P78" i="41"/>
  <c r="N78" i="41"/>
  <c r="L78" i="41"/>
  <c r="J78" i="41"/>
  <c r="H78" i="41"/>
  <c r="F78" i="41"/>
  <c r="D78" i="41"/>
  <c r="AG75" i="41"/>
  <c r="AG385" i="41" s="1"/>
  <c r="AF75" i="41"/>
  <c r="AF385" i="41" s="1"/>
  <c r="AE75" i="41"/>
  <c r="AE385" i="41" s="1"/>
  <c r="AD75" i="41"/>
  <c r="AD385" i="41" s="1"/>
  <c r="AC75" i="41"/>
  <c r="AC385" i="41" s="1"/>
  <c r="AB75" i="41"/>
  <c r="AB385" i="41" s="1"/>
  <c r="AA75" i="41"/>
  <c r="AA385" i="41" s="1"/>
  <c r="Z75" i="41"/>
  <c r="Z385" i="41" s="1"/>
  <c r="Y75" i="41"/>
  <c r="Y385" i="41" s="1"/>
  <c r="X75" i="41"/>
  <c r="X385" i="41" s="1"/>
  <c r="W75" i="41"/>
  <c r="W385" i="41" s="1"/>
  <c r="V75" i="41"/>
  <c r="V385" i="41" s="1"/>
  <c r="U75" i="41"/>
  <c r="U385" i="41" s="1"/>
  <c r="T75" i="41"/>
  <c r="T385" i="41" s="1"/>
  <c r="S75" i="41"/>
  <c r="S385" i="41" s="1"/>
  <c r="R75" i="41"/>
  <c r="R385" i="41" s="1"/>
  <c r="Q75" i="41"/>
  <c r="Q385" i="41" s="1"/>
  <c r="P75" i="41"/>
  <c r="P385" i="41" s="1"/>
  <c r="O75" i="41"/>
  <c r="O385" i="41" s="1"/>
  <c r="N75" i="41"/>
  <c r="N385" i="41" s="1"/>
  <c r="M75" i="41"/>
  <c r="M385" i="41" s="1"/>
  <c r="L75" i="41"/>
  <c r="L385" i="41" s="1"/>
  <c r="K75" i="41"/>
  <c r="K385" i="41" s="1"/>
  <c r="J75" i="41"/>
  <c r="J385" i="41" s="1"/>
  <c r="I75" i="41"/>
  <c r="I385" i="41" s="1"/>
  <c r="H75" i="41"/>
  <c r="H385" i="41" s="1"/>
  <c r="G75" i="41"/>
  <c r="G385" i="41" s="1"/>
  <c r="F75" i="41"/>
  <c r="F385" i="41" s="1"/>
  <c r="E75" i="41"/>
  <c r="E385" i="41" s="1"/>
  <c r="D75" i="41"/>
  <c r="D385" i="41" s="1"/>
  <c r="AF69" i="41"/>
  <c r="AD69" i="41"/>
  <c r="AB69" i="41"/>
  <c r="Z69" i="41"/>
  <c r="X69" i="41"/>
  <c r="V69" i="41"/>
  <c r="T69" i="41"/>
  <c r="R69" i="41"/>
  <c r="P69" i="41"/>
  <c r="N69" i="41"/>
  <c r="L69" i="41"/>
  <c r="J69" i="41"/>
  <c r="H69" i="41"/>
  <c r="F69" i="41"/>
  <c r="D69" i="41"/>
  <c r="AG384" i="41"/>
  <c r="AF384" i="41"/>
  <c r="AE384" i="41"/>
  <c r="AD384" i="41"/>
  <c r="AC384" i="41"/>
  <c r="AB384" i="41"/>
  <c r="AA384" i="41"/>
  <c r="Z384" i="41"/>
  <c r="Y384" i="41"/>
  <c r="X384" i="41"/>
  <c r="W384" i="41"/>
  <c r="V384" i="41"/>
  <c r="U384" i="41"/>
  <c r="T384" i="41"/>
  <c r="S384" i="41"/>
  <c r="R384" i="41"/>
  <c r="Q384" i="41"/>
  <c r="P384" i="41"/>
  <c r="O384" i="41"/>
  <c r="N384" i="41"/>
  <c r="M384" i="41"/>
  <c r="L384" i="41"/>
  <c r="K384" i="41"/>
  <c r="J384" i="41"/>
  <c r="I384" i="41"/>
  <c r="H384" i="41"/>
  <c r="G384" i="41"/>
  <c r="F384" i="41"/>
  <c r="E384" i="41"/>
  <c r="D384" i="41"/>
  <c r="AF58" i="41"/>
  <c r="AD58" i="41"/>
  <c r="AB58" i="41"/>
  <c r="Z58" i="41"/>
  <c r="X58" i="41"/>
  <c r="V58" i="41"/>
  <c r="T58" i="41"/>
  <c r="R58" i="41"/>
  <c r="P58" i="41"/>
  <c r="N58" i="41"/>
  <c r="L58" i="41"/>
  <c r="J58" i="41"/>
  <c r="H58" i="41"/>
  <c r="F58" i="41"/>
  <c r="D58" i="41"/>
  <c r="AG54" i="41"/>
  <c r="AG383" i="41" s="1"/>
  <c r="AF54" i="41"/>
  <c r="AF383" i="41" s="1"/>
  <c r="AE54" i="41"/>
  <c r="AE383" i="41" s="1"/>
  <c r="AD54" i="41"/>
  <c r="AD383" i="41" s="1"/>
  <c r="AC54" i="41"/>
  <c r="AC383" i="41" s="1"/>
  <c r="AB54" i="41"/>
  <c r="AB383" i="41" s="1"/>
  <c r="AA54" i="41"/>
  <c r="AA383" i="41" s="1"/>
  <c r="Z54" i="41"/>
  <c r="Z383" i="41" s="1"/>
  <c r="Y54" i="41"/>
  <c r="Y383" i="41" s="1"/>
  <c r="X54" i="41"/>
  <c r="X383" i="41" s="1"/>
  <c r="W54" i="41"/>
  <c r="W383" i="41" s="1"/>
  <c r="V54" i="41"/>
  <c r="V383" i="41" s="1"/>
  <c r="U54" i="41"/>
  <c r="U383" i="41" s="1"/>
  <c r="T54" i="41"/>
  <c r="T383" i="41" s="1"/>
  <c r="S54" i="41"/>
  <c r="S383" i="41" s="1"/>
  <c r="R54" i="41"/>
  <c r="R383" i="41" s="1"/>
  <c r="Q54" i="41"/>
  <c r="Q383" i="41" s="1"/>
  <c r="P54" i="41"/>
  <c r="P383" i="41" s="1"/>
  <c r="O54" i="41"/>
  <c r="O383" i="41" s="1"/>
  <c r="N54" i="41"/>
  <c r="N383" i="41" s="1"/>
  <c r="M54" i="41"/>
  <c r="M383" i="41" s="1"/>
  <c r="L54" i="41"/>
  <c r="L383" i="41" s="1"/>
  <c r="K54" i="41"/>
  <c r="K383" i="41" s="1"/>
  <c r="J54" i="41"/>
  <c r="J383" i="41" s="1"/>
  <c r="I54" i="41"/>
  <c r="I383" i="41" s="1"/>
  <c r="H54" i="41"/>
  <c r="H383" i="41" s="1"/>
  <c r="G54" i="41"/>
  <c r="G383" i="41" s="1"/>
  <c r="F54" i="41"/>
  <c r="F383" i="41" s="1"/>
  <c r="E54" i="41"/>
  <c r="E383" i="41" s="1"/>
  <c r="D54" i="41"/>
  <c r="D383" i="41" s="1"/>
  <c r="AF28" i="41"/>
  <c r="AD28" i="41"/>
  <c r="AB28" i="41"/>
  <c r="Z28" i="41"/>
  <c r="X28" i="41"/>
  <c r="V28" i="41"/>
  <c r="T28" i="41"/>
  <c r="R28" i="41"/>
  <c r="P28" i="41"/>
  <c r="N28" i="41"/>
  <c r="L28" i="41"/>
  <c r="J28" i="41"/>
  <c r="H28" i="41"/>
  <c r="F28" i="41"/>
  <c r="D28" i="41"/>
  <c r="AG382" i="41"/>
  <c r="AF382" i="41"/>
  <c r="AE382" i="41"/>
  <c r="AD382" i="41"/>
  <c r="AC382" i="41"/>
  <c r="AB382" i="41"/>
  <c r="AA382" i="41"/>
  <c r="Z382" i="41"/>
  <c r="Y382" i="41"/>
  <c r="X382" i="41"/>
  <c r="W382" i="41"/>
  <c r="V382" i="41"/>
  <c r="U382" i="41"/>
  <c r="T382" i="41"/>
  <c r="S382" i="41"/>
  <c r="R382" i="41"/>
  <c r="Q382" i="41"/>
  <c r="P382" i="41"/>
  <c r="O382" i="41"/>
  <c r="N382" i="41"/>
  <c r="M382" i="41"/>
  <c r="L382" i="41"/>
  <c r="K382" i="41"/>
  <c r="J382" i="41"/>
  <c r="I382" i="41"/>
  <c r="H382" i="41"/>
  <c r="G382" i="41"/>
  <c r="F382" i="41"/>
  <c r="E382" i="41"/>
  <c r="D382" i="41"/>
  <c r="D400" i="27"/>
  <c r="H380" i="27"/>
  <c r="J380" i="27"/>
  <c r="L380" i="27"/>
  <c r="N380" i="27"/>
  <c r="P380" i="27"/>
  <c r="R380" i="27"/>
  <c r="T380" i="27"/>
  <c r="V380" i="27"/>
  <c r="X380" i="27"/>
  <c r="Z380" i="27"/>
  <c r="AB380" i="27"/>
  <c r="AD380" i="27"/>
  <c r="AF380" i="27"/>
  <c r="F380" i="27"/>
  <c r="D380" i="27"/>
  <c r="H369" i="27"/>
  <c r="J369" i="27"/>
  <c r="L369" i="27"/>
  <c r="N369" i="27"/>
  <c r="P369" i="27"/>
  <c r="R369" i="27"/>
  <c r="T369" i="27"/>
  <c r="V369" i="27"/>
  <c r="X369" i="27"/>
  <c r="Z369" i="27"/>
  <c r="AB369" i="27"/>
  <c r="AD369" i="27"/>
  <c r="AF369" i="27"/>
  <c r="F369" i="27"/>
  <c r="D369" i="27"/>
  <c r="H347" i="27"/>
  <c r="J347" i="27"/>
  <c r="L347" i="27"/>
  <c r="N347" i="27"/>
  <c r="P347" i="27"/>
  <c r="R347" i="27"/>
  <c r="T347" i="27"/>
  <c r="V347" i="27"/>
  <c r="X347" i="27"/>
  <c r="Z347" i="27"/>
  <c r="AB347" i="27"/>
  <c r="AD347" i="27"/>
  <c r="AF347" i="27"/>
  <c r="F347" i="27"/>
  <c r="D347" i="27"/>
  <c r="H331" i="27"/>
  <c r="J331" i="27"/>
  <c r="L331" i="27"/>
  <c r="N331" i="27"/>
  <c r="P331" i="27"/>
  <c r="R331" i="27"/>
  <c r="T331" i="27"/>
  <c r="V331" i="27"/>
  <c r="X331" i="27"/>
  <c r="Z331" i="27"/>
  <c r="AB331" i="27"/>
  <c r="AD331" i="27"/>
  <c r="AF331" i="27"/>
  <c r="F331" i="27"/>
  <c r="D331" i="27"/>
  <c r="H296" i="27"/>
  <c r="J296" i="27"/>
  <c r="L296" i="27"/>
  <c r="N296" i="27"/>
  <c r="P296" i="27"/>
  <c r="R296" i="27"/>
  <c r="T296" i="27"/>
  <c r="V296" i="27"/>
  <c r="X296" i="27"/>
  <c r="Z296" i="27"/>
  <c r="AB296" i="27"/>
  <c r="AD296" i="27"/>
  <c r="AF296" i="27"/>
  <c r="F296" i="27"/>
  <c r="D296" i="27"/>
  <c r="H262" i="27"/>
  <c r="J262" i="27"/>
  <c r="L262" i="27"/>
  <c r="N262" i="27"/>
  <c r="P262" i="27"/>
  <c r="R262" i="27"/>
  <c r="T262" i="27"/>
  <c r="V262" i="27"/>
  <c r="X262" i="27"/>
  <c r="Z262" i="27"/>
  <c r="AB262" i="27"/>
  <c r="AD262" i="27"/>
  <c r="AF262" i="27"/>
  <c r="F262" i="27"/>
  <c r="D262" i="27"/>
  <c r="H250" i="27"/>
  <c r="J250" i="27"/>
  <c r="L250" i="27"/>
  <c r="N250" i="27"/>
  <c r="P250" i="27"/>
  <c r="R250" i="27"/>
  <c r="T250" i="27"/>
  <c r="V250" i="27"/>
  <c r="X250" i="27"/>
  <c r="Z250" i="27"/>
  <c r="AB250" i="27"/>
  <c r="AD250" i="27"/>
  <c r="AF250" i="27"/>
  <c r="F250" i="27"/>
  <c r="D250" i="27"/>
  <c r="H225" i="27"/>
  <c r="J225" i="27"/>
  <c r="L225" i="27"/>
  <c r="N225" i="27"/>
  <c r="P225" i="27"/>
  <c r="R225" i="27"/>
  <c r="T225" i="27"/>
  <c r="V225" i="27"/>
  <c r="X225" i="27"/>
  <c r="Z225" i="27"/>
  <c r="AB225" i="27"/>
  <c r="AD225" i="27"/>
  <c r="AF225" i="27"/>
  <c r="F225" i="27"/>
  <c r="D225" i="27"/>
  <c r="H200" i="27"/>
  <c r="J200" i="27"/>
  <c r="L200" i="27"/>
  <c r="N200" i="27"/>
  <c r="P200" i="27"/>
  <c r="R200" i="27"/>
  <c r="T200" i="27"/>
  <c r="V200" i="27"/>
  <c r="X200" i="27"/>
  <c r="Z200" i="27"/>
  <c r="AB200" i="27"/>
  <c r="AD200" i="27"/>
  <c r="AF200" i="27"/>
  <c r="F200" i="27"/>
  <c r="D200" i="27"/>
  <c r="H164" i="27"/>
  <c r="J164" i="27"/>
  <c r="L164" i="27"/>
  <c r="N164" i="27"/>
  <c r="P164" i="27"/>
  <c r="R164" i="27"/>
  <c r="T164" i="27"/>
  <c r="V164" i="27"/>
  <c r="X164" i="27"/>
  <c r="Z164" i="27"/>
  <c r="AB164" i="27"/>
  <c r="AD164" i="27"/>
  <c r="AF164" i="27"/>
  <c r="F164" i="27"/>
  <c r="D164" i="27"/>
  <c r="H146" i="27"/>
  <c r="J146" i="27"/>
  <c r="L146" i="27"/>
  <c r="N146" i="27"/>
  <c r="P146" i="27"/>
  <c r="R146" i="27"/>
  <c r="T146" i="27"/>
  <c r="V146" i="27"/>
  <c r="X146" i="27"/>
  <c r="Z146" i="27"/>
  <c r="AB146" i="27"/>
  <c r="AD146" i="27"/>
  <c r="AF146" i="27"/>
  <c r="F146" i="27"/>
  <c r="D146" i="27"/>
  <c r="H130" i="27"/>
  <c r="J130" i="27"/>
  <c r="L130" i="27"/>
  <c r="N130" i="27"/>
  <c r="P130" i="27"/>
  <c r="R130" i="27"/>
  <c r="T130" i="27"/>
  <c r="V130" i="27"/>
  <c r="X130" i="27"/>
  <c r="Z130" i="27"/>
  <c r="AB130" i="27"/>
  <c r="AD130" i="27"/>
  <c r="AF130" i="27"/>
  <c r="F130" i="27"/>
  <c r="D130" i="27"/>
  <c r="H112" i="27"/>
  <c r="J112" i="27"/>
  <c r="L112" i="27"/>
  <c r="N112" i="27"/>
  <c r="P112" i="27"/>
  <c r="R112" i="27"/>
  <c r="T112" i="27"/>
  <c r="V112" i="27"/>
  <c r="X112" i="27"/>
  <c r="Z112" i="27"/>
  <c r="AB112" i="27"/>
  <c r="AD112" i="27"/>
  <c r="AF112" i="27"/>
  <c r="F112" i="27"/>
  <c r="D112" i="27"/>
  <c r="H101" i="27"/>
  <c r="J101" i="27"/>
  <c r="L101" i="27"/>
  <c r="N101" i="27"/>
  <c r="P101" i="27"/>
  <c r="R101" i="27"/>
  <c r="T101" i="27"/>
  <c r="V101" i="27"/>
  <c r="X101" i="27"/>
  <c r="Z101" i="27"/>
  <c r="AB101" i="27"/>
  <c r="AD101" i="27"/>
  <c r="AF101" i="27"/>
  <c r="F101" i="27"/>
  <c r="D101" i="27"/>
  <c r="H92" i="27"/>
  <c r="J92" i="27"/>
  <c r="L92" i="27"/>
  <c r="N92" i="27"/>
  <c r="P92" i="27"/>
  <c r="R92" i="27"/>
  <c r="T92" i="27"/>
  <c r="V92" i="27"/>
  <c r="X92" i="27"/>
  <c r="Z92" i="27"/>
  <c r="AB92" i="27"/>
  <c r="AD92" i="27"/>
  <c r="AF92" i="27"/>
  <c r="F92" i="27"/>
  <c r="D92" i="27"/>
  <c r="H78" i="27"/>
  <c r="J78" i="27"/>
  <c r="L78" i="27"/>
  <c r="N78" i="27"/>
  <c r="P78" i="27"/>
  <c r="R78" i="27"/>
  <c r="T78" i="27"/>
  <c r="V78" i="27"/>
  <c r="X78" i="27"/>
  <c r="Z78" i="27"/>
  <c r="AB78" i="27"/>
  <c r="AD78" i="27"/>
  <c r="AF78" i="27"/>
  <c r="F78" i="27"/>
  <c r="D78" i="27"/>
  <c r="H69" i="27"/>
  <c r="J69" i="27"/>
  <c r="L69" i="27"/>
  <c r="N69" i="27"/>
  <c r="P69" i="27"/>
  <c r="R69" i="27"/>
  <c r="T69" i="27"/>
  <c r="V69" i="27"/>
  <c r="X69" i="27"/>
  <c r="Z69" i="27"/>
  <c r="AB69" i="27"/>
  <c r="AD69" i="27"/>
  <c r="AF69" i="27"/>
  <c r="F69" i="27"/>
  <c r="H58" i="27"/>
  <c r="J58" i="27"/>
  <c r="L58" i="27"/>
  <c r="N58" i="27"/>
  <c r="P58" i="27"/>
  <c r="R58" i="27"/>
  <c r="T58" i="27"/>
  <c r="V58" i="27"/>
  <c r="X58" i="27"/>
  <c r="Z58" i="27"/>
  <c r="AB58" i="27"/>
  <c r="AD58" i="27"/>
  <c r="AF58" i="27"/>
  <c r="F58" i="27"/>
  <c r="D69" i="27"/>
  <c r="D58" i="27"/>
  <c r="H28" i="27"/>
  <c r="J28" i="27"/>
  <c r="L28" i="27"/>
  <c r="N28" i="27"/>
  <c r="P28" i="27"/>
  <c r="R28" i="27"/>
  <c r="T28" i="27"/>
  <c r="V28" i="27"/>
  <c r="X28" i="27"/>
  <c r="Z28" i="27"/>
  <c r="AB28" i="27"/>
  <c r="AD28" i="27"/>
  <c r="AF28" i="27"/>
  <c r="F28" i="27"/>
  <c r="D28" i="27"/>
  <c r="D126" i="27"/>
  <c r="D389" i="27" s="1"/>
  <c r="E126" i="27"/>
  <c r="E389" i="27" s="1"/>
  <c r="D382" i="27"/>
  <c r="E382" i="27"/>
  <c r="F382" i="27"/>
  <c r="G382" i="27"/>
  <c r="H382" i="27"/>
  <c r="I382" i="27"/>
  <c r="J382" i="27"/>
  <c r="K382" i="27"/>
  <c r="L382" i="27"/>
  <c r="M382" i="27"/>
  <c r="N382" i="27"/>
  <c r="O382" i="27"/>
  <c r="P382" i="27"/>
  <c r="Q382" i="27"/>
  <c r="R382" i="27"/>
  <c r="S382" i="27"/>
  <c r="T382" i="27"/>
  <c r="U382" i="27"/>
  <c r="V382" i="27"/>
  <c r="W382" i="27"/>
  <c r="X382" i="27"/>
  <c r="Y382" i="27"/>
  <c r="Z382" i="27"/>
  <c r="AA382" i="27"/>
  <c r="AB382" i="27"/>
  <c r="AC382" i="27"/>
  <c r="AD382" i="27"/>
  <c r="AE382" i="27"/>
  <c r="D54" i="27"/>
  <c r="D383" i="27" s="1"/>
  <c r="E54" i="27"/>
  <c r="E383" i="27" s="1"/>
  <c r="F54" i="27"/>
  <c r="F383" i="27" s="1"/>
  <c r="G54" i="27"/>
  <c r="G383" i="27" s="1"/>
  <c r="H54" i="27"/>
  <c r="H383" i="27" s="1"/>
  <c r="I54" i="27"/>
  <c r="I383" i="27" s="1"/>
  <c r="J54" i="27"/>
  <c r="J383" i="27" s="1"/>
  <c r="K54" i="27"/>
  <c r="K383" i="27" s="1"/>
  <c r="L54" i="27"/>
  <c r="L383" i="27" s="1"/>
  <c r="M54" i="27"/>
  <c r="M383" i="27" s="1"/>
  <c r="N54" i="27"/>
  <c r="N383" i="27" s="1"/>
  <c r="O54" i="27"/>
  <c r="O383" i="27" s="1"/>
  <c r="P54" i="27"/>
  <c r="P383" i="27" s="1"/>
  <c r="Q54" i="27"/>
  <c r="Q383" i="27" s="1"/>
  <c r="R54" i="27"/>
  <c r="R383" i="27" s="1"/>
  <c r="S54" i="27"/>
  <c r="S383" i="27" s="1"/>
  <c r="T54" i="27"/>
  <c r="T383" i="27" s="1"/>
  <c r="U54" i="27"/>
  <c r="U383" i="27" s="1"/>
  <c r="V54" i="27"/>
  <c r="V383" i="27" s="1"/>
  <c r="W54" i="27"/>
  <c r="W383" i="27" s="1"/>
  <c r="X54" i="27"/>
  <c r="X383" i="27" s="1"/>
  <c r="Y54" i="27"/>
  <c r="Y383" i="27" s="1"/>
  <c r="Z54" i="27"/>
  <c r="Z383" i="27" s="1"/>
  <c r="AA54" i="27"/>
  <c r="AA383" i="27" s="1"/>
  <c r="AB54" i="27"/>
  <c r="AB383" i="27" s="1"/>
  <c r="AC54" i="27"/>
  <c r="AC383" i="27" s="1"/>
  <c r="AD54" i="27"/>
  <c r="AD383" i="27" s="1"/>
  <c r="AE54" i="27"/>
  <c r="AE383" i="27" s="1"/>
  <c r="AF54" i="27"/>
  <c r="AG54" i="27"/>
  <c r="D384" i="27"/>
  <c r="E384" i="27"/>
  <c r="F384" i="27"/>
  <c r="G384" i="27"/>
  <c r="H384" i="27"/>
  <c r="I384" i="27"/>
  <c r="J384" i="27"/>
  <c r="K384" i="27"/>
  <c r="L384" i="27"/>
  <c r="M384" i="27"/>
  <c r="N384" i="27"/>
  <c r="O384" i="27"/>
  <c r="P384" i="27"/>
  <c r="Q384" i="27"/>
  <c r="R384" i="27"/>
  <c r="S384" i="27"/>
  <c r="T384" i="27"/>
  <c r="U384" i="27"/>
  <c r="V384" i="27"/>
  <c r="W384" i="27"/>
  <c r="X384" i="27"/>
  <c r="Y384" i="27"/>
  <c r="Z384" i="27"/>
  <c r="AA384" i="27"/>
  <c r="AB384" i="27"/>
  <c r="AC384" i="27"/>
  <c r="AD384" i="27"/>
  <c r="AE384" i="27"/>
  <c r="AF384" i="27"/>
  <c r="AG384" i="27"/>
  <c r="D75" i="27"/>
  <c r="D385" i="27" s="1"/>
  <c r="E75" i="27"/>
  <c r="E385" i="27" s="1"/>
  <c r="F75" i="27"/>
  <c r="F385" i="27" s="1"/>
  <c r="G75" i="27"/>
  <c r="G385" i="27" s="1"/>
  <c r="H75" i="27"/>
  <c r="H385" i="27" s="1"/>
  <c r="I75" i="27"/>
  <c r="I385" i="27" s="1"/>
  <c r="J75" i="27"/>
  <c r="J385" i="27" s="1"/>
  <c r="K75" i="27"/>
  <c r="K385" i="27" s="1"/>
  <c r="L75" i="27"/>
  <c r="L385" i="27" s="1"/>
  <c r="M75" i="27"/>
  <c r="M385" i="27" s="1"/>
  <c r="N75" i="27"/>
  <c r="N385" i="27" s="1"/>
  <c r="O75" i="27"/>
  <c r="O385" i="27" s="1"/>
  <c r="P75" i="27"/>
  <c r="P385" i="27" s="1"/>
  <c r="Q75" i="27"/>
  <c r="Q385" i="27" s="1"/>
  <c r="R75" i="27"/>
  <c r="R385" i="27" s="1"/>
  <c r="S75" i="27"/>
  <c r="S385" i="27" s="1"/>
  <c r="T75" i="27"/>
  <c r="T385" i="27" s="1"/>
  <c r="U75" i="27"/>
  <c r="U385" i="27" s="1"/>
  <c r="V75" i="27"/>
  <c r="V385" i="27" s="1"/>
  <c r="W75" i="27"/>
  <c r="W385" i="27" s="1"/>
  <c r="X75" i="27"/>
  <c r="X385" i="27" s="1"/>
  <c r="Y75" i="27"/>
  <c r="Y385" i="27" s="1"/>
  <c r="Z75" i="27"/>
  <c r="Z385" i="27" s="1"/>
  <c r="AA75" i="27"/>
  <c r="AA385" i="27" s="1"/>
  <c r="AB75" i="27"/>
  <c r="AB385" i="27" s="1"/>
  <c r="AC75" i="27"/>
  <c r="AC385" i="27" s="1"/>
  <c r="AD75" i="27"/>
  <c r="AD385" i="27" s="1"/>
  <c r="AE75" i="27"/>
  <c r="AE385" i="27" s="1"/>
  <c r="AF75" i="27"/>
  <c r="AG75" i="27"/>
  <c r="D386" i="27"/>
  <c r="E386" i="27"/>
  <c r="F386" i="27"/>
  <c r="G386" i="27"/>
  <c r="H386" i="27"/>
  <c r="I386" i="27"/>
  <c r="J386" i="27"/>
  <c r="K386" i="27"/>
  <c r="L386" i="27"/>
  <c r="M386" i="27"/>
  <c r="N386" i="27"/>
  <c r="O386" i="27"/>
  <c r="P386" i="27"/>
  <c r="Q386" i="27"/>
  <c r="R386" i="27"/>
  <c r="S386" i="27"/>
  <c r="T386" i="27"/>
  <c r="U386" i="27"/>
  <c r="V386" i="27"/>
  <c r="W386" i="27"/>
  <c r="X386" i="27"/>
  <c r="Y386" i="27"/>
  <c r="Z386" i="27"/>
  <c r="AA386" i="27"/>
  <c r="AB386" i="27"/>
  <c r="AC386" i="27"/>
  <c r="AD386" i="27"/>
  <c r="AE386" i="27"/>
  <c r="AF386" i="27"/>
  <c r="AG386" i="27"/>
  <c r="D97" i="27"/>
  <c r="D387" i="27" s="1"/>
  <c r="E97" i="27"/>
  <c r="E387" i="27" s="1"/>
  <c r="F97" i="27"/>
  <c r="F387" i="27" s="1"/>
  <c r="G97" i="27"/>
  <c r="G387" i="27" s="1"/>
  <c r="H97" i="27"/>
  <c r="H387" i="27" s="1"/>
  <c r="I97" i="27"/>
  <c r="I387" i="27" s="1"/>
  <c r="J97" i="27"/>
  <c r="J387" i="27" s="1"/>
  <c r="K97" i="27"/>
  <c r="K387" i="27" s="1"/>
  <c r="L97" i="27"/>
  <c r="L387" i="27" s="1"/>
  <c r="M97" i="27"/>
  <c r="M387" i="27" s="1"/>
  <c r="N97" i="27"/>
  <c r="N387" i="27" s="1"/>
  <c r="O97" i="27"/>
  <c r="O387" i="27" s="1"/>
  <c r="P97" i="27"/>
  <c r="P387" i="27" s="1"/>
  <c r="Q97" i="27"/>
  <c r="Q387" i="27" s="1"/>
  <c r="R97" i="27"/>
  <c r="R387" i="27" s="1"/>
  <c r="S97" i="27"/>
  <c r="S387" i="27" s="1"/>
  <c r="T97" i="27"/>
  <c r="T387" i="27" s="1"/>
  <c r="U97" i="27"/>
  <c r="U387" i="27" s="1"/>
  <c r="V97" i="27"/>
  <c r="V387" i="27" s="1"/>
  <c r="W97" i="27"/>
  <c r="W387" i="27" s="1"/>
  <c r="X97" i="27"/>
  <c r="X387" i="27" s="1"/>
  <c r="Y97" i="27"/>
  <c r="Y387" i="27" s="1"/>
  <c r="Z97" i="27"/>
  <c r="Z387" i="27" s="1"/>
  <c r="AA97" i="27"/>
  <c r="AA387" i="27" s="1"/>
  <c r="AB97" i="27"/>
  <c r="AB387" i="27" s="1"/>
  <c r="AC97" i="27"/>
  <c r="AC387" i="27" s="1"/>
  <c r="AD97" i="27"/>
  <c r="AD387" i="27" s="1"/>
  <c r="AE97" i="27"/>
  <c r="AE387" i="27" s="1"/>
  <c r="AF97" i="27"/>
  <c r="AG97" i="27"/>
  <c r="D108" i="27"/>
  <c r="D388" i="27" s="1"/>
  <c r="E108" i="27"/>
  <c r="E388" i="27" s="1"/>
  <c r="F108" i="27"/>
  <c r="F388" i="27" s="1"/>
  <c r="G108" i="27"/>
  <c r="G388" i="27" s="1"/>
  <c r="H108" i="27"/>
  <c r="H388" i="27" s="1"/>
  <c r="I108" i="27"/>
  <c r="I388" i="27" s="1"/>
  <c r="J108" i="27"/>
  <c r="J388" i="27" s="1"/>
  <c r="K108" i="27"/>
  <c r="K388" i="27" s="1"/>
  <c r="L108" i="27"/>
  <c r="L388" i="27" s="1"/>
  <c r="M108" i="27"/>
  <c r="M388" i="27" s="1"/>
  <c r="N108" i="27"/>
  <c r="N388" i="27" s="1"/>
  <c r="O108" i="27"/>
  <c r="O388" i="27" s="1"/>
  <c r="P108" i="27"/>
  <c r="P388" i="27" s="1"/>
  <c r="Q108" i="27"/>
  <c r="Q388" i="27" s="1"/>
  <c r="R108" i="27"/>
  <c r="R388" i="27" s="1"/>
  <c r="S108" i="27"/>
  <c r="S388" i="27" s="1"/>
  <c r="T108" i="27"/>
  <c r="T388" i="27" s="1"/>
  <c r="U108" i="27"/>
  <c r="U388" i="27" s="1"/>
  <c r="V108" i="27"/>
  <c r="V388" i="27" s="1"/>
  <c r="W108" i="27"/>
  <c r="W388" i="27" s="1"/>
  <c r="X108" i="27"/>
  <c r="X388" i="27" s="1"/>
  <c r="Y108" i="27"/>
  <c r="Y388" i="27" s="1"/>
  <c r="Z108" i="27"/>
  <c r="Z388" i="27" s="1"/>
  <c r="AA108" i="27"/>
  <c r="AA388" i="27" s="1"/>
  <c r="AB108" i="27"/>
  <c r="AB388" i="27" s="1"/>
  <c r="AC108" i="27"/>
  <c r="AC388" i="27" s="1"/>
  <c r="AD108" i="27"/>
  <c r="AD388" i="27" s="1"/>
  <c r="AE108" i="27"/>
  <c r="AE388" i="27" s="1"/>
  <c r="AF108" i="27"/>
  <c r="AG108" i="27"/>
  <c r="F126" i="27"/>
  <c r="F389" i="27" s="1"/>
  <c r="G126" i="27"/>
  <c r="G389" i="27" s="1"/>
  <c r="H126" i="27"/>
  <c r="H389" i="27" s="1"/>
  <c r="I126" i="27"/>
  <c r="I389" i="27" s="1"/>
  <c r="J126" i="27"/>
  <c r="J389" i="27" s="1"/>
  <c r="K126" i="27"/>
  <c r="K389" i="27" s="1"/>
  <c r="L126" i="27"/>
  <c r="L389" i="27" s="1"/>
  <c r="M126" i="27"/>
  <c r="M389" i="27" s="1"/>
  <c r="N126" i="27"/>
  <c r="N389" i="27" s="1"/>
  <c r="O126" i="27"/>
  <c r="O389" i="27" s="1"/>
  <c r="P126" i="27"/>
  <c r="P389" i="27" s="1"/>
  <c r="Q126" i="27"/>
  <c r="Q389" i="27" s="1"/>
  <c r="R126" i="27"/>
  <c r="R389" i="27" s="1"/>
  <c r="S126" i="27"/>
  <c r="S389" i="27" s="1"/>
  <c r="T126" i="27"/>
  <c r="T389" i="27" s="1"/>
  <c r="U126" i="27"/>
  <c r="U389" i="27" s="1"/>
  <c r="V126" i="27"/>
  <c r="V389" i="27" s="1"/>
  <c r="W126" i="27"/>
  <c r="W389" i="27" s="1"/>
  <c r="X126" i="27"/>
  <c r="X389" i="27" s="1"/>
  <c r="Y126" i="27"/>
  <c r="Y389" i="27" s="1"/>
  <c r="Z126" i="27"/>
  <c r="Z389" i="27" s="1"/>
  <c r="AA126" i="27"/>
  <c r="AA389" i="27" s="1"/>
  <c r="AB126" i="27"/>
  <c r="AB389" i="27" s="1"/>
  <c r="AC126" i="27"/>
  <c r="AC389" i="27" s="1"/>
  <c r="AD126" i="27"/>
  <c r="AD389" i="27" s="1"/>
  <c r="AE126" i="27"/>
  <c r="AE389" i="27" s="1"/>
  <c r="AF126" i="27"/>
  <c r="AG126" i="27"/>
  <c r="D390" i="27"/>
  <c r="E390" i="27"/>
  <c r="F390" i="27"/>
  <c r="G390" i="27"/>
  <c r="H390" i="27"/>
  <c r="I390" i="27"/>
  <c r="J390" i="27"/>
  <c r="K390" i="27"/>
  <c r="L390" i="27"/>
  <c r="M390" i="27"/>
  <c r="N390" i="27"/>
  <c r="O390" i="27"/>
  <c r="P390" i="27"/>
  <c r="Q390" i="27"/>
  <c r="R390" i="27"/>
  <c r="S390" i="27"/>
  <c r="T390" i="27"/>
  <c r="U390" i="27"/>
  <c r="V390" i="27"/>
  <c r="W390" i="27"/>
  <c r="X390" i="27"/>
  <c r="Y390" i="27"/>
  <c r="Z390" i="27"/>
  <c r="AA390" i="27"/>
  <c r="AB390" i="27"/>
  <c r="AC390" i="27"/>
  <c r="AD390" i="27"/>
  <c r="AE390" i="27"/>
  <c r="D160" i="27"/>
  <c r="D391" i="27" s="1"/>
  <c r="E160" i="27"/>
  <c r="E391" i="27" s="1"/>
  <c r="F160" i="27"/>
  <c r="F391" i="27" s="1"/>
  <c r="G160" i="27"/>
  <c r="G391" i="27" s="1"/>
  <c r="H160" i="27"/>
  <c r="H391" i="27" s="1"/>
  <c r="I160" i="27"/>
  <c r="I391" i="27" s="1"/>
  <c r="J160" i="27"/>
  <c r="J391" i="27" s="1"/>
  <c r="K160" i="27"/>
  <c r="K391" i="27" s="1"/>
  <c r="L160" i="27"/>
  <c r="L391" i="27" s="1"/>
  <c r="M160" i="27"/>
  <c r="M391" i="27" s="1"/>
  <c r="N160" i="27"/>
  <c r="N391" i="27" s="1"/>
  <c r="O160" i="27"/>
  <c r="O391" i="27" s="1"/>
  <c r="P160" i="27"/>
  <c r="P391" i="27" s="1"/>
  <c r="Q160" i="27"/>
  <c r="Q391" i="27" s="1"/>
  <c r="R160" i="27"/>
  <c r="R391" i="27" s="1"/>
  <c r="S160" i="27"/>
  <c r="S391" i="27" s="1"/>
  <c r="T160" i="27"/>
  <c r="T391" i="27" s="1"/>
  <c r="U160" i="27"/>
  <c r="U391" i="27" s="1"/>
  <c r="V160" i="27"/>
  <c r="V391" i="27" s="1"/>
  <c r="W160" i="27"/>
  <c r="W391" i="27" s="1"/>
  <c r="X160" i="27"/>
  <c r="X391" i="27" s="1"/>
  <c r="Y160" i="27"/>
  <c r="Y391" i="27" s="1"/>
  <c r="Z160" i="27"/>
  <c r="Z391" i="27" s="1"/>
  <c r="AA160" i="27"/>
  <c r="AA391" i="27" s="1"/>
  <c r="AB160" i="27"/>
  <c r="AB391" i="27" s="1"/>
  <c r="AC160" i="27"/>
  <c r="AC391" i="27" s="1"/>
  <c r="AD160" i="27"/>
  <c r="AD391" i="27" s="1"/>
  <c r="AE160" i="27"/>
  <c r="AE391" i="27" s="1"/>
  <c r="AF160" i="27"/>
  <c r="AG160" i="27"/>
  <c r="D392" i="27"/>
  <c r="E392" i="27"/>
  <c r="F392" i="27"/>
  <c r="G392" i="27"/>
  <c r="H392" i="27"/>
  <c r="I392" i="27"/>
  <c r="J392" i="27"/>
  <c r="K392" i="27"/>
  <c r="L392" i="27"/>
  <c r="M392" i="27"/>
  <c r="N392" i="27"/>
  <c r="O392" i="27"/>
  <c r="P392" i="27"/>
  <c r="Q392" i="27"/>
  <c r="R392" i="27"/>
  <c r="S392" i="27"/>
  <c r="T392" i="27"/>
  <c r="U392" i="27"/>
  <c r="V392" i="27"/>
  <c r="W392" i="27"/>
  <c r="X392" i="27"/>
  <c r="Y392" i="27"/>
  <c r="Z392" i="27"/>
  <c r="AA392" i="27"/>
  <c r="AB392" i="27"/>
  <c r="AC392" i="27"/>
  <c r="AD392" i="27"/>
  <c r="AE392" i="27"/>
  <c r="AF392" i="27"/>
  <c r="AG392" i="27"/>
  <c r="D221" i="27"/>
  <c r="D393" i="27" s="1"/>
  <c r="E221" i="27"/>
  <c r="E393" i="27" s="1"/>
  <c r="F221" i="27"/>
  <c r="F393" i="27" s="1"/>
  <c r="G221" i="27"/>
  <c r="G393" i="27" s="1"/>
  <c r="H221" i="27"/>
  <c r="H393" i="27" s="1"/>
  <c r="I221" i="27"/>
  <c r="I393" i="27" s="1"/>
  <c r="J221" i="27"/>
  <c r="J393" i="27" s="1"/>
  <c r="K221" i="27"/>
  <c r="K393" i="27" s="1"/>
  <c r="L221" i="27"/>
  <c r="L393" i="27" s="1"/>
  <c r="M221" i="27"/>
  <c r="M393" i="27" s="1"/>
  <c r="N221" i="27"/>
  <c r="N393" i="27" s="1"/>
  <c r="O221" i="27"/>
  <c r="O393" i="27" s="1"/>
  <c r="P221" i="27"/>
  <c r="P393" i="27" s="1"/>
  <c r="Q221" i="27"/>
  <c r="Q393" i="27" s="1"/>
  <c r="R221" i="27"/>
  <c r="R393" i="27" s="1"/>
  <c r="S221" i="27"/>
  <c r="S393" i="27" s="1"/>
  <c r="T221" i="27"/>
  <c r="T393" i="27" s="1"/>
  <c r="U221" i="27"/>
  <c r="U393" i="27" s="1"/>
  <c r="V221" i="27"/>
  <c r="V393" i="27" s="1"/>
  <c r="W221" i="27"/>
  <c r="W393" i="27" s="1"/>
  <c r="X221" i="27"/>
  <c r="X393" i="27" s="1"/>
  <c r="Y221" i="27"/>
  <c r="Y393" i="27" s="1"/>
  <c r="Z221" i="27"/>
  <c r="Z393" i="27" s="1"/>
  <c r="AA221" i="27"/>
  <c r="AA393" i="27" s="1"/>
  <c r="AB221" i="27"/>
  <c r="AB393" i="27" s="1"/>
  <c r="AC221" i="27"/>
  <c r="AC393" i="27" s="1"/>
  <c r="AD221" i="27"/>
  <c r="AD393" i="27" s="1"/>
  <c r="AE221" i="27"/>
  <c r="AE393" i="27" s="1"/>
  <c r="AF221" i="27"/>
  <c r="AG221" i="27"/>
  <c r="D394" i="27"/>
  <c r="E394" i="27"/>
  <c r="F394" i="27"/>
  <c r="G394" i="27"/>
  <c r="H394" i="27"/>
  <c r="I394" i="27"/>
  <c r="J394" i="27"/>
  <c r="K394" i="27"/>
  <c r="L394" i="27"/>
  <c r="M394" i="27"/>
  <c r="N394" i="27"/>
  <c r="O394" i="27"/>
  <c r="P394" i="27"/>
  <c r="Q394" i="27"/>
  <c r="R394" i="27"/>
  <c r="S394" i="27"/>
  <c r="T394" i="27"/>
  <c r="U394" i="27"/>
  <c r="V394" i="27"/>
  <c r="W394" i="27"/>
  <c r="X394" i="27"/>
  <c r="Y394" i="27"/>
  <c r="Z394" i="27"/>
  <c r="AA394" i="27"/>
  <c r="AB394" i="27"/>
  <c r="AC394" i="27"/>
  <c r="AD394" i="27"/>
  <c r="AE394" i="27"/>
  <c r="D258" i="27"/>
  <c r="D396" i="27" s="1"/>
  <c r="E258" i="27"/>
  <c r="E396" i="27" s="1"/>
  <c r="F258" i="27"/>
  <c r="F396" i="27" s="1"/>
  <c r="G258" i="27"/>
  <c r="G396" i="27" s="1"/>
  <c r="H258" i="27"/>
  <c r="H396" i="27" s="1"/>
  <c r="I258" i="27"/>
  <c r="I396" i="27" s="1"/>
  <c r="J258" i="27"/>
  <c r="J396" i="27" s="1"/>
  <c r="K258" i="27"/>
  <c r="K396" i="27" s="1"/>
  <c r="L258" i="27"/>
  <c r="L396" i="27" s="1"/>
  <c r="M258" i="27"/>
  <c r="M396" i="27" s="1"/>
  <c r="N258" i="27"/>
  <c r="N396" i="27" s="1"/>
  <c r="O258" i="27"/>
  <c r="O396" i="27" s="1"/>
  <c r="P258" i="27"/>
  <c r="P396" i="27" s="1"/>
  <c r="Q258" i="27"/>
  <c r="Q396" i="27" s="1"/>
  <c r="R258" i="27"/>
  <c r="R396" i="27" s="1"/>
  <c r="S258" i="27"/>
  <c r="S396" i="27" s="1"/>
  <c r="T258" i="27"/>
  <c r="T396" i="27" s="1"/>
  <c r="U258" i="27"/>
  <c r="U396" i="27" s="1"/>
  <c r="V258" i="27"/>
  <c r="V396" i="27" s="1"/>
  <c r="W258" i="27"/>
  <c r="W396" i="27" s="1"/>
  <c r="X258" i="27"/>
  <c r="X396" i="27" s="1"/>
  <c r="Y258" i="27"/>
  <c r="Y396" i="27" s="1"/>
  <c r="Z258" i="27"/>
  <c r="Z396" i="27" s="1"/>
  <c r="AA258" i="27"/>
  <c r="AA396" i="27" s="1"/>
  <c r="AB258" i="27"/>
  <c r="AB396" i="27" s="1"/>
  <c r="AC258" i="27"/>
  <c r="AC396" i="27" s="1"/>
  <c r="AD258" i="27"/>
  <c r="AD396" i="27" s="1"/>
  <c r="AE258" i="27"/>
  <c r="AE396" i="27" s="1"/>
  <c r="AF258" i="27"/>
  <c r="AG258" i="27"/>
  <c r="D397" i="27"/>
  <c r="E397" i="27"/>
  <c r="F397" i="27"/>
  <c r="G397" i="27"/>
  <c r="H397" i="27"/>
  <c r="I397" i="27"/>
  <c r="J397" i="27"/>
  <c r="K397" i="27"/>
  <c r="L397" i="27"/>
  <c r="M397" i="27"/>
  <c r="N397" i="27"/>
  <c r="O397" i="27"/>
  <c r="P397" i="27"/>
  <c r="Q397" i="27"/>
  <c r="R397" i="27"/>
  <c r="S397" i="27"/>
  <c r="T397" i="27"/>
  <c r="U397" i="27"/>
  <c r="V397" i="27"/>
  <c r="W397" i="27"/>
  <c r="X397" i="27"/>
  <c r="Y397" i="27"/>
  <c r="Z397" i="27"/>
  <c r="AA397" i="27"/>
  <c r="AB397" i="27"/>
  <c r="AC397" i="27"/>
  <c r="AD397" i="27"/>
  <c r="AE397" i="27"/>
  <c r="D398" i="27"/>
  <c r="E398" i="27"/>
  <c r="F398" i="27"/>
  <c r="G398" i="27"/>
  <c r="H398" i="27"/>
  <c r="I398" i="27"/>
  <c r="J398" i="27"/>
  <c r="K398" i="27"/>
  <c r="L398" i="27"/>
  <c r="M398" i="27"/>
  <c r="N398" i="27"/>
  <c r="O398" i="27"/>
  <c r="P398" i="27"/>
  <c r="Q398" i="27"/>
  <c r="R398" i="27"/>
  <c r="S398" i="27"/>
  <c r="T398" i="27"/>
  <c r="U398" i="27"/>
  <c r="V398" i="27"/>
  <c r="W398" i="27"/>
  <c r="X398" i="27"/>
  <c r="Y398" i="27"/>
  <c r="Z398" i="27"/>
  <c r="AA398" i="27"/>
  <c r="AB398" i="27"/>
  <c r="AC398" i="27"/>
  <c r="AD398" i="27"/>
  <c r="AE398" i="27"/>
  <c r="AF398" i="27"/>
  <c r="AG398" i="27"/>
  <c r="D343" i="27"/>
  <c r="D399" i="27" s="1"/>
  <c r="E343" i="27"/>
  <c r="E399" i="27" s="1"/>
  <c r="F343" i="27"/>
  <c r="F399" i="27" s="1"/>
  <c r="G343" i="27"/>
  <c r="G399" i="27" s="1"/>
  <c r="H343" i="27"/>
  <c r="H399" i="27" s="1"/>
  <c r="I343" i="27"/>
  <c r="I399" i="27" s="1"/>
  <c r="J343" i="27"/>
  <c r="J399" i="27" s="1"/>
  <c r="K343" i="27"/>
  <c r="K399" i="27" s="1"/>
  <c r="L343" i="27"/>
  <c r="L399" i="27" s="1"/>
  <c r="M343" i="27"/>
  <c r="M399" i="27" s="1"/>
  <c r="N343" i="27"/>
  <c r="N399" i="27" s="1"/>
  <c r="O343" i="27"/>
  <c r="O399" i="27" s="1"/>
  <c r="P343" i="27"/>
  <c r="P399" i="27" s="1"/>
  <c r="Q343" i="27"/>
  <c r="Q399" i="27" s="1"/>
  <c r="R343" i="27"/>
  <c r="R399" i="27" s="1"/>
  <c r="S343" i="27"/>
  <c r="S399" i="27" s="1"/>
  <c r="T343" i="27"/>
  <c r="T399" i="27" s="1"/>
  <c r="U343" i="27"/>
  <c r="U399" i="27" s="1"/>
  <c r="V343" i="27"/>
  <c r="V399" i="27" s="1"/>
  <c r="W343" i="27"/>
  <c r="W399" i="27" s="1"/>
  <c r="X343" i="27"/>
  <c r="X399" i="27" s="1"/>
  <c r="Y343" i="27"/>
  <c r="Y399" i="27" s="1"/>
  <c r="Z343" i="27"/>
  <c r="Z399" i="27" s="1"/>
  <c r="AA343" i="27"/>
  <c r="AA399" i="27" s="1"/>
  <c r="AB343" i="27"/>
  <c r="AB399" i="27" s="1"/>
  <c r="AC343" i="27"/>
  <c r="AC399" i="27" s="1"/>
  <c r="AD343" i="27"/>
  <c r="AD399" i="27" s="1"/>
  <c r="AE343" i="27"/>
  <c r="AE399" i="27" s="1"/>
  <c r="AF343" i="27"/>
  <c r="AG343" i="27"/>
  <c r="E400" i="27"/>
  <c r="F400" i="27"/>
  <c r="G400" i="27"/>
  <c r="H400" i="27"/>
  <c r="I400" i="27"/>
  <c r="J400" i="27"/>
  <c r="K400" i="27"/>
  <c r="L400" i="27"/>
  <c r="M400" i="27"/>
  <c r="N400" i="27"/>
  <c r="O400" i="27"/>
  <c r="P400" i="27"/>
  <c r="Q400" i="27"/>
  <c r="R400" i="27"/>
  <c r="S400" i="27"/>
  <c r="T400" i="27"/>
  <c r="U400" i="27"/>
  <c r="V400" i="27"/>
  <c r="W400" i="27"/>
  <c r="X400" i="27"/>
  <c r="Y400" i="27"/>
  <c r="Z400" i="27"/>
  <c r="AA400" i="27"/>
  <c r="AB400" i="27"/>
  <c r="AC400" i="27"/>
  <c r="AD400" i="27"/>
  <c r="AE400" i="27"/>
  <c r="AF400" i="27"/>
  <c r="AG400" i="27"/>
  <c r="D376" i="27"/>
  <c r="D401" i="27" s="1"/>
  <c r="E376" i="27"/>
  <c r="E401" i="27" s="1"/>
  <c r="F376" i="27"/>
  <c r="F401" i="27" s="1"/>
  <c r="G376" i="27"/>
  <c r="G401" i="27" s="1"/>
  <c r="H376" i="27"/>
  <c r="H401" i="27" s="1"/>
  <c r="I376" i="27"/>
  <c r="I401" i="27" s="1"/>
  <c r="J376" i="27"/>
  <c r="J401" i="27" s="1"/>
  <c r="K376" i="27"/>
  <c r="K401" i="27" s="1"/>
  <c r="L376" i="27"/>
  <c r="L401" i="27" s="1"/>
  <c r="M376" i="27"/>
  <c r="M401" i="27" s="1"/>
  <c r="N376" i="27"/>
  <c r="N401" i="27" s="1"/>
  <c r="O376" i="27"/>
  <c r="O401" i="27" s="1"/>
  <c r="P376" i="27"/>
  <c r="P401" i="27" s="1"/>
  <c r="Q376" i="27"/>
  <c r="Q401" i="27" s="1"/>
  <c r="R376" i="27"/>
  <c r="R401" i="27" s="1"/>
  <c r="S376" i="27"/>
  <c r="S401" i="27" s="1"/>
  <c r="T376" i="27"/>
  <c r="T401" i="27" s="1"/>
  <c r="U376" i="27"/>
  <c r="U401" i="27" s="1"/>
  <c r="V376" i="27"/>
  <c r="V401" i="27" s="1"/>
  <c r="W376" i="27"/>
  <c r="W401" i="27" s="1"/>
  <c r="X376" i="27"/>
  <c r="X401" i="27" s="1"/>
  <c r="Y376" i="27"/>
  <c r="Y401" i="27" s="1"/>
  <c r="Z376" i="27"/>
  <c r="Z401" i="27" s="1"/>
  <c r="AA376" i="27"/>
  <c r="AA401" i="27" s="1"/>
  <c r="AB376" i="27"/>
  <c r="AB401" i="27" s="1"/>
  <c r="AC376" i="27"/>
  <c r="AC401" i="27" s="1"/>
  <c r="AD376" i="27"/>
  <c r="AD401" i="27" s="1"/>
  <c r="AE376" i="27"/>
  <c r="AE401" i="27" s="1"/>
  <c r="AF376" i="27"/>
  <c r="AF401" i="27" s="1"/>
  <c r="AG376" i="27"/>
  <c r="AG401" i="27" s="1"/>
  <c r="BQ365" i="41" l="1"/>
  <c r="BP365" i="41"/>
  <c r="BQ352" i="43"/>
  <c r="BQ365" i="43" s="1"/>
  <c r="BP352" i="43"/>
  <c r="BP365" i="43" s="1"/>
  <c r="BP80" i="43"/>
  <c r="BP89" i="41"/>
  <c r="BP202" i="43"/>
  <c r="BP221" i="41"/>
  <c r="BQ5" i="43"/>
  <c r="BQ24" i="43" s="1"/>
  <c r="BQ24" i="41"/>
  <c r="BQ94" i="43"/>
  <c r="BQ97" i="43" s="1"/>
  <c r="BQ97" i="41"/>
  <c r="BP227" i="43"/>
  <c r="BP246" i="41"/>
  <c r="BP114" i="43"/>
  <c r="BP126" i="41"/>
  <c r="BP252" i="43"/>
  <c r="BP258" i="41"/>
  <c r="BP60" i="43"/>
  <c r="BP66" i="41"/>
  <c r="BQ264" i="43"/>
  <c r="BQ292" i="43" s="1"/>
  <c r="BQ292" i="41"/>
  <c r="BQ343" i="41"/>
  <c r="BP30" i="43"/>
  <c r="BP54" i="41"/>
  <c r="BP5" i="43"/>
  <c r="BP24" i="41"/>
  <c r="BQ71" i="43"/>
  <c r="BQ75" i="43" s="1"/>
  <c r="BQ75" i="41"/>
  <c r="BQ60" i="43"/>
  <c r="BQ66" i="43" s="1"/>
  <c r="BQ66" i="41"/>
  <c r="BQ30" i="43"/>
  <c r="BQ54" i="43" s="1"/>
  <c r="BQ54" i="41"/>
  <c r="BP148" i="43"/>
  <c r="BP160" i="41"/>
  <c r="BQ103" i="43"/>
  <c r="BQ108" i="43" s="1"/>
  <c r="BQ108" i="41"/>
  <c r="BP103" i="43"/>
  <c r="BP108" i="41"/>
  <c r="BP15" i="43"/>
  <c r="O40" i="54" s="1"/>
  <c r="BP168" i="43"/>
  <c r="O5" i="54" s="1"/>
  <c r="BP196" i="41"/>
  <c r="BQ168" i="43"/>
  <c r="BQ196" i="43" s="1"/>
  <c r="BQ196" i="41"/>
  <c r="BP343" i="41"/>
  <c r="BQ114" i="43"/>
  <c r="BQ126" i="43" s="1"/>
  <c r="BQ126" i="41"/>
  <c r="BQ148" i="43"/>
  <c r="BQ160" i="43" s="1"/>
  <c r="BQ160" i="41"/>
  <c r="BQ227" i="43"/>
  <c r="BQ246" i="43" s="1"/>
  <c r="BQ246" i="41"/>
  <c r="BQ202" i="43"/>
  <c r="BQ221" i="43" s="1"/>
  <c r="BQ221" i="41"/>
  <c r="BP71" i="43"/>
  <c r="BP75" i="41"/>
  <c r="BQ252" i="43"/>
  <c r="BQ258" i="43" s="1"/>
  <c r="BQ258" i="41"/>
  <c r="BP264" i="43"/>
  <c r="BP292" i="41"/>
  <c r="BQ80" i="43"/>
  <c r="BQ89" i="43" s="1"/>
  <c r="BQ89" i="41"/>
  <c r="BP94" i="43"/>
  <c r="BP97" i="41"/>
  <c r="BP327" i="41"/>
  <c r="BQ327" i="41"/>
  <c r="BQ327" i="43"/>
  <c r="BP327" i="43"/>
  <c r="BP343" i="43"/>
  <c r="BQ343" i="43"/>
  <c r="C49" i="54"/>
  <c r="BP142" i="41"/>
  <c r="BQ142" i="41"/>
  <c r="BQ142" i="43"/>
  <c r="BO391" i="41"/>
  <c r="BO396" i="41"/>
  <c r="BO400" i="41"/>
  <c r="BO385" i="43"/>
  <c r="BO389" i="43"/>
  <c r="BO393" i="43"/>
  <c r="BO383" i="41"/>
  <c r="BN382" i="41"/>
  <c r="BO382" i="41"/>
  <c r="BO386" i="41"/>
  <c r="BO390" i="41"/>
  <c r="BO394" i="41"/>
  <c r="BO399" i="41"/>
  <c r="BO398" i="41"/>
  <c r="BO387" i="41"/>
  <c r="BN386" i="41"/>
  <c r="BN390" i="41"/>
  <c r="BN394" i="41"/>
  <c r="BN399" i="41"/>
  <c r="BN385" i="41"/>
  <c r="BN389" i="41"/>
  <c r="BN393" i="41"/>
  <c r="BN398" i="41"/>
  <c r="BO385" i="41"/>
  <c r="BO389" i="41"/>
  <c r="BO393" i="41"/>
  <c r="BN384" i="41"/>
  <c r="BN388" i="41"/>
  <c r="BN392" i="41"/>
  <c r="BN397" i="41"/>
  <c r="BO384" i="41"/>
  <c r="BO388" i="41"/>
  <c r="BO392" i="41"/>
  <c r="BO397" i="41"/>
  <c r="BN401" i="41"/>
  <c r="G75" i="75" s="1"/>
  <c r="BO401" i="41"/>
  <c r="BN383" i="41"/>
  <c r="BN387" i="41"/>
  <c r="BN391" i="41"/>
  <c r="BN396" i="41"/>
  <c r="BN400" i="41"/>
  <c r="G74" i="75" s="1"/>
  <c r="Y59" i="64"/>
  <c r="K16" i="76"/>
  <c r="C2" i="76"/>
  <c r="Y57" i="64"/>
  <c r="BN384" i="43"/>
  <c r="BN388" i="43"/>
  <c r="BO388" i="43"/>
  <c r="BO397" i="43"/>
  <c r="BN383" i="43"/>
  <c r="BO387" i="43"/>
  <c r="BO396" i="43"/>
  <c r="BN382" i="43"/>
  <c r="BN386" i="43"/>
  <c r="BN390" i="43"/>
  <c r="BN394" i="43"/>
  <c r="BN399" i="43"/>
  <c r="BO384" i="43"/>
  <c r="BN391" i="43"/>
  <c r="BO399" i="43"/>
  <c r="BO398" i="43"/>
  <c r="BN392" i="43"/>
  <c r="BN397" i="43"/>
  <c r="BO392" i="43"/>
  <c r="BN401" i="43"/>
  <c r="G75" i="76" s="1"/>
  <c r="BO401" i="43"/>
  <c r="BN387" i="43"/>
  <c r="BN396" i="43"/>
  <c r="BN400" i="43"/>
  <c r="G74" i="76" s="1"/>
  <c r="BO383" i="43"/>
  <c r="BO391" i="43"/>
  <c r="BO400" i="43"/>
  <c r="BO382" i="43"/>
  <c r="BO386" i="43"/>
  <c r="BO390" i="43"/>
  <c r="BO394" i="43"/>
  <c r="BN385" i="43"/>
  <c r="BN389" i="43"/>
  <c r="BN393" i="43"/>
  <c r="BN398" i="43"/>
  <c r="K66" i="75"/>
  <c r="W58" i="75" s="1"/>
  <c r="V58" i="75"/>
  <c r="O2" i="75"/>
  <c r="K45" i="75"/>
  <c r="K30" i="76"/>
  <c r="C45" i="75"/>
  <c r="BO400" i="27"/>
  <c r="BQ400" i="27" s="1"/>
  <c r="BN398" i="27"/>
  <c r="BP398" i="27" s="1"/>
  <c r="BN400" i="27"/>
  <c r="K2" i="75"/>
  <c r="C2" i="75"/>
  <c r="O16" i="76"/>
  <c r="G2" i="76"/>
  <c r="BO384" i="27"/>
  <c r="BQ384" i="27" s="1"/>
  <c r="BQ384" i="41" s="1"/>
  <c r="BQ384" i="43" s="1"/>
  <c r="G2" i="75"/>
  <c r="G16" i="75"/>
  <c r="C16" i="76"/>
  <c r="BN386" i="27"/>
  <c r="BP386" i="27" s="1"/>
  <c r="BN384" i="27"/>
  <c r="BP384" i="27" s="1"/>
  <c r="BP384" i="41" s="1"/>
  <c r="G45" i="75"/>
  <c r="G30" i="75"/>
  <c r="G66" i="76"/>
  <c r="W57" i="76" s="1"/>
  <c r="V57" i="76"/>
  <c r="O30" i="76"/>
  <c r="K45" i="76"/>
  <c r="O16" i="75"/>
  <c r="G16" i="76"/>
  <c r="C30" i="76"/>
  <c r="K16" i="75"/>
  <c r="C16" i="75"/>
  <c r="G30" i="76"/>
  <c r="BN392" i="27"/>
  <c r="BP392" i="27" s="1"/>
  <c r="BO386" i="27"/>
  <c r="BQ386" i="27" s="1"/>
  <c r="K30" i="75"/>
  <c r="O30" i="75"/>
  <c r="V58" i="76"/>
  <c r="K66" i="76"/>
  <c r="W58" i="76" s="1"/>
  <c r="V59" i="54"/>
  <c r="K2" i="76"/>
  <c r="BO392" i="27"/>
  <c r="BQ392" i="27" s="1"/>
  <c r="C66" i="76"/>
  <c r="W59" i="76" s="1"/>
  <c r="V59" i="76"/>
  <c r="C45" i="76"/>
  <c r="O2" i="76"/>
  <c r="G45" i="76"/>
  <c r="V59" i="75"/>
  <c r="C66" i="75"/>
  <c r="W59" i="75" s="1"/>
  <c r="BO398" i="27"/>
  <c r="BQ398" i="27" s="1"/>
  <c r="BO401" i="27"/>
  <c r="BQ401" i="27" s="1"/>
  <c r="BN401" i="27"/>
  <c r="C30" i="75"/>
  <c r="Y58" i="64"/>
  <c r="G66" i="75"/>
  <c r="W57" i="75" s="1"/>
  <c r="V57" i="75"/>
  <c r="A37" i="68"/>
  <c r="AF404" i="41"/>
  <c r="AG404" i="41"/>
  <c r="AF393" i="27"/>
  <c r="BN393" i="27" s="1"/>
  <c r="BP393" i="27" s="1"/>
  <c r="AG387" i="27"/>
  <c r="BO387" i="27" s="1"/>
  <c r="BQ387" i="27" s="1"/>
  <c r="BQ387" i="41" s="1"/>
  <c r="BQ387" i="43" s="1"/>
  <c r="AG385" i="27"/>
  <c r="BO385" i="27" s="1"/>
  <c r="BQ385" i="27" s="1"/>
  <c r="AG383" i="27"/>
  <c r="BO383" i="27" s="1"/>
  <c r="BQ383" i="27" s="1"/>
  <c r="BQ383" i="41" s="1"/>
  <c r="AF391" i="27"/>
  <c r="BN391" i="27" s="1"/>
  <c r="BP391" i="27" s="1"/>
  <c r="BP391" i="41" s="1"/>
  <c r="AF389" i="27"/>
  <c r="BN389" i="27" s="1"/>
  <c r="BP389" i="27" s="1"/>
  <c r="AF388" i="27"/>
  <c r="BN388" i="27" s="1"/>
  <c r="BP388" i="27" s="1"/>
  <c r="AF382" i="27"/>
  <c r="BN382" i="27" s="1"/>
  <c r="AF399" i="27"/>
  <c r="BN399" i="27" s="1"/>
  <c r="BP399" i="27" s="1"/>
  <c r="AF397" i="27"/>
  <c r="BN397" i="27" s="1"/>
  <c r="BP397" i="27" s="1"/>
  <c r="AF394" i="27"/>
  <c r="BN394" i="27" s="1"/>
  <c r="BP394" i="27" s="1"/>
  <c r="AF390" i="27"/>
  <c r="BN390" i="27" s="1"/>
  <c r="BP390" i="27" s="1"/>
  <c r="BP390" i="41" s="1"/>
  <c r="AF387" i="27"/>
  <c r="BN387" i="27" s="1"/>
  <c r="BP387" i="27" s="1"/>
  <c r="BP387" i="41" s="1"/>
  <c r="AF385" i="27"/>
  <c r="BN385" i="27" s="1"/>
  <c r="BP385" i="27" s="1"/>
  <c r="AF383" i="27"/>
  <c r="BN383" i="27" s="1"/>
  <c r="BP383" i="27" s="1"/>
  <c r="AG396" i="27"/>
  <c r="BO396" i="27" s="1"/>
  <c r="AG393" i="27"/>
  <c r="BO393" i="27" s="1"/>
  <c r="BQ393" i="27" s="1"/>
  <c r="BQ393" i="41" s="1"/>
  <c r="AG391" i="27"/>
  <c r="BO391" i="27" s="1"/>
  <c r="BQ391" i="27" s="1"/>
  <c r="AG389" i="27"/>
  <c r="BO389" i="27" s="1"/>
  <c r="BQ389" i="27" s="1"/>
  <c r="AF396" i="27"/>
  <c r="BN396" i="27" s="1"/>
  <c r="AG388" i="27"/>
  <c r="BO388" i="27" s="1"/>
  <c r="BQ388" i="27" s="1"/>
  <c r="AG382" i="27"/>
  <c r="BO382" i="27" s="1"/>
  <c r="AG399" i="27"/>
  <c r="BO399" i="27" s="1"/>
  <c r="BQ399" i="27" s="1"/>
  <c r="BQ399" i="41" s="1"/>
  <c r="AG397" i="27"/>
  <c r="BO397" i="27" s="1"/>
  <c r="BQ397" i="27" s="1"/>
  <c r="AG394" i="27"/>
  <c r="BO394" i="27" s="1"/>
  <c r="BQ394" i="27" s="1"/>
  <c r="AG390" i="27"/>
  <c r="BO390" i="27" s="1"/>
  <c r="BQ390" i="27" s="1"/>
  <c r="C91" i="41"/>
  <c r="C249" i="43"/>
  <c r="C330" i="41"/>
  <c r="C249" i="41"/>
  <c r="C68" i="43"/>
  <c r="C330" i="43"/>
  <c r="C199" i="41"/>
  <c r="C91" i="43"/>
  <c r="C199" i="43"/>
  <c r="C145" i="43"/>
  <c r="AG404" i="43"/>
  <c r="AF404" i="43"/>
  <c r="M404" i="43"/>
  <c r="T404" i="43"/>
  <c r="X404" i="43"/>
  <c r="U404" i="43"/>
  <c r="Q404" i="43"/>
  <c r="O404" i="43"/>
  <c r="AE395" i="43"/>
  <c r="C27" i="43"/>
  <c r="Y395" i="43"/>
  <c r="AC395" i="43"/>
  <c r="P404" i="43"/>
  <c r="C111" i="43"/>
  <c r="C100" i="43"/>
  <c r="C68" i="41"/>
  <c r="F404" i="41"/>
  <c r="C145" i="41"/>
  <c r="C111" i="41"/>
  <c r="AA404" i="41"/>
  <c r="C129" i="41"/>
  <c r="G404" i="41"/>
  <c r="V404" i="41"/>
  <c r="AC404" i="41"/>
  <c r="W404" i="41"/>
  <c r="T404" i="41"/>
  <c r="Z404" i="41"/>
  <c r="C27" i="41"/>
  <c r="C100" i="41"/>
  <c r="E395" i="43"/>
  <c r="M404" i="41"/>
  <c r="H404" i="41"/>
  <c r="I395" i="41"/>
  <c r="R404" i="43"/>
  <c r="D395" i="43"/>
  <c r="P395" i="43"/>
  <c r="V395" i="43"/>
  <c r="K404" i="43"/>
  <c r="Q395" i="43"/>
  <c r="L404" i="43"/>
  <c r="H395" i="43"/>
  <c r="U395" i="43"/>
  <c r="G404" i="43"/>
  <c r="R395" i="43"/>
  <c r="G395" i="43"/>
  <c r="S395" i="43"/>
  <c r="N404" i="43"/>
  <c r="Z404" i="43"/>
  <c r="F404" i="43"/>
  <c r="S404" i="43"/>
  <c r="X395" i="43"/>
  <c r="M395" i="43"/>
  <c r="F395" i="43"/>
  <c r="AA404" i="43"/>
  <c r="AB395" i="43"/>
  <c r="AD404" i="43"/>
  <c r="H404" i="43"/>
  <c r="L395" i="43"/>
  <c r="AE404" i="43"/>
  <c r="AA395" i="43"/>
  <c r="AD395" i="43"/>
  <c r="I395" i="43"/>
  <c r="E404" i="43"/>
  <c r="W395" i="43"/>
  <c r="AF395" i="43"/>
  <c r="I404" i="43"/>
  <c r="K395" i="43"/>
  <c r="W404" i="43"/>
  <c r="V404" i="43"/>
  <c r="AG395" i="43"/>
  <c r="D404" i="43"/>
  <c r="J395" i="43"/>
  <c r="T395" i="43"/>
  <c r="J404" i="43"/>
  <c r="Y404" i="43"/>
  <c r="AC404" i="43"/>
  <c r="N395" i="43"/>
  <c r="Z395" i="43"/>
  <c r="AB404" i="43"/>
  <c r="O395" i="43"/>
  <c r="H395" i="41"/>
  <c r="D395" i="41"/>
  <c r="S395" i="41"/>
  <c r="Z395" i="41"/>
  <c r="T395" i="41"/>
  <c r="Y395" i="41"/>
  <c r="J404" i="41"/>
  <c r="F395" i="41"/>
  <c r="Y404" i="41"/>
  <c r="G395" i="41"/>
  <c r="AG395" i="41"/>
  <c r="K395" i="41"/>
  <c r="V395" i="41"/>
  <c r="W395" i="41"/>
  <c r="E395" i="41"/>
  <c r="U395" i="41"/>
  <c r="I404" i="41"/>
  <c r="U404" i="41"/>
  <c r="K404" i="41"/>
  <c r="Q395" i="41"/>
  <c r="O404" i="41"/>
  <c r="L404" i="41"/>
  <c r="X404" i="41"/>
  <c r="R395" i="41"/>
  <c r="Q404" i="41"/>
  <c r="M395" i="41"/>
  <c r="N395" i="41"/>
  <c r="AF395" i="41"/>
  <c r="L395" i="41"/>
  <c r="R404" i="41"/>
  <c r="N404" i="41"/>
  <c r="S404" i="41"/>
  <c r="O395" i="41"/>
  <c r="AB395" i="41"/>
  <c r="AD404" i="41"/>
  <c r="J395" i="41"/>
  <c r="X395" i="41"/>
  <c r="AA395" i="41"/>
  <c r="P395" i="41"/>
  <c r="AE395" i="41"/>
  <c r="AC395" i="41"/>
  <c r="AD395" i="41"/>
  <c r="E404" i="41"/>
  <c r="AE404" i="41"/>
  <c r="D404" i="41"/>
  <c r="P404" i="41"/>
  <c r="AB404" i="41"/>
  <c r="M404" i="27"/>
  <c r="I404" i="27"/>
  <c r="H404" i="27"/>
  <c r="I395" i="27"/>
  <c r="R395" i="27"/>
  <c r="W404" i="27"/>
  <c r="L404" i="27"/>
  <c r="AB404" i="27"/>
  <c r="V404" i="27"/>
  <c r="Y404" i="27"/>
  <c r="AE404" i="27"/>
  <c r="Q404" i="27"/>
  <c r="F404" i="27"/>
  <c r="AD404" i="27"/>
  <c r="P404" i="27"/>
  <c r="AD395" i="27"/>
  <c r="AC404" i="27"/>
  <c r="AA395" i="27"/>
  <c r="Z404" i="27"/>
  <c r="AA404" i="27"/>
  <c r="X404" i="27"/>
  <c r="T404" i="27"/>
  <c r="U404" i="27"/>
  <c r="U395" i="27"/>
  <c r="S404" i="27"/>
  <c r="R404" i="27"/>
  <c r="P395" i="27"/>
  <c r="O404" i="27"/>
  <c r="N404" i="27"/>
  <c r="O395" i="27"/>
  <c r="M395" i="27"/>
  <c r="L395" i="27"/>
  <c r="K404" i="27"/>
  <c r="J404" i="27"/>
  <c r="K395" i="27"/>
  <c r="G404" i="27"/>
  <c r="F395" i="27"/>
  <c r="D404" i="27"/>
  <c r="E404" i="27"/>
  <c r="D395" i="27"/>
  <c r="X395" i="27"/>
  <c r="H395" i="27"/>
  <c r="Z395" i="27"/>
  <c r="N395" i="27"/>
  <c r="T395" i="27"/>
  <c r="V395" i="27"/>
  <c r="J395" i="27"/>
  <c r="AB395" i="27"/>
  <c r="S395" i="27"/>
  <c r="G395" i="27"/>
  <c r="AE395" i="27"/>
  <c r="Y395" i="27"/>
  <c r="AC395" i="27"/>
  <c r="Q395" i="27"/>
  <c r="E395" i="27"/>
  <c r="W395" i="27"/>
  <c r="C199" i="27"/>
  <c r="C249" i="27"/>
  <c r="C27" i="27"/>
  <c r="C68" i="27"/>
  <c r="BQ393" i="43" l="1"/>
  <c r="BQ389" i="41"/>
  <c r="BQ391" i="41"/>
  <c r="BQ391" i="43" s="1"/>
  <c r="BP389" i="41"/>
  <c r="BP389" i="43" s="1"/>
  <c r="BQ400" i="41"/>
  <c r="BQ400" i="43" s="1"/>
  <c r="BP383" i="41"/>
  <c r="BP383" i="43" s="1"/>
  <c r="BQ398" i="41"/>
  <c r="BQ398" i="43" s="1"/>
  <c r="BP388" i="41"/>
  <c r="BP388" i="43" s="1"/>
  <c r="BQ392" i="41"/>
  <c r="BQ392" i="43" s="1"/>
  <c r="BQ399" i="43"/>
  <c r="BP391" i="43"/>
  <c r="BP387" i="43"/>
  <c r="BP390" i="43"/>
  <c r="BP384" i="43"/>
  <c r="BQ383" i="43"/>
  <c r="BQ389" i="43"/>
  <c r="BQ401" i="41"/>
  <c r="BQ401" i="43" s="1"/>
  <c r="BQ385" i="41"/>
  <c r="BQ385" i="43" s="1"/>
  <c r="BQ390" i="41"/>
  <c r="BQ390" i="43" s="1"/>
  <c r="BP385" i="41"/>
  <c r="BP385" i="43" s="1"/>
  <c r="BP393" i="41"/>
  <c r="BP393" i="43" s="1"/>
  <c r="BQ397" i="41"/>
  <c r="BQ397" i="43" s="1"/>
  <c r="BP392" i="41"/>
  <c r="BP392" i="43" s="1"/>
  <c r="BP398" i="41"/>
  <c r="BP398" i="43" s="1"/>
  <c r="BP397" i="41"/>
  <c r="BP397" i="43" s="1"/>
  <c r="BQ388" i="41"/>
  <c r="BQ388" i="43" s="1"/>
  <c r="BP399" i="41"/>
  <c r="BP399" i="43" s="1"/>
  <c r="BP386" i="41"/>
  <c r="BP386" i="43" s="1"/>
  <c r="BQ394" i="41"/>
  <c r="BQ394" i="43" s="1"/>
  <c r="BQ386" i="41"/>
  <c r="BQ386" i="43" s="1"/>
  <c r="BP394" i="41"/>
  <c r="BP394" i="43" s="1"/>
  <c r="BP292" i="43"/>
  <c r="K67" i="54"/>
  <c r="V58" i="54" s="1"/>
  <c r="BP160" i="43"/>
  <c r="C48" i="54"/>
  <c r="BP54" i="43"/>
  <c r="C46" i="54"/>
  <c r="BP246" i="43"/>
  <c r="K46" i="54"/>
  <c r="BP126" i="43"/>
  <c r="C6" i="54"/>
  <c r="BP97" i="43"/>
  <c r="C52" i="54"/>
  <c r="BP196" i="43"/>
  <c r="BP221" i="43"/>
  <c r="O33" i="54"/>
  <c r="BP24" i="43"/>
  <c r="K7" i="54"/>
  <c r="BP75" i="43"/>
  <c r="C35" i="54"/>
  <c r="BP258" i="43"/>
  <c r="G67" i="54"/>
  <c r="V57" i="54" s="1"/>
  <c r="BP66" i="43"/>
  <c r="G47" i="54"/>
  <c r="BP108" i="43"/>
  <c r="C8" i="54"/>
  <c r="BP89" i="43"/>
  <c r="K5" i="54"/>
  <c r="BP142" i="43"/>
  <c r="G73" i="76"/>
  <c r="W60" i="76" s="1"/>
  <c r="G73" i="75"/>
  <c r="W60" i="75" s="1"/>
  <c r="BO404" i="41"/>
  <c r="BN404" i="41"/>
  <c r="AG405" i="41"/>
  <c r="AE19" i="74" s="1"/>
  <c r="AF405" i="41"/>
  <c r="AD19" i="74" s="1"/>
  <c r="BO395" i="41"/>
  <c r="BN395" i="41"/>
  <c r="BO395" i="43"/>
  <c r="BN404" i="43"/>
  <c r="BN395" i="43"/>
  <c r="BO404" i="43"/>
  <c r="BP396" i="27"/>
  <c r="BP396" i="41" s="1"/>
  <c r="BP396" i="43" s="1"/>
  <c r="BN404" i="27"/>
  <c r="BQ382" i="27"/>
  <c r="BQ382" i="41" s="1"/>
  <c r="BQ382" i="43" s="1"/>
  <c r="BO395" i="27"/>
  <c r="BP382" i="27"/>
  <c r="BP382" i="41" s="1"/>
  <c r="BP382" i="43" s="1"/>
  <c r="BN395" i="27"/>
  <c r="G75" i="62"/>
  <c r="BP401" i="27"/>
  <c r="BP401" i="41" s="1"/>
  <c r="BP401" i="43" s="1"/>
  <c r="G74" i="62"/>
  <c r="BP400" i="27"/>
  <c r="BP400" i="41" s="1"/>
  <c r="BP400" i="43" s="1"/>
  <c r="BQ396" i="27"/>
  <c r="BQ396" i="41" s="1"/>
  <c r="BQ396" i="43" s="1"/>
  <c r="BO404" i="27"/>
  <c r="AC405" i="27"/>
  <c r="AA17" i="74" s="1"/>
  <c r="O405" i="27"/>
  <c r="M17" i="74" s="1"/>
  <c r="J405" i="27"/>
  <c r="H17" i="74" s="1"/>
  <c r="K405" i="27"/>
  <c r="I17" i="74" s="1"/>
  <c r="S405" i="27"/>
  <c r="Q17" i="74" s="1"/>
  <c r="F405" i="27"/>
  <c r="D17" i="74" s="1"/>
  <c r="P405" i="27"/>
  <c r="N17" i="74" s="1"/>
  <c r="H405" i="27"/>
  <c r="F17" i="74" s="1"/>
  <c r="AD405" i="27"/>
  <c r="AB17" i="74" s="1"/>
  <c r="I405" i="27"/>
  <c r="G17" i="74" s="1"/>
  <c r="U405" i="27"/>
  <c r="S17" i="74" s="1"/>
  <c r="Z405" i="27"/>
  <c r="X17" i="74" s="1"/>
  <c r="W405" i="27"/>
  <c r="U17" i="74" s="1"/>
  <c r="N405" i="27"/>
  <c r="L17" i="74" s="1"/>
  <c r="L405" i="27"/>
  <c r="J17" i="74" s="1"/>
  <c r="V405" i="27"/>
  <c r="T17" i="74" s="1"/>
  <c r="AB405" i="27"/>
  <c r="Z17" i="74" s="1"/>
  <c r="R405" i="27"/>
  <c r="P17" i="74" s="1"/>
  <c r="M405" i="27"/>
  <c r="K17" i="74" s="1"/>
  <c r="T405" i="27"/>
  <c r="R17" i="74" s="1"/>
  <c r="Q405" i="27"/>
  <c r="O17" i="74" s="1"/>
  <c r="G405" i="27"/>
  <c r="E17" i="74" s="1"/>
  <c r="AA405" i="27"/>
  <c r="Y17" i="74" s="1"/>
  <c r="X405" i="27"/>
  <c r="V17" i="74" s="1"/>
  <c r="Y405" i="27"/>
  <c r="W17" i="74" s="1"/>
  <c r="AE405" i="27"/>
  <c r="AC17" i="74" s="1"/>
  <c r="AG395" i="27"/>
  <c r="AG404" i="27"/>
  <c r="AF395" i="27"/>
  <c r="AF404" i="27"/>
  <c r="AF21" i="74"/>
  <c r="AM19" i="74"/>
  <c r="T405" i="41"/>
  <c r="R19" i="74" s="1"/>
  <c r="E405" i="43"/>
  <c r="C21" i="74" s="1"/>
  <c r="BE19" i="74"/>
  <c r="BD19" i="74"/>
  <c r="BB19" i="74"/>
  <c r="Y405" i="43"/>
  <c r="I405" i="41"/>
  <c r="G19" i="74" s="1"/>
  <c r="BB21" i="74"/>
  <c r="AC405" i="43"/>
  <c r="AG21" i="74"/>
  <c r="AK21" i="74"/>
  <c r="AP21" i="74"/>
  <c r="H405" i="41"/>
  <c r="F19" i="74" s="1"/>
  <c r="AS21" i="74"/>
  <c r="AV21" i="74"/>
  <c r="BJ21" i="74"/>
  <c r="BA21" i="74"/>
  <c r="AI21" i="74"/>
  <c r="BK21" i="74"/>
  <c r="BD21" i="74"/>
  <c r="BG21" i="74"/>
  <c r="AJ21" i="74"/>
  <c r="AY21" i="74"/>
  <c r="AN21" i="74"/>
  <c r="AR21" i="74"/>
  <c r="BE21" i="74"/>
  <c r="AZ21" i="74"/>
  <c r="AT21" i="74"/>
  <c r="AQ21" i="74"/>
  <c r="AX21" i="74"/>
  <c r="BI21" i="74"/>
  <c r="AH21" i="74"/>
  <c r="BC21" i="74"/>
  <c r="AW21" i="74"/>
  <c r="AU21" i="74"/>
  <c r="BH21" i="74"/>
  <c r="AL21" i="74"/>
  <c r="AO21" i="74"/>
  <c r="BF21" i="74"/>
  <c r="T405" i="43"/>
  <c r="V405" i="43"/>
  <c r="P405" i="43"/>
  <c r="J405" i="43"/>
  <c r="W405" i="43"/>
  <c r="D405" i="43"/>
  <c r="B21" i="74" s="1"/>
  <c r="F405" i="43"/>
  <c r="AA405" i="43"/>
  <c r="AB405" i="43"/>
  <c r="Z405" i="43"/>
  <c r="R405" i="43"/>
  <c r="X405" i="43"/>
  <c r="U405" i="43"/>
  <c r="N405" i="43"/>
  <c r="H405" i="43"/>
  <c r="I405" i="43"/>
  <c r="AE405" i="43"/>
  <c r="S405" i="43"/>
  <c r="AD405" i="43"/>
  <c r="O405" i="43"/>
  <c r="AF405" i="43"/>
  <c r="L405" i="43"/>
  <c r="M405" i="43"/>
  <c r="Q405" i="43"/>
  <c r="AG405" i="43"/>
  <c r="K405" i="43"/>
  <c r="G405" i="43"/>
  <c r="BG19" i="74"/>
  <c r="AX19" i="74"/>
  <c r="AV19" i="74"/>
  <c r="BF19" i="74"/>
  <c r="D405" i="41"/>
  <c r="B19" i="74" s="1"/>
  <c r="Z405" i="41"/>
  <c r="X19" i="74" s="1"/>
  <c r="AK19" i="74"/>
  <c r="BA19" i="74"/>
  <c r="AQ19" i="74"/>
  <c r="AN19" i="74"/>
  <c r="BK19" i="74"/>
  <c r="AP19" i="74"/>
  <c r="AY19" i="74"/>
  <c r="AO19" i="74"/>
  <c r="AH19" i="74"/>
  <c r="AL19" i="74"/>
  <c r="AT19" i="74"/>
  <c r="BC19" i="74"/>
  <c r="BJ19" i="74"/>
  <c r="AR19" i="74"/>
  <c r="AZ19" i="74"/>
  <c r="AS19" i="74"/>
  <c r="AW19" i="74"/>
  <c r="AI19" i="74"/>
  <c r="AU19" i="74"/>
  <c r="AG19" i="74"/>
  <c r="AJ19" i="74"/>
  <c r="AD405" i="41"/>
  <c r="AB19" i="74" s="1"/>
  <c r="W405" i="41"/>
  <c r="U19" i="74" s="1"/>
  <c r="S405" i="41"/>
  <c r="Q19" i="74" s="1"/>
  <c r="L405" i="41"/>
  <c r="J19" i="74" s="1"/>
  <c r="U405" i="41"/>
  <c r="S19" i="74" s="1"/>
  <c r="AE405" i="41"/>
  <c r="AC19" i="74" s="1"/>
  <c r="G405" i="41"/>
  <c r="E19" i="74" s="1"/>
  <c r="Q405" i="41"/>
  <c r="O19" i="74" s="1"/>
  <c r="P405" i="41"/>
  <c r="N19" i="74" s="1"/>
  <c r="F405" i="41"/>
  <c r="D19" i="74" s="1"/>
  <c r="AA405" i="41"/>
  <c r="Y19" i="74" s="1"/>
  <c r="AB405" i="41"/>
  <c r="Z19" i="74" s="1"/>
  <c r="N405" i="41"/>
  <c r="L19" i="74" s="1"/>
  <c r="M405" i="41"/>
  <c r="K19" i="74" s="1"/>
  <c r="E405" i="41"/>
  <c r="C19" i="74" s="1"/>
  <c r="X405" i="41"/>
  <c r="V19" i="74" s="1"/>
  <c r="J405" i="41"/>
  <c r="H19" i="74" s="1"/>
  <c r="AC405" i="41"/>
  <c r="AA19" i="74" s="1"/>
  <c r="V405" i="41"/>
  <c r="T19" i="74" s="1"/>
  <c r="K405" i="41"/>
  <c r="I19" i="74" s="1"/>
  <c r="O405" i="41"/>
  <c r="M19" i="74" s="1"/>
  <c r="R405" i="41"/>
  <c r="P19" i="74" s="1"/>
  <c r="Y405" i="41"/>
  <c r="W19" i="74" s="1"/>
  <c r="D405" i="27"/>
  <c r="E405" i="27"/>
  <c r="BN405" i="43" l="1"/>
  <c r="M50" i="76" s="1"/>
  <c r="BO405" i="41"/>
  <c r="M52" i="75" s="1"/>
  <c r="BN405" i="41"/>
  <c r="M50" i="75" s="1"/>
  <c r="AD21" i="74"/>
  <c r="AF406" i="43"/>
  <c r="Y21" i="74"/>
  <c r="AA406" i="43"/>
  <c r="AB21" i="74"/>
  <c r="AD406" i="43"/>
  <c r="Q21" i="74"/>
  <c r="S406" i="43"/>
  <c r="U21" i="74"/>
  <c r="W406" i="43"/>
  <c r="L21" i="74"/>
  <c r="N406" i="43"/>
  <c r="Z21" i="74"/>
  <c r="AB406" i="43"/>
  <c r="G21" i="74"/>
  <c r="I406" i="43"/>
  <c r="E21" i="74"/>
  <c r="G406" i="43"/>
  <c r="W21" i="74"/>
  <c r="Y406" i="43"/>
  <c r="I21" i="74"/>
  <c r="K406" i="43"/>
  <c r="AE21" i="74"/>
  <c r="AG406" i="43"/>
  <c r="K21" i="74"/>
  <c r="M406" i="43"/>
  <c r="M21" i="74"/>
  <c r="O406" i="43"/>
  <c r="D21" i="74"/>
  <c r="F406" i="43"/>
  <c r="AA21" i="74"/>
  <c r="AC406" i="43"/>
  <c r="AC21" i="74"/>
  <c r="AE406" i="43"/>
  <c r="H21" i="74"/>
  <c r="J406" i="43"/>
  <c r="F21" i="74"/>
  <c r="H406" i="43"/>
  <c r="N21" i="74"/>
  <c r="P406" i="43"/>
  <c r="BO405" i="43"/>
  <c r="M52" i="76" s="1"/>
  <c r="T21" i="74"/>
  <c r="V406" i="43"/>
  <c r="S21" i="74"/>
  <c r="U406" i="43"/>
  <c r="R21" i="74"/>
  <c r="T406" i="43"/>
  <c r="O21" i="74"/>
  <c r="Q406" i="43"/>
  <c r="V21" i="74"/>
  <c r="X406" i="43"/>
  <c r="P21" i="74"/>
  <c r="R406" i="43"/>
  <c r="J21" i="74"/>
  <c r="L406" i="43"/>
  <c r="X21" i="74"/>
  <c r="Z406" i="43"/>
  <c r="G74" i="54"/>
  <c r="G73" i="62"/>
  <c r="G75" i="54"/>
  <c r="BP395" i="27"/>
  <c r="BP395" i="41" s="1"/>
  <c r="BP395" i="43" s="1"/>
  <c r="BQ395" i="27"/>
  <c r="BO406" i="27"/>
  <c r="E406" i="41" s="1"/>
  <c r="BO405" i="27"/>
  <c r="M52" i="62" s="1"/>
  <c r="BN406" i="27"/>
  <c r="D406" i="41" s="1"/>
  <c r="BN405" i="27"/>
  <c r="BQ404" i="27"/>
  <c r="BQ404" i="41" s="1"/>
  <c r="BQ404" i="43" s="1"/>
  <c r="BP404" i="27"/>
  <c r="BP404" i="41" s="1"/>
  <c r="BP404" i="43" s="1"/>
  <c r="AF405" i="27"/>
  <c r="AG405" i="27"/>
  <c r="AE17" i="74" s="1"/>
  <c r="D406" i="27"/>
  <c r="B17" i="74"/>
  <c r="E406" i="27"/>
  <c r="C17" i="74"/>
  <c r="BI19" i="74"/>
  <c r="BH19" i="74"/>
  <c r="AM21" i="74"/>
  <c r="AF19" i="74"/>
  <c r="BQ406" i="27" l="1"/>
  <c r="BQ406" i="41" s="1"/>
  <c r="BQ406" i="43" s="1"/>
  <c r="BQ395" i="41"/>
  <c r="BQ395" i="43" s="1"/>
  <c r="BP406" i="27"/>
  <c r="BP406" i="41" s="1"/>
  <c r="BP406" i="43" s="1"/>
  <c r="F406" i="41"/>
  <c r="H406" i="41" s="1"/>
  <c r="J406" i="41" s="1"/>
  <c r="L406" i="41" s="1"/>
  <c r="N406" i="41" s="1"/>
  <c r="P406" i="41" s="1"/>
  <c r="R406" i="41" s="1"/>
  <c r="T406" i="41" s="1"/>
  <c r="V406" i="41" s="1"/>
  <c r="X406" i="41" s="1"/>
  <c r="Z406" i="41" s="1"/>
  <c r="AB406" i="41" s="1"/>
  <c r="AD406" i="41" s="1"/>
  <c r="AF406" i="41" s="1"/>
  <c r="AH406" i="41" s="1"/>
  <c r="AJ406" i="41" s="1"/>
  <c r="AL406" i="41" s="1"/>
  <c r="AN406" i="41" s="1"/>
  <c r="AP406" i="41" s="1"/>
  <c r="AR406" i="41" s="1"/>
  <c r="AT406" i="41" s="1"/>
  <c r="AV406" i="41" s="1"/>
  <c r="AX406" i="41" s="1"/>
  <c r="AZ406" i="41" s="1"/>
  <c r="BB406" i="41" s="1"/>
  <c r="BD406" i="41" s="1"/>
  <c r="BF406" i="41" s="1"/>
  <c r="BH406" i="41" s="1"/>
  <c r="BJ406" i="41" s="1"/>
  <c r="BL406" i="41" s="1"/>
  <c r="G406" i="41"/>
  <c r="I406" i="41" s="1"/>
  <c r="K406" i="41" s="1"/>
  <c r="M406" i="41" s="1"/>
  <c r="O406" i="41" s="1"/>
  <c r="Q406" i="41" s="1"/>
  <c r="S406" i="41" s="1"/>
  <c r="U406" i="41" s="1"/>
  <c r="W406" i="41" s="1"/>
  <c r="Y406" i="41" s="1"/>
  <c r="AA406" i="41" s="1"/>
  <c r="AC406" i="41" s="1"/>
  <c r="AE406" i="41" s="1"/>
  <c r="AG406" i="41" s="1"/>
  <c r="AI406" i="41" s="1"/>
  <c r="AK406" i="41" s="1"/>
  <c r="AM406" i="41" s="1"/>
  <c r="AO406" i="41" s="1"/>
  <c r="AQ406" i="41" s="1"/>
  <c r="AS406" i="41" s="1"/>
  <c r="AU406" i="41" s="1"/>
  <c r="AW406" i="41" s="1"/>
  <c r="AY406" i="41" s="1"/>
  <c r="BA406" i="41" s="1"/>
  <c r="BC406" i="41" s="1"/>
  <c r="BE406" i="41" s="1"/>
  <c r="BG406" i="41" s="1"/>
  <c r="BI406" i="41" s="1"/>
  <c r="BK406" i="41" s="1"/>
  <c r="BM406" i="41" s="1"/>
  <c r="BP405" i="27"/>
  <c r="BP405" i="41" s="1"/>
  <c r="BP405" i="43" s="1"/>
  <c r="BQ405" i="27"/>
  <c r="BQ405" i="41" s="1"/>
  <c r="BQ405" i="43" s="1"/>
  <c r="C44" i="74"/>
  <c r="G406" i="27"/>
  <c r="I406" i="27" s="1"/>
  <c r="K406" i="27" s="1"/>
  <c r="M406" i="27" s="1"/>
  <c r="O406" i="27" s="1"/>
  <c r="Q406" i="27" s="1"/>
  <c r="S406" i="27" s="1"/>
  <c r="U406" i="27" s="1"/>
  <c r="W406" i="27" s="1"/>
  <c r="Y406" i="27" s="1"/>
  <c r="AA406" i="27" s="1"/>
  <c r="AC406" i="27" s="1"/>
  <c r="AE406" i="27" s="1"/>
  <c r="AG406" i="27" s="1"/>
  <c r="AI406" i="27" s="1"/>
  <c r="AK406" i="27" s="1"/>
  <c r="AM406" i="27" s="1"/>
  <c r="AO406" i="27" s="1"/>
  <c r="AQ406" i="27" s="1"/>
  <c r="AS406" i="27" s="1"/>
  <c r="AU406" i="27" s="1"/>
  <c r="AW406" i="27" s="1"/>
  <c r="AY406" i="27" s="1"/>
  <c r="BA406" i="27" s="1"/>
  <c r="BC406" i="27" s="1"/>
  <c r="BE406" i="27" s="1"/>
  <c r="BG406" i="27" s="1"/>
  <c r="BI406" i="27" s="1"/>
  <c r="BK406" i="27" s="1"/>
  <c r="BM406" i="27" s="1"/>
  <c r="B44" i="74"/>
  <c r="F406" i="27"/>
  <c r="H406" i="27" s="1"/>
  <c r="J406" i="27" s="1"/>
  <c r="L406" i="27" s="1"/>
  <c r="N406" i="27" s="1"/>
  <c r="P406" i="27" s="1"/>
  <c r="R406" i="27" s="1"/>
  <c r="T406" i="27" s="1"/>
  <c r="V406" i="27" s="1"/>
  <c r="X406" i="27" s="1"/>
  <c r="Z406" i="27" s="1"/>
  <c r="AB406" i="27" s="1"/>
  <c r="AD406" i="27" s="1"/>
  <c r="AF406" i="27" s="1"/>
  <c r="AH406" i="27" s="1"/>
  <c r="AJ406" i="27" s="1"/>
  <c r="AL406" i="27" s="1"/>
  <c r="AN406" i="27" s="1"/>
  <c r="AP406" i="27" s="1"/>
  <c r="AR406" i="27" s="1"/>
  <c r="AT406" i="27" s="1"/>
  <c r="AV406" i="27" s="1"/>
  <c r="AX406" i="27" s="1"/>
  <c r="AZ406" i="27" s="1"/>
  <c r="BB406" i="27" s="1"/>
  <c r="BD406" i="27" s="1"/>
  <c r="BF406" i="27" s="1"/>
  <c r="BH406" i="27" s="1"/>
  <c r="BJ406" i="27" s="1"/>
  <c r="BL406" i="27" s="1"/>
  <c r="V41" i="54"/>
  <c r="AD17" i="74"/>
  <c r="M52" i="54" l="1"/>
  <c r="D406" i="43"/>
  <c r="E406" i="43"/>
  <c r="D44" i="74"/>
  <c r="S53" i="54"/>
  <c r="U10" i="54"/>
  <c r="V23" i="54"/>
  <c r="T47" i="54"/>
  <c r="V37" i="54"/>
  <c r="S24" i="54"/>
  <c r="S4" i="54"/>
  <c r="S47" i="54"/>
  <c r="U34" i="54"/>
  <c r="U18" i="54"/>
  <c r="T18" i="54"/>
  <c r="V32" i="54"/>
  <c r="E44" i="74"/>
  <c r="G44" i="74"/>
  <c r="F44" i="74" l="1"/>
  <c r="H44" i="74"/>
  <c r="I44" i="74"/>
  <c r="T46" i="54"/>
  <c r="V17" i="54"/>
  <c r="S46" i="54"/>
  <c r="S31" i="54"/>
  <c r="J44" i="74" l="1"/>
  <c r="K44" i="74"/>
  <c r="U3" i="54"/>
  <c r="M44" i="74" l="1"/>
  <c r="L44" i="74"/>
  <c r="N44" i="74" l="1"/>
  <c r="O44" i="74"/>
  <c r="Q44" i="74" l="1"/>
  <c r="P44" i="74"/>
  <c r="R44" i="74" l="1"/>
  <c r="S44" i="74"/>
  <c r="U44" i="74" l="1"/>
  <c r="T44" i="74"/>
  <c r="V44" i="74" l="1"/>
  <c r="W44" i="74"/>
  <c r="Y44" i="74" l="1"/>
  <c r="X44" i="74"/>
  <c r="C145" i="27"/>
  <c r="C111" i="27"/>
  <c r="C91" i="27"/>
  <c r="Z44" i="74" l="1"/>
  <c r="AA44" i="74"/>
  <c r="AC44" i="74" l="1"/>
  <c r="AB44" i="74"/>
  <c r="AD44" i="74" l="1"/>
  <c r="AE44" i="74"/>
  <c r="C368" i="27" l="1"/>
  <c r="C330" i="27"/>
  <c r="C100" i="27"/>
  <c r="T6" i="54" l="1"/>
  <c r="S35" i="54" l="1"/>
  <c r="T48" i="54" l="1"/>
  <c r="T35" i="54" l="1"/>
  <c r="C80" i="62"/>
  <c r="D82" i="64" l="1"/>
  <c r="I45" i="64" l="1"/>
  <c r="V40" i="54"/>
  <c r="T20" i="54"/>
  <c r="S30" i="64"/>
  <c r="S12" i="54"/>
  <c r="U33" i="54"/>
  <c r="V38" i="54"/>
  <c r="D30" i="64"/>
  <c r="V34" i="54"/>
  <c r="U38" i="54"/>
  <c r="D2" i="64"/>
  <c r="AK17" i="74"/>
  <c r="BC17" i="74"/>
  <c r="AY17" i="74"/>
  <c r="AU17" i="74"/>
  <c r="BB17" i="74"/>
  <c r="BF17" i="74"/>
  <c r="AX17" i="74"/>
  <c r="BA17" i="74"/>
  <c r="BD17" i="74"/>
  <c r="AJ17" i="74"/>
  <c r="BG17" i="74"/>
  <c r="AT17" i="74"/>
  <c r="AQ17" i="74"/>
  <c r="AN17" i="74"/>
  <c r="AI17" i="74"/>
  <c r="AP17" i="74"/>
  <c r="BH17" i="74"/>
  <c r="AH17" i="74"/>
  <c r="AW17" i="74"/>
  <c r="AL17" i="74"/>
  <c r="AZ17" i="74"/>
  <c r="AS17" i="74"/>
  <c r="BI17" i="74"/>
  <c r="AV17" i="74"/>
  <c r="AO17" i="74"/>
  <c r="BK17" i="74"/>
  <c r="AM17" i="74"/>
  <c r="BE17" i="74"/>
  <c r="AR17" i="74"/>
  <c r="BJ17" i="74"/>
  <c r="I73" i="64" l="1"/>
  <c r="AA60" i="64" s="1"/>
  <c r="U13" i="54"/>
  <c r="C80" i="54"/>
  <c r="I30" i="64"/>
  <c r="AG44" i="74"/>
  <c r="AG17" i="74"/>
  <c r="AF44" i="74"/>
  <c r="AF17" i="74"/>
  <c r="V31" i="54"/>
  <c r="AR37" i="74" a="1"/>
  <c r="P27" i="74" a="1"/>
  <c r="CN27" i="74" a="1"/>
  <c r="AF10" i="74" a="1"/>
  <c r="BY24" i="74" a="1"/>
  <c r="E51" i="74" a="1"/>
  <c r="P40" i="74" a="1"/>
  <c r="W37" i="74" a="1"/>
  <c r="AE10" i="74" a="1"/>
  <c r="BZ24" i="74" a="1"/>
  <c r="AR40" i="74" a="1"/>
  <c r="X37" i="74" a="1"/>
  <c r="AZ13" i="74" a="1"/>
  <c r="AB37" i="74" a="1"/>
  <c r="BJ10" i="74" a="1"/>
  <c r="C37" i="74" a="1"/>
  <c r="Y10" i="74" a="1"/>
  <c r="BW37" i="74" a="1"/>
  <c r="AY37" i="74" a="1"/>
  <c r="G37" i="74" a="1"/>
  <c r="CK10" i="74" a="1"/>
  <c r="AU37" i="74" a="1"/>
  <c r="AO24" i="74" a="1"/>
  <c r="CA10" i="74" a="1"/>
  <c r="BG27" i="74" a="1"/>
  <c r="S37" i="74" a="1"/>
  <c r="AR24" i="74" a="1"/>
  <c r="Z40" i="74" a="1"/>
  <c r="AD40" i="74" a="1"/>
  <c r="CF27" i="74" a="1"/>
  <c r="BY37" i="74" a="1"/>
  <c r="AA13" i="74" a="1"/>
  <c r="P54" i="74" a="1"/>
  <c r="AT13" i="74" a="1"/>
  <c r="AZ27" i="74" a="1"/>
  <c r="BG24" i="74" a="1"/>
  <c r="U10" i="74" a="1"/>
  <c r="P51" i="74" a="1"/>
  <c r="CI24" i="74" a="1"/>
  <c r="CC40" i="74" a="1"/>
  <c r="V10" i="74" a="1"/>
  <c r="AW37" i="74" a="1"/>
  <c r="V13" i="74" a="1"/>
  <c r="CJ10" i="74" a="1"/>
  <c r="BP27" i="74" a="1"/>
  <c r="BH37" i="74" a="1"/>
  <c r="AZ40" i="74" a="1"/>
  <c r="B40" i="74" a="1"/>
  <c r="AV10" i="74" a="1"/>
  <c r="AY10" i="74" a="1"/>
  <c r="BG10" i="74" a="1"/>
  <c r="AB10" i="74" a="1"/>
  <c r="AP10" i="74" a="1"/>
  <c r="N40" i="74" a="1"/>
  <c r="N37" i="74" a="1"/>
  <c r="CM13" i="74" a="1"/>
  <c r="CM10" i="74" a="1"/>
  <c r="BC24" i="74" a="1"/>
  <c r="I10" i="74" a="1"/>
  <c r="AK13" i="74" a="1"/>
  <c r="BB13" i="74" a="1"/>
  <c r="AX24" i="74" a="1"/>
  <c r="AC37" i="74" a="1"/>
  <c r="T10" i="74" a="1"/>
  <c r="H27" i="74" a="1"/>
  <c r="AE40" i="74" a="1"/>
  <c r="AS27" i="74" a="1"/>
  <c r="AG37" i="74" a="1"/>
  <c r="BU27" i="74" a="1"/>
  <c r="BF27" i="74" a="1"/>
  <c r="AI40" i="74" a="1"/>
  <c r="BN37" i="74" a="1"/>
  <c r="BP24" i="74" a="1"/>
  <c r="CC27" i="74" a="1"/>
  <c r="BS13" i="74" a="1"/>
  <c r="AN13" i="74" a="1"/>
  <c r="AH40" i="74" a="1"/>
  <c r="O51" i="74" a="1"/>
  <c r="H37" i="74" a="1"/>
  <c r="CD13" i="74" a="1"/>
  <c r="AP27" i="74" a="1"/>
  <c r="I27" i="74" a="1"/>
  <c r="AA37" i="74" a="1"/>
  <c r="G13" i="74" a="1"/>
  <c r="AE13" i="74" a="1"/>
  <c r="CG13" i="74" a="1"/>
  <c r="AB27" i="74" a="1"/>
  <c r="AX40" i="74" a="1"/>
  <c r="BD10" i="74" a="1"/>
  <c r="Z37" i="74" a="1"/>
  <c r="S40" i="74" a="1"/>
  <c r="CM27" i="74" a="1"/>
  <c r="AD13" i="74" a="1"/>
  <c r="I54" i="74" a="1"/>
  <c r="AY24" i="74" a="1"/>
  <c r="P37" i="74" a="1"/>
  <c r="AZ37" i="74" a="1"/>
  <c r="CJ27" i="74" a="1"/>
  <c r="M37" i="74" a="1"/>
  <c r="AT40" i="74" a="1"/>
  <c r="AA10" i="74" a="1"/>
  <c r="AP13" i="74" a="1"/>
  <c r="D37" i="74" a="1"/>
  <c r="BS37" i="74" a="1"/>
  <c r="P13" i="74" a="1"/>
  <c r="AM27" i="74" a="1"/>
  <c r="AB40" i="74" a="1"/>
  <c r="CA40" i="74" a="1"/>
  <c r="CN13" i="74" a="1"/>
  <c r="Q13" i="74" a="1"/>
  <c r="H40" i="74" a="1"/>
  <c r="O10" i="74" a="1"/>
  <c r="BI37" i="74" a="1"/>
  <c r="AQ13" i="74" a="1"/>
  <c r="C13" i="74" a="1"/>
  <c r="T37" i="74" a="1"/>
  <c r="H24" i="74" a="1"/>
  <c r="N10" i="74" a="1"/>
  <c r="BU40" i="74" a="1"/>
  <c r="CD27" i="74" a="1"/>
  <c r="CK24" i="74" a="1"/>
  <c r="AM37" i="74" a="1"/>
  <c r="AD24" i="74" a="1"/>
  <c r="AN10" i="74" a="1"/>
  <c r="AY40" i="74" a="1"/>
  <c r="BK40" i="74" a="1"/>
  <c r="CB37" i="74" a="1"/>
  <c r="H10" i="74" a="1"/>
  <c r="C27" i="74" a="1"/>
  <c r="CH24" i="74" a="1"/>
  <c r="CD40" i="74" a="1"/>
  <c r="BK13" i="74" a="1"/>
  <c r="K40" i="74" a="1"/>
  <c r="T24" i="74" a="1"/>
  <c r="CN40" i="74" a="1"/>
  <c r="BZ10" i="74" a="1"/>
  <c r="BQ40" i="74" a="1"/>
  <c r="L37" i="74" a="1"/>
  <c r="BO13" i="74" a="1"/>
  <c r="AG10" i="74" a="1"/>
  <c r="AG24" i="74" a="1"/>
  <c r="AW10" i="74" a="1"/>
  <c r="BY27" i="74" a="1"/>
  <c r="BZ37" i="74" a="1"/>
  <c r="BS27" i="74" a="1"/>
  <c r="G24" i="74" a="1"/>
  <c r="BR10" i="74" a="1"/>
  <c r="BU10" i="74" a="1"/>
  <c r="D54" i="74" a="1"/>
  <c r="BB37" i="74" a="1"/>
  <c r="BW27" i="74" a="1"/>
  <c r="AM13" i="74" a="1"/>
  <c r="BN13" i="74" a="1"/>
  <c r="BK24" i="74" a="1"/>
  <c r="D13" i="74" a="1"/>
  <c r="BU13" i="74" a="1"/>
  <c r="B13" i="74" a="1"/>
  <c r="F37" i="74" a="1"/>
  <c r="AS10" i="74" a="1"/>
  <c r="BE13" i="74" a="1"/>
  <c r="AH24" i="74" a="1"/>
  <c r="BH10" i="74" a="1"/>
  <c r="CI40" i="74" a="1"/>
  <c r="U13" i="74" a="1"/>
  <c r="CM40" i="74" a="1"/>
  <c r="BP40" i="74" a="1"/>
  <c r="S24" i="74" a="1"/>
  <c r="AT27" i="74" a="1"/>
  <c r="CA24" i="74" a="1"/>
  <c r="C54" i="74" a="1"/>
  <c r="CE24" i="74" a="1"/>
  <c r="BC13" i="74" a="1"/>
  <c r="AU10" i="74" a="1"/>
  <c r="AU24" i="74" a="1"/>
  <c r="AW13" i="74" a="1"/>
  <c r="N24" i="74" a="1"/>
  <c r="F10" i="74" a="1"/>
  <c r="CK13" i="74" a="1"/>
  <c r="BG37" i="74" a="1"/>
  <c r="I24" i="74" a="1"/>
  <c r="BN10" i="74" a="1"/>
  <c r="AA24" i="74" a="1"/>
  <c r="BK10" i="74" a="1"/>
  <c r="BH13" i="74" a="1"/>
  <c r="Q40" i="74" a="1"/>
  <c r="C24" i="74" a="1"/>
  <c r="AS24" i="74" a="1"/>
  <c r="AP40" i="74" a="1"/>
  <c r="BE24" i="74" a="1"/>
  <c r="AS40" i="74" a="1"/>
  <c r="K27" i="74" a="1"/>
  <c r="BV13" i="74" a="1"/>
  <c r="K10" i="74" a="1"/>
  <c r="BI40" i="74" a="1"/>
  <c r="BF24" i="74" a="1"/>
  <c r="AN40" i="74" a="1"/>
  <c r="AC13" i="74" a="1"/>
  <c r="H54" i="74" a="1"/>
  <c r="AN37" i="74" a="1"/>
  <c r="AN27" i="74" a="1"/>
  <c r="J13" i="74" a="1"/>
  <c r="AL37" i="74" a="1"/>
  <c r="BN24" i="74" a="1"/>
  <c r="B51" i="74" a="1"/>
  <c r="D40" i="74" a="1"/>
  <c r="CK27" i="74" a="1"/>
  <c r="BN27" i="74" a="1"/>
  <c r="I51" i="74" a="1"/>
  <c r="CE27" i="74" a="1"/>
  <c r="J51" i="74" a="1"/>
  <c r="BD37" i="74" a="1"/>
  <c r="BR37" i="74" a="1"/>
  <c r="AR13" i="74" a="1"/>
  <c r="V24" i="74" a="1"/>
  <c r="CG10" i="74" a="1"/>
  <c r="BD13" i="74" a="1"/>
  <c r="CI37" i="74" a="1"/>
  <c r="AX37" i="74" a="1"/>
  <c r="Z27" i="74" a="1"/>
  <c r="K37" i="74" a="1"/>
  <c r="CL24" i="74" a="1"/>
  <c r="X27" i="74" a="1"/>
  <c r="BC10" i="74" a="1"/>
  <c r="BF37" i="74" a="1"/>
  <c r="BI24" i="74" a="1"/>
  <c r="E40" i="74" a="1"/>
  <c r="AS37" i="74" a="1"/>
  <c r="CK40" i="74" a="1"/>
  <c r="CN10" i="74" a="1"/>
  <c r="AG13" i="74" a="1"/>
  <c r="CL13" i="74" a="1"/>
  <c r="AJ24" i="74" a="1"/>
  <c r="BG40" i="74" a="1"/>
  <c r="AD37" i="74" a="1"/>
  <c r="AT37" i="74" a="1"/>
  <c r="CJ37" i="74" a="1"/>
  <c r="BA13" i="74" a="1"/>
  <c r="AI37" i="74" a="1"/>
  <c r="AT10" i="74" a="1"/>
  <c r="CD10" i="74" a="1"/>
  <c r="BL24" i="74" a="1"/>
  <c r="AV13" i="74" a="1"/>
  <c r="BC40" i="74" a="1"/>
  <c r="AC10" i="74" a="1"/>
  <c r="O37" i="74" a="1"/>
  <c r="BB24" i="74" a="1"/>
  <c r="AL24" i="74" a="1"/>
  <c r="E13" i="74" a="1"/>
  <c r="BR13" i="74" a="1"/>
  <c r="AY27" i="74" a="1"/>
  <c r="AW40" i="74" a="1"/>
  <c r="AN24" i="74" a="1"/>
  <c r="AM24" i="74" a="1"/>
  <c r="L10" i="74" a="1"/>
  <c r="R13" i="74" a="1"/>
  <c r="BN40" i="74" a="1"/>
  <c r="S10" i="74" a="1"/>
  <c r="CA13" i="74" a="1"/>
  <c r="BE27" i="74" a="1"/>
  <c r="CM24" i="74" a="1"/>
  <c r="X10" i="74" a="1"/>
  <c r="CI27" i="74" a="1"/>
  <c r="BR24" i="74" a="1"/>
  <c r="N54" i="74" a="1"/>
  <c r="V37" i="74" a="1"/>
  <c r="BQ37" i="74" a="1"/>
  <c r="BH27" i="74" a="1"/>
  <c r="CL10" i="74" a="1"/>
  <c r="BL40" i="74" a="1"/>
  <c r="AI27" i="74" a="1"/>
  <c r="V40" i="74" a="1"/>
  <c r="M54" i="74" a="1"/>
  <c r="B24" i="74" a="1"/>
  <c r="AJ27" i="74" a="1"/>
  <c r="CG40" i="74" a="1"/>
  <c r="J10" i="74" a="1"/>
  <c r="BS40" i="74" a="1"/>
  <c r="L13" i="74" a="1"/>
  <c r="BC37" i="74" a="1"/>
  <c r="X13" i="74" a="1"/>
  <c r="BP10" i="74" a="1"/>
  <c r="CF37" i="74" a="1"/>
  <c r="BJ13" i="74" a="1"/>
  <c r="BI13" i="74" a="1"/>
  <c r="BT37" i="74" a="1"/>
  <c r="R40" i="74" a="1"/>
  <c r="CE10" i="74" a="1"/>
  <c r="L40" i="74" a="1"/>
  <c r="BR40" i="74" a="1"/>
  <c r="CG24" i="74" a="1"/>
  <c r="CE13" i="74" a="1"/>
  <c r="Y24" i="74" a="1"/>
  <c r="CH37" i="74" a="1"/>
  <c r="Y27" i="74" a="1"/>
  <c r="AD10" i="74" a="1"/>
  <c r="M27" i="74" a="1"/>
  <c r="O54" i="74" a="1"/>
  <c r="BS24" i="74" a="1"/>
  <c r="BZ13" i="74" a="1"/>
  <c r="AO27" i="74" a="1"/>
  <c r="BC27" i="74" a="1"/>
  <c r="CD37" i="74" a="1"/>
  <c r="BO40" i="74" a="1"/>
  <c r="M51" i="74" a="1"/>
  <c r="W27" i="74" a="1"/>
  <c r="BA10" i="74" a="1"/>
  <c r="CC37" i="74" a="1"/>
  <c r="BM40" i="74" a="1"/>
  <c r="AG27" i="74" a="1"/>
  <c r="BS10" i="74" a="1"/>
  <c r="AB13" i="74" a="1"/>
  <c r="AK37" i="74" a="1"/>
  <c r="AE24" i="74" a="1"/>
  <c r="Q10" i="74" a="1"/>
  <c r="N13" i="74" a="1"/>
  <c r="CH10" i="74" a="1"/>
  <c r="BT10" i="74" a="1"/>
  <c r="I37" i="74" a="1"/>
  <c r="BI10" i="74" a="1"/>
  <c r="CA37" i="74" a="1"/>
  <c r="J37" i="74" a="1"/>
  <c r="O24" i="74" a="1"/>
  <c r="AW27" i="74" a="1"/>
  <c r="P24" i="74" a="1"/>
  <c r="BK37" i="74" a="1"/>
  <c r="CL27" i="74" a="1"/>
  <c r="BD40" i="74" a="1"/>
  <c r="AF24" i="74" a="1"/>
  <c r="AV40" i="74" a="1"/>
  <c r="AW24" i="74" a="1"/>
  <c r="BM24" i="74" a="1"/>
  <c r="AC27" i="74" a="1"/>
  <c r="R37" i="74" a="1"/>
  <c r="S13" i="74" a="1"/>
  <c r="AO10" i="74" a="1"/>
  <c r="BF13" i="74" a="1"/>
  <c r="C40" i="74" a="1"/>
  <c r="G51" i="74" a="1"/>
  <c r="O27" i="74" a="1"/>
  <c r="AJ10" i="74" a="1"/>
  <c r="CG37" i="74" a="1"/>
  <c r="BK27" i="74" a="1"/>
  <c r="BL13" i="74" a="1"/>
  <c r="CF24" i="74" a="1"/>
  <c r="CO24" i="74" a="1"/>
  <c r="Z13" i="74" a="1"/>
  <c r="U24" i="74" a="1"/>
  <c r="AH27" i="74" a="1"/>
  <c r="F24" i="74" a="1"/>
  <c r="AC24" i="74" a="1"/>
  <c r="AQ37" i="74" a="1"/>
  <c r="AC40" i="74" a="1"/>
  <c r="BT27" i="74" a="1"/>
  <c r="BQ27" i="74" a="1"/>
  <c r="U40" i="74" a="1"/>
  <c r="U37" i="74" a="1"/>
  <c r="AK24" i="74" a="1"/>
  <c r="CO27" i="74" a="1"/>
  <c r="E54" i="74" a="1"/>
  <c r="BZ40" i="74" a="1"/>
  <c r="B10" i="74" a="1"/>
  <c r="J27" i="74" a="1"/>
  <c r="BE37" i="74" a="1"/>
  <c r="M24" i="74" a="1"/>
  <c r="BH40" i="74" a="1"/>
  <c r="B37" i="74" a="1"/>
  <c r="AY13" i="74" a="1"/>
  <c r="AL40" i="74" a="1"/>
  <c r="W10" i="74" a="1"/>
  <c r="BX10" i="74" a="1"/>
  <c r="R24" i="74" a="1"/>
  <c r="K51" i="74" a="1"/>
  <c r="CI10" i="74" a="1"/>
  <c r="CG27" i="74" a="1"/>
  <c r="N51" i="74" a="1"/>
  <c r="G27" i="74" a="1"/>
  <c r="E24" i="74" a="1"/>
  <c r="BI27" i="74" a="1"/>
  <c r="AH10" i="74" a="1"/>
  <c r="BH24" i="74" a="1"/>
  <c r="BM10" i="74" a="1"/>
  <c r="BE40" i="74" a="1"/>
  <c r="Y40" i="74" a="1"/>
  <c r="O40" i="74" a="1"/>
  <c r="AA40" i="74" a="1"/>
  <c r="BY10" i="74" a="1"/>
  <c r="M40" i="74" a="1"/>
  <c r="BF40" i="74" a="1"/>
  <c r="BW13" i="74" a="1"/>
  <c r="AO37" i="74" a="1"/>
  <c r="AG40" i="74" a="1"/>
  <c r="AJ40" i="74" a="1"/>
  <c r="BM27" i="74" a="1"/>
  <c r="BM37" i="74" a="1"/>
  <c r="CC10" i="74" a="1"/>
  <c r="BY40" i="74" a="1"/>
  <c r="BT13" i="74" a="1"/>
  <c r="BX24" i="74" a="1"/>
  <c r="X24" i="74" a="1"/>
  <c r="AR27" i="74" a="1"/>
  <c r="AH37" i="74" a="1"/>
  <c r="U27" i="74" a="1"/>
  <c r="BP13" i="74" a="1"/>
  <c r="AL13" i="74" a="1"/>
  <c r="AE37" i="74" a="1"/>
  <c r="AE27" i="74" a="1"/>
  <c r="BQ24" i="74" a="1"/>
  <c r="L27" i="74" a="1"/>
  <c r="BJ37" i="74" a="1"/>
  <c r="AF27" i="74" a="1"/>
  <c r="R27" i="74" a="1"/>
  <c r="BW24" i="74" a="1"/>
  <c r="CE40" i="74" a="1"/>
  <c r="BG13" i="74" a="1"/>
  <c r="BV27" i="74" a="1"/>
  <c r="D27" i="74" a="1"/>
  <c r="AS13" i="74" a="1"/>
  <c r="C51" i="74" a="1"/>
  <c r="BV40" i="74" a="1"/>
  <c r="BX37" i="74" a="1"/>
  <c r="W24" i="74" a="1"/>
  <c r="X40" i="74" a="1"/>
  <c r="B27" i="74" a="1"/>
  <c r="R10" i="74" a="1"/>
  <c r="AI24" i="74" a="1"/>
  <c r="BJ24" i="74" a="1"/>
  <c r="CH13" i="74" a="1"/>
  <c r="L24" i="74" a="1"/>
  <c r="CE37" i="74" a="1"/>
  <c r="CJ24" i="74" a="1"/>
  <c r="BO37" i="74" a="1"/>
  <c r="M13" i="74" a="1"/>
  <c r="BO27" i="74" a="1"/>
  <c r="CI13" i="74" a="1"/>
  <c r="F40" i="74" a="1"/>
  <c r="J40" i="74" a="1"/>
  <c r="BX27" i="74" a="1"/>
  <c r="BD24" i="74" a="1"/>
  <c r="E10" i="74" a="1"/>
  <c r="BL27" i="74" a="1"/>
  <c r="D24" i="74" a="1"/>
  <c r="T13" i="74" a="1"/>
  <c r="G54" i="74" a="1"/>
  <c r="BX40" i="74" a="1"/>
  <c r="AD27" i="74" a="1"/>
  <c r="CJ40" i="74" a="1"/>
  <c r="CH27" i="74" a="1"/>
  <c r="AO40" i="74" a="1"/>
  <c r="AV37" i="74" a="1"/>
  <c r="AK27" i="74" a="1"/>
  <c r="BW40" i="74" a="1"/>
  <c r="AJ13" i="74" a="1"/>
  <c r="BX13" i="74" a="1"/>
  <c r="BO10" i="74" a="1"/>
  <c r="L51" i="74" a="1"/>
  <c r="K24" i="74" a="1"/>
  <c r="AL10" i="74" a="1"/>
  <c r="BQ13" i="74" a="1"/>
  <c r="BV10" i="74" a="1"/>
  <c r="BY13" i="74" a="1"/>
  <c r="AX13" i="74" a="1"/>
  <c r="BJ40" i="74" a="1"/>
  <c r="I13" i="74" a="1"/>
  <c r="K13" i="74" a="1"/>
  <c r="BA37" i="74" a="1"/>
  <c r="AI10" i="74" a="1"/>
  <c r="CF10" i="74" a="1"/>
  <c r="BU37" i="74" a="1"/>
  <c r="AL27" i="74" a="1"/>
  <c r="F51" i="74" a="1"/>
  <c r="CC13" i="74" a="1"/>
  <c r="AR10" i="74" a="1"/>
  <c r="CM37" i="74" a="1"/>
  <c r="AQ27" i="74" a="1"/>
  <c r="BB40" i="74" a="1"/>
  <c r="I40" i="74" a="1"/>
  <c r="G10" i="74" a="1"/>
  <c r="F27" i="74" a="1"/>
  <c r="D10" i="74" a="1"/>
  <c r="M10" i="74" a="1"/>
  <c r="Q37" i="74" a="1"/>
  <c r="BV37" i="74" a="1"/>
  <c r="BL10" i="74" a="1"/>
  <c r="AJ37" i="74" a="1"/>
  <c r="CH40" i="74" a="1"/>
  <c r="AI13" i="74" a="1"/>
  <c r="AM40" i="74" a="1"/>
  <c r="AX27" i="74" a="1"/>
  <c r="BV24" i="74" a="1"/>
  <c r="P10" i="74" a="1"/>
  <c r="T40" i="74" a="1"/>
  <c r="AO13" i="74" a="1"/>
  <c r="E37" i="74" a="1"/>
  <c r="CD24" i="74" a="1"/>
  <c r="BB27" i="74" a="1"/>
  <c r="AZ24" i="74" a="1"/>
  <c r="CB13" i="74" a="1"/>
  <c r="CA27" i="74" a="1"/>
  <c r="F13" i="74" a="1"/>
  <c r="BD27" i="74" a="1"/>
  <c r="C10" i="74" a="1"/>
  <c r="BO24" i="74" a="1"/>
  <c r="AB24" i="74" a="1"/>
  <c r="CL40" i="74" a="1"/>
  <c r="J54" i="74" a="1"/>
  <c r="BQ10" i="74" a="1"/>
  <c r="J24" i="74" a="1"/>
  <c r="S27" i="74" a="1"/>
  <c r="BF10" i="74" a="1"/>
  <c r="BB10" i="74" a="1"/>
  <c r="BL37" i="74" a="1"/>
  <c r="BU24" i="74" a="1"/>
  <c r="AT24" i="74" a="1"/>
  <c r="AM10" i="74" a="1"/>
  <c r="BA24" i="74" a="1"/>
  <c r="AU40" i="74" a="1"/>
  <c r="AQ40" i="74" a="1"/>
  <c r="BP37" i="74" a="1"/>
  <c r="CK37" i="74" a="1"/>
  <c r="BA40" i="74" a="1"/>
  <c r="AF37" i="74" a="1"/>
  <c r="G40" i="74" a="1"/>
  <c r="BA27" i="74" a="1"/>
  <c r="AV27" i="74" a="1"/>
  <c r="CN24" i="74" a="1"/>
  <c r="AH13" i="74" a="1"/>
  <c r="AF40" i="74" a="1"/>
  <c r="AU13" i="74" a="1"/>
  <c r="CC24" i="74" a="1"/>
  <c r="BR27" i="74" a="1"/>
  <c r="AF13" i="74" a="1"/>
  <c r="CF40" i="74" a="1"/>
  <c r="H51" i="74" a="1"/>
  <c r="AU27" i="74" a="1"/>
  <c r="CB10" i="74" a="1"/>
  <c r="BJ27" i="74" a="1"/>
  <c r="AK10" i="74" a="1"/>
  <c r="W40" i="74" a="1"/>
  <c r="B54" i="74" a="1"/>
  <c r="Z24" i="74" a="1"/>
  <c r="CN37" i="74" a="1"/>
  <c r="BM13" i="74" a="1"/>
  <c r="BZ27" i="74" a="1"/>
  <c r="K54" i="74" a="1"/>
  <c r="CB40" i="74" a="1"/>
  <c r="V27" i="74" a="1"/>
  <c r="AA27" i="74" a="1"/>
  <c r="N27" i="74" a="1"/>
  <c r="BE10" i="74" a="1"/>
  <c r="BW10" i="74" a="1"/>
  <c r="BT40" i="74" a="1"/>
  <c r="F54" i="74" a="1"/>
  <c r="AQ24" i="74" a="1"/>
  <c r="W13" i="74" a="1"/>
  <c r="CB24" i="74" a="1"/>
  <c r="BT24" i="74" a="1"/>
  <c r="AZ10" i="74" a="1"/>
  <c r="AQ10" i="74" a="1"/>
  <c r="Y37" i="74" a="1"/>
  <c r="CL37" i="74" a="1"/>
  <c r="T27" i="74" a="1"/>
  <c r="Y13" i="74" a="1"/>
  <c r="E27" i="74" a="1"/>
  <c r="AK40" i="74" a="1"/>
  <c r="CF13" i="74" a="1"/>
  <c r="AX10" i="74" a="1"/>
  <c r="O13" i="74" a="1"/>
  <c r="AV24" i="74" a="1"/>
  <c r="AP24" i="74" a="1"/>
  <c r="D51" i="74" a="1"/>
  <c r="AP37" i="74" a="1"/>
  <c r="L54" i="74" a="1"/>
  <c r="CB27" i="74" a="1"/>
  <c r="H13" i="74" a="1"/>
  <c r="Z10" i="74" a="1"/>
  <c r="CJ13" i="74" a="1"/>
  <c r="Q54" i="74" a="1"/>
  <c r="Q51" i="74" a="1"/>
  <c r="Q27" i="74" a="1"/>
  <c r="Q24" i="74" a="1"/>
  <c r="CJ13" i="74" l="1"/>
  <c r="Z10" i="74"/>
  <c r="H13" i="74"/>
  <c r="CB27" i="74"/>
  <c r="L54" i="74"/>
  <c r="AP37" i="74"/>
  <c r="D51" i="74"/>
  <c r="AP24" i="74"/>
  <c r="AV24" i="74"/>
  <c r="O13" i="74"/>
  <c r="AX10" i="74"/>
  <c r="CF13" i="74"/>
  <c r="AK40" i="74"/>
  <c r="E27" i="74"/>
  <c r="Y13" i="74"/>
  <c r="T27" i="74"/>
  <c r="CL37" i="74"/>
  <c r="Y37" i="74"/>
  <c r="AQ10" i="74"/>
  <c r="AZ10" i="74"/>
  <c r="BT24" i="74"/>
  <c r="CB24" i="74"/>
  <c r="W13" i="74"/>
  <c r="AQ24" i="74"/>
  <c r="F54" i="74"/>
  <c r="BT40" i="74"/>
  <c r="BW10" i="74"/>
  <c r="BE10" i="74"/>
  <c r="N27" i="74"/>
  <c r="AA27" i="74"/>
  <c r="V27" i="74"/>
  <c r="CB40" i="74"/>
  <c r="K54" i="74"/>
  <c r="BZ27" i="74"/>
  <c r="BM13" i="74"/>
  <c r="CN37" i="74"/>
  <c r="Z24" i="74"/>
  <c r="B54" i="74"/>
  <c r="W40" i="74"/>
  <c r="AK10" i="74"/>
  <c r="BJ27" i="74"/>
  <c r="CB10" i="74"/>
  <c r="AU27" i="74"/>
  <c r="H51" i="74"/>
  <c r="CF40" i="74"/>
  <c r="AF13" i="74"/>
  <c r="BR27" i="74"/>
  <c r="CC24" i="74"/>
  <c r="AU13" i="74"/>
  <c r="AF40" i="74"/>
  <c r="AH13" i="74"/>
  <c r="CN24" i="74"/>
  <c r="AV27" i="74"/>
  <c r="BA27" i="74"/>
  <c r="G40" i="74"/>
  <c r="AF37" i="74"/>
  <c r="BA40" i="74"/>
  <c r="CK37" i="74"/>
  <c r="BP37" i="74"/>
  <c r="AQ40" i="74"/>
  <c r="AU40" i="74"/>
  <c r="BA24" i="74"/>
  <c r="AM10" i="74"/>
  <c r="AT24" i="74"/>
  <c r="BU24" i="74"/>
  <c r="BL37" i="74"/>
  <c r="BB10" i="74"/>
  <c r="BF10" i="74"/>
  <c r="S27" i="74"/>
  <c r="J24" i="74"/>
  <c r="BQ10" i="74"/>
  <c r="J54" i="74"/>
  <c r="CL40" i="74"/>
  <c r="AB24" i="74"/>
  <c r="BO24" i="74"/>
  <c r="C10" i="74"/>
  <c r="BD27" i="74"/>
  <c r="F13" i="74"/>
  <c r="CA27" i="74"/>
  <c r="CB13" i="74"/>
  <c r="AZ24" i="74"/>
  <c r="BB27" i="74"/>
  <c r="CD24" i="74"/>
  <c r="E37" i="74"/>
  <c r="AO13" i="74"/>
  <c r="T40" i="74"/>
  <c r="P10" i="74"/>
  <c r="BV24" i="74"/>
  <c r="AX27" i="74"/>
  <c r="AM40" i="74"/>
  <c r="AI13" i="74"/>
  <c r="CH40" i="74"/>
  <c r="AJ37" i="74"/>
  <c r="BL10" i="74"/>
  <c r="BV37" i="74"/>
  <c r="Q37" i="74"/>
  <c r="M10" i="74"/>
  <c r="D10" i="74"/>
  <c r="F27" i="74"/>
  <c r="G10" i="74"/>
  <c r="I40" i="74"/>
  <c r="BB40" i="74"/>
  <c r="AQ27" i="74"/>
  <c r="CM37" i="74"/>
  <c r="AR10" i="74"/>
  <c r="CC13" i="74"/>
  <c r="F51" i="74"/>
  <c r="AL27" i="74"/>
  <c r="BU37" i="74"/>
  <c r="CF10" i="74"/>
  <c r="AI10" i="74"/>
  <c r="BA37" i="74"/>
  <c r="K13" i="74"/>
  <c r="I13" i="74"/>
  <c r="BJ40" i="74"/>
  <c r="AX13" i="74"/>
  <c r="BY13" i="74"/>
  <c r="BV10" i="74"/>
  <c r="BQ13" i="74"/>
  <c r="AL10" i="74"/>
  <c r="K24" i="74"/>
  <c r="L51" i="74"/>
  <c r="BO10" i="74"/>
  <c r="BX13" i="74"/>
  <c r="AJ13" i="74"/>
  <c r="BW40" i="74"/>
  <c r="AK27" i="74"/>
  <c r="AV37" i="74"/>
  <c r="AO40" i="74"/>
  <c r="CH27" i="74"/>
  <c r="CJ40" i="74"/>
  <c r="AD27" i="74"/>
  <c r="BX40" i="74"/>
  <c r="G54" i="74"/>
  <c r="T13" i="74"/>
  <c r="D24" i="74"/>
  <c r="BL27" i="74"/>
  <c r="E10" i="74"/>
  <c r="BD24" i="74"/>
  <c r="BX27" i="74"/>
  <c r="J40" i="74"/>
  <c r="F40" i="74"/>
  <c r="CI13" i="74"/>
  <c r="BO27" i="74"/>
  <c r="M13" i="74"/>
  <c r="BO37" i="74"/>
  <c r="CJ24" i="74"/>
  <c r="CE37" i="74"/>
  <c r="L24" i="74"/>
  <c r="CH13" i="74"/>
  <c r="BJ24" i="74"/>
  <c r="AI24" i="74"/>
  <c r="R10" i="74"/>
  <c r="B27" i="74"/>
  <c r="X40" i="74"/>
  <c r="W24" i="74"/>
  <c r="BX37" i="74"/>
  <c r="BV40" i="74"/>
  <c r="C51" i="74"/>
  <c r="AS13" i="74"/>
  <c r="D27" i="74"/>
  <c r="BV27" i="74"/>
  <c r="BG13" i="74"/>
  <c r="CE40" i="74"/>
  <c r="BW24" i="74"/>
  <c r="R27" i="74"/>
  <c r="AF27" i="74"/>
  <c r="BJ37" i="74"/>
  <c r="L27" i="74"/>
  <c r="BQ24" i="74"/>
  <c r="AE27" i="74"/>
  <c r="AE37" i="74"/>
  <c r="AL13" i="74"/>
  <c r="BP13" i="74"/>
  <c r="U27" i="74"/>
  <c r="AH37" i="74"/>
  <c r="AR27" i="74"/>
  <c r="X24" i="74"/>
  <c r="BX24" i="74"/>
  <c r="BT13" i="74"/>
  <c r="BY40" i="74"/>
  <c r="CC10" i="74"/>
  <c r="BM37" i="74"/>
  <c r="BM27" i="74"/>
  <c r="AJ40" i="74"/>
  <c r="AG40" i="74"/>
  <c r="AO37" i="74"/>
  <c r="BW13" i="74"/>
  <c r="BF40" i="74"/>
  <c r="M40" i="74"/>
  <c r="BY10" i="74"/>
  <c r="AA40" i="74"/>
  <c r="O40" i="74"/>
  <c r="Y40" i="74"/>
  <c r="BE40" i="74"/>
  <c r="BM10" i="74"/>
  <c r="BH24" i="74"/>
  <c r="AH10" i="74"/>
  <c r="BI27" i="74"/>
  <c r="E24" i="74"/>
  <c r="G27" i="74"/>
  <c r="N51" i="74"/>
  <c r="CG27" i="74"/>
  <c r="CI10" i="74"/>
  <c r="K51" i="74"/>
  <c r="R24" i="74"/>
  <c r="BX10" i="74"/>
  <c r="W10" i="74"/>
  <c r="AL40" i="74"/>
  <c r="AY13" i="74"/>
  <c r="B37" i="74"/>
  <c r="BH40" i="74"/>
  <c r="M24" i="74"/>
  <c r="BE37" i="74"/>
  <c r="J27" i="74"/>
  <c r="B10" i="74"/>
  <c r="BZ40" i="74"/>
  <c r="E54" i="74"/>
  <c r="CO27" i="74"/>
  <c r="AK24" i="74"/>
  <c r="U37" i="74"/>
  <c r="U40" i="74"/>
  <c r="BQ27" i="74"/>
  <c r="BT27" i="74"/>
  <c r="AC40" i="74"/>
  <c r="AQ37" i="74"/>
  <c r="AC24" i="74"/>
  <c r="F24" i="74"/>
  <c r="AH27" i="74"/>
  <c r="U24" i="74"/>
  <c r="Z13" i="74"/>
  <c r="CO24" i="74"/>
  <c r="CF24" i="74"/>
  <c r="BL13" i="74"/>
  <c r="BK27" i="74"/>
  <c r="CG37" i="74"/>
  <c r="AJ10" i="74"/>
  <c r="O27" i="74"/>
  <c r="G51" i="74"/>
  <c r="C40" i="74"/>
  <c r="BF13" i="74"/>
  <c r="AO10" i="74"/>
  <c r="S13" i="74"/>
  <c r="R37" i="74"/>
  <c r="AC27" i="74"/>
  <c r="BM24" i="74"/>
  <c r="AW24" i="74"/>
  <c r="AV40" i="74"/>
  <c r="AF24" i="74"/>
  <c r="BD40" i="74"/>
  <c r="CL27" i="74"/>
  <c r="BK37" i="74"/>
  <c r="P24" i="74"/>
  <c r="AW27" i="74"/>
  <c r="O24" i="74"/>
  <c r="J37" i="74"/>
  <c r="CA37" i="74"/>
  <c r="BI10" i="74"/>
  <c r="I37" i="74"/>
  <c r="BT10" i="74"/>
  <c r="CH10" i="74"/>
  <c r="N13" i="74"/>
  <c r="Q10" i="74"/>
  <c r="AE24" i="74"/>
  <c r="AK37" i="74"/>
  <c r="AB13" i="74"/>
  <c r="BS10" i="74"/>
  <c r="AG27" i="74"/>
  <c r="BM40" i="74"/>
  <c r="CC37" i="74"/>
  <c r="BA10" i="74"/>
  <c r="W27" i="74"/>
  <c r="M51" i="74"/>
  <c r="BO40" i="74"/>
  <c r="CD37" i="74"/>
  <c r="BC27" i="74"/>
  <c r="AO27" i="74"/>
  <c r="BZ13" i="74"/>
  <c r="BS24" i="74"/>
  <c r="O54" i="74"/>
  <c r="M27" i="74"/>
  <c r="AD10" i="74"/>
  <c r="Y27" i="74"/>
  <c r="CH37" i="74"/>
  <c r="Y24" i="74"/>
  <c r="CE13" i="74"/>
  <c r="CG24" i="74"/>
  <c r="BR40" i="74"/>
  <c r="L40" i="74"/>
  <c r="CE10" i="74"/>
  <c r="R40" i="74"/>
  <c r="BT37" i="74"/>
  <c r="BI13" i="74"/>
  <c r="BJ13" i="74"/>
  <c r="CF37" i="74"/>
  <c r="BP10" i="74"/>
  <c r="X13" i="74"/>
  <c r="BC37" i="74"/>
  <c r="L13" i="74"/>
  <c r="BS40" i="74"/>
  <c r="J10" i="74"/>
  <c r="CG40" i="74"/>
  <c r="AJ27" i="74"/>
  <c r="B24" i="74"/>
  <c r="M54" i="74"/>
  <c r="V40" i="74"/>
  <c r="AI27" i="74"/>
  <c r="BL40" i="74"/>
  <c r="CL10" i="74"/>
  <c r="BH27" i="74"/>
  <c r="BQ37" i="74"/>
  <c r="V37" i="74"/>
  <c r="N54" i="74"/>
  <c r="BR24" i="74"/>
  <c r="CI27" i="74"/>
  <c r="X10" i="74"/>
  <c r="CM24" i="74"/>
  <c r="BE27" i="74"/>
  <c r="CA13" i="74"/>
  <c r="S10" i="74"/>
  <c r="BN40" i="74"/>
  <c r="R13" i="74"/>
  <c r="L10" i="74"/>
  <c r="AM24" i="74"/>
  <c r="AN24" i="74"/>
  <c r="AW40" i="74"/>
  <c r="AY27" i="74"/>
  <c r="BR13" i="74"/>
  <c r="E13" i="74"/>
  <c r="AL24" i="74"/>
  <c r="BB24" i="74"/>
  <c r="O37" i="74"/>
  <c r="AC10" i="74"/>
  <c r="BC40" i="74"/>
  <c r="AV13" i="74"/>
  <c r="BL24" i="74"/>
  <c r="CD10" i="74"/>
  <c r="AT10" i="74"/>
  <c r="AI37" i="74"/>
  <c r="BA13" i="74"/>
  <c r="CJ37" i="74"/>
  <c r="AT37" i="74"/>
  <c r="AD37" i="74"/>
  <c r="BG40" i="74"/>
  <c r="AJ24" i="74"/>
  <c r="CL13" i="74"/>
  <c r="AG13" i="74"/>
  <c r="CN10" i="74"/>
  <c r="CK40" i="74"/>
  <c r="AS37" i="74"/>
  <c r="E40" i="74"/>
  <c r="BI24" i="74"/>
  <c r="BF37" i="74"/>
  <c r="BC10" i="74"/>
  <c r="X27" i="74"/>
  <c r="CL24" i="74"/>
  <c r="K37" i="74"/>
  <c r="Z27" i="74"/>
  <c r="AX37" i="74"/>
  <c r="CI37" i="74"/>
  <c r="BD13" i="74"/>
  <c r="CG10" i="74"/>
  <c r="V24" i="74"/>
  <c r="AR13" i="74"/>
  <c r="BR37" i="74"/>
  <c r="BD37" i="74"/>
  <c r="J51" i="74"/>
  <c r="CE27" i="74"/>
  <c r="I51" i="74"/>
  <c r="BN27" i="74"/>
  <c r="CK27" i="74"/>
  <c r="D40" i="74"/>
  <c r="B51" i="74"/>
  <c r="BN24" i="74"/>
  <c r="AL37" i="74"/>
  <c r="J13" i="74"/>
  <c r="AN27" i="74"/>
  <c r="AN37" i="74"/>
  <c r="H54" i="74"/>
  <c r="AC13" i="74"/>
  <c r="AN40" i="74"/>
  <c r="BF24" i="74"/>
  <c r="BI40" i="74"/>
  <c r="K10" i="74"/>
  <c r="BV13" i="74"/>
  <c r="K27" i="74"/>
  <c r="AS40" i="74"/>
  <c r="BE24" i="74"/>
  <c r="AP40" i="74"/>
  <c r="AS24" i="74"/>
  <c r="C24" i="74"/>
  <c r="Q40" i="74"/>
  <c r="BH13" i="74"/>
  <c r="BK10" i="74"/>
  <c r="AA24" i="74"/>
  <c r="BN10" i="74"/>
  <c r="I24" i="74"/>
  <c r="BG37" i="74"/>
  <c r="CK13" i="74"/>
  <c r="F10" i="74"/>
  <c r="N24" i="74"/>
  <c r="AW13" i="74"/>
  <c r="AU24" i="74"/>
  <c r="AU10" i="74"/>
  <c r="BC13" i="74"/>
  <c r="CE24" i="74"/>
  <c r="C54" i="74"/>
  <c r="CA24" i="74"/>
  <c r="AT27" i="74"/>
  <c r="S24" i="74"/>
  <c r="BP40" i="74"/>
  <c r="CM40" i="74"/>
  <c r="U13" i="74"/>
  <c r="CI40" i="74"/>
  <c r="BH10" i="74"/>
  <c r="AH24" i="74"/>
  <c r="BE13" i="74"/>
  <c r="AS10" i="74"/>
  <c r="F37" i="74"/>
  <c r="B13" i="74"/>
  <c r="BU13" i="74"/>
  <c r="D13" i="74"/>
  <c r="BK24" i="74"/>
  <c r="BN13" i="74"/>
  <c r="AM13" i="74"/>
  <c r="BW27" i="74"/>
  <c r="BB37" i="74"/>
  <c r="D54" i="74"/>
  <c r="BU10" i="74"/>
  <c r="BR10" i="74"/>
  <c r="G24" i="74"/>
  <c r="BS27" i="74"/>
  <c r="BZ37" i="74"/>
  <c r="BY27" i="74"/>
  <c r="AW10" i="74"/>
  <c r="AG24" i="74"/>
  <c r="AG10" i="74"/>
  <c r="BO13" i="74"/>
  <c r="L37" i="74"/>
  <c r="BQ40" i="74"/>
  <c r="BZ10" i="74"/>
  <c r="CN40" i="74"/>
  <c r="T24" i="74"/>
  <c r="K40" i="74"/>
  <c r="BK13" i="74"/>
  <c r="CD40" i="74"/>
  <c r="CH24" i="74"/>
  <c r="C27" i="74"/>
  <c r="H10" i="74"/>
  <c r="CB37" i="74"/>
  <c r="BK40" i="74"/>
  <c r="AY40" i="74"/>
  <c r="AN10" i="74"/>
  <c r="AD24" i="74"/>
  <c r="AM37" i="74"/>
  <c r="CK24" i="74"/>
  <c r="CD27" i="74"/>
  <c r="BU40" i="74"/>
  <c r="N10" i="74"/>
  <c r="H24" i="74"/>
  <c r="T37" i="74"/>
  <c r="C13" i="74"/>
  <c r="AQ13" i="74"/>
  <c r="BI37" i="74"/>
  <c r="O10" i="74"/>
  <c r="H40" i="74"/>
  <c r="Q13" i="74"/>
  <c r="CN13" i="74"/>
  <c r="CA40" i="74"/>
  <c r="AB40" i="74"/>
  <c r="AM27" i="74"/>
  <c r="P13" i="74"/>
  <c r="BS37" i="74"/>
  <c r="D37" i="74"/>
  <c r="AP13" i="74"/>
  <c r="AA10" i="74"/>
  <c r="AT40" i="74"/>
  <c r="M37" i="74"/>
  <c r="CJ27" i="74"/>
  <c r="AZ37" i="74"/>
  <c r="P37" i="74"/>
  <c r="AY24" i="74"/>
  <c r="I54" i="74"/>
  <c r="AD13" i="74"/>
  <c r="CM27" i="74"/>
  <c r="S40" i="74"/>
  <c r="Z37" i="74"/>
  <c r="BD10" i="74"/>
  <c r="AX40" i="74"/>
  <c r="AB27" i="74"/>
  <c r="CG13" i="74"/>
  <c r="AE13" i="74"/>
  <c r="G13" i="74"/>
  <c r="AA37" i="74"/>
  <c r="I27" i="74"/>
  <c r="AP27" i="74"/>
  <c r="CD13" i="74"/>
  <c r="H37" i="74"/>
  <c r="O51" i="74"/>
  <c r="AH40" i="74"/>
  <c r="AN13" i="74"/>
  <c r="BS13" i="74"/>
  <c r="CC27" i="74"/>
  <c r="BP24" i="74"/>
  <c r="BN37" i="74"/>
  <c r="AI40" i="74"/>
  <c r="BF27" i="74"/>
  <c r="BU27" i="74"/>
  <c r="AG37" i="74"/>
  <c r="AS27" i="74"/>
  <c r="AE40" i="74"/>
  <c r="H27" i="74"/>
  <c r="T10" i="74"/>
  <c r="AC37" i="74"/>
  <c r="AX24" i="74"/>
  <c r="BB13" i="74"/>
  <c r="AK13" i="74"/>
  <c r="I10" i="74"/>
  <c r="BC24" i="74"/>
  <c r="CM10" i="74"/>
  <c r="CM13" i="74"/>
  <c r="N37" i="74"/>
  <c r="N40" i="74"/>
  <c r="AP10" i="74"/>
  <c r="AB10" i="74"/>
  <c r="BG10" i="74"/>
  <c r="AY10" i="74"/>
  <c r="AV10" i="74"/>
  <c r="B40" i="74"/>
  <c r="AZ40" i="74"/>
  <c r="BH37" i="74"/>
  <c r="BP27" i="74"/>
  <c r="CJ10" i="74"/>
  <c r="V13" i="74"/>
  <c r="AW37" i="74"/>
  <c r="V10" i="74"/>
  <c r="CC40" i="74"/>
  <c r="CI24" i="74"/>
  <c r="P51" i="74"/>
  <c r="U10" i="74"/>
  <c r="BG24" i="74"/>
  <c r="AZ27" i="74"/>
  <c r="AT13" i="74"/>
  <c r="P54" i="74"/>
  <c r="AA13" i="74"/>
  <c r="BY37" i="74"/>
  <c r="CF27" i="74"/>
  <c r="AD40" i="74"/>
  <c r="Z40" i="74"/>
  <c r="AR24" i="74"/>
  <c r="S37" i="74"/>
  <c r="BG27" i="74"/>
  <c r="CA10" i="74"/>
  <c r="AO24" i="74"/>
  <c r="AU37" i="74"/>
  <c r="CK10" i="74"/>
  <c r="G37" i="74"/>
  <c r="AY37" i="74"/>
  <c r="BW37" i="74"/>
  <c r="Y10" i="74"/>
  <c r="C37" i="74"/>
  <c r="BJ10" i="74"/>
  <c r="AB37" i="74"/>
  <c r="AZ13" i="74"/>
  <c r="X37" i="74"/>
  <c r="AR40" i="74"/>
  <c r="BZ24" i="74"/>
  <c r="AE10" i="74"/>
  <c r="W37" i="74"/>
  <c r="P40" i="74"/>
  <c r="E51" i="74"/>
  <c r="BY24" i="74"/>
  <c r="AF10" i="74"/>
  <c r="CN27" i="74"/>
  <c r="P27" i="74"/>
  <c r="AR37" i="74"/>
  <c r="S16" i="64"/>
  <c r="V19" i="54"/>
  <c r="N2" i="64"/>
  <c r="D45" i="64"/>
  <c r="U7" i="54"/>
  <c r="S2" i="64"/>
  <c r="Q24" i="74"/>
  <c r="Q51" i="74"/>
  <c r="Q27" i="74"/>
  <c r="Q54" i="74"/>
  <c r="T31" i="54" l="1"/>
  <c r="AI44" i="74"/>
  <c r="AH44" i="74"/>
  <c r="B46" i="74"/>
  <c r="AJ44" i="74"/>
  <c r="AK44" i="74"/>
  <c r="S51" i="74" a="1"/>
  <c r="R54" i="74" a="1"/>
  <c r="R51" i="74" a="1"/>
  <c r="AG51" i="74" a="1"/>
  <c r="S54" i="74" a="1"/>
  <c r="R54" i="74" l="1"/>
  <c r="R51" i="74"/>
  <c r="S54" i="74"/>
  <c r="S51" i="74"/>
  <c r="AG51" i="74"/>
  <c r="AM44" i="74"/>
  <c r="AL44" i="74"/>
  <c r="D46" i="74"/>
  <c r="T54" i="74" a="1"/>
  <c r="T51" i="74" a="1"/>
  <c r="AH51" i="74" a="1"/>
  <c r="T51" i="74" l="1"/>
  <c r="T54" i="74"/>
  <c r="AH51" i="74"/>
  <c r="AN44" i="74"/>
  <c r="C46" i="74"/>
  <c r="AO44" i="74"/>
  <c r="F46" i="74"/>
  <c r="AI51" i="74" a="1"/>
  <c r="AG54" i="74" a="1"/>
  <c r="U54" i="74" a="1"/>
  <c r="U51" i="74" a="1"/>
  <c r="AG54" i="74" l="1"/>
  <c r="U51" i="74"/>
  <c r="AI51" i="74"/>
  <c r="U54" i="74"/>
  <c r="AP44" i="74"/>
  <c r="E46" i="74"/>
  <c r="H46" i="74"/>
  <c r="AQ44" i="74"/>
  <c r="W60" i="62"/>
  <c r="V51" i="74" a="1"/>
  <c r="AJ51" i="74" a="1"/>
  <c r="AH54" i="74" a="1"/>
  <c r="V54" i="74" a="1"/>
  <c r="AH54" i="74" l="1"/>
  <c r="V51" i="74"/>
  <c r="V54" i="74"/>
  <c r="AJ51" i="74"/>
  <c r="G46" i="74"/>
  <c r="AR44" i="74"/>
  <c r="AS44" i="74"/>
  <c r="J46" i="74"/>
  <c r="AK51" i="74" a="1"/>
  <c r="W54" i="74" a="1"/>
  <c r="W51" i="74" a="1"/>
  <c r="AI54" i="74" a="1"/>
  <c r="W51" i="74" l="1"/>
  <c r="AK51" i="74"/>
  <c r="AI54" i="74"/>
  <c r="W54" i="74"/>
  <c r="AT44" i="74"/>
  <c r="I46" i="74"/>
  <c r="L46" i="74"/>
  <c r="AU44" i="74"/>
  <c r="AL51" i="74" a="1"/>
  <c r="AJ54" i="74" a="1"/>
  <c r="X51" i="74" a="1"/>
  <c r="X54" i="74" a="1"/>
  <c r="X51" i="74" l="1"/>
  <c r="X54" i="74"/>
  <c r="AL51" i="74"/>
  <c r="AJ54" i="74"/>
  <c r="AV44" i="74"/>
  <c r="AW44" i="74"/>
  <c r="N46" i="74"/>
  <c r="K46" i="74"/>
  <c r="Y54" i="74" a="1"/>
  <c r="Y51" i="74" a="1"/>
  <c r="AM51" i="74" a="1"/>
  <c r="AK54" i="74" a="1"/>
  <c r="T4" i="54" l="1"/>
  <c r="T21" i="54"/>
  <c r="V25" i="54"/>
  <c r="V13" i="54"/>
  <c r="S36" i="54"/>
  <c r="U37" i="54"/>
  <c r="U9" i="54"/>
  <c r="T25" i="54"/>
  <c r="U35" i="54"/>
  <c r="V39" i="54"/>
  <c r="V11" i="54"/>
  <c r="U8" i="54"/>
  <c r="T22" i="54"/>
  <c r="T24" i="54"/>
  <c r="V26" i="54"/>
  <c r="T23" i="54"/>
  <c r="U20" i="54"/>
  <c r="U36" i="54"/>
  <c r="U39" i="54"/>
  <c r="T26" i="54"/>
  <c r="U32" i="54"/>
  <c r="V3" i="54"/>
  <c r="T55" i="54"/>
  <c r="S33" i="54"/>
  <c r="U5" i="54"/>
  <c r="S38" i="54"/>
  <c r="V35" i="54"/>
  <c r="AK54" i="74"/>
  <c r="AM51" i="74"/>
  <c r="Y51" i="74"/>
  <c r="Y54" i="74"/>
  <c r="P46" i="74"/>
  <c r="AY44" i="74"/>
  <c r="M46" i="74"/>
  <c r="AX44" i="74"/>
  <c r="V24" i="54"/>
  <c r="T27" i="54"/>
  <c r="U6" i="54"/>
  <c r="T19" i="54"/>
  <c r="V27" i="54"/>
  <c r="U42" i="54"/>
  <c r="AN51" i="74" a="1"/>
  <c r="Z51" i="74" a="1"/>
  <c r="Z54" i="74" a="1"/>
  <c r="AL54" i="74" a="1"/>
  <c r="T32" i="54" l="1"/>
  <c r="G30" i="54"/>
  <c r="U12" i="54"/>
  <c r="S39" i="54"/>
  <c r="S40" i="54"/>
  <c r="U11" i="54"/>
  <c r="C30" i="54"/>
  <c r="K45" i="54"/>
  <c r="T49" i="54"/>
  <c r="G45" i="54"/>
  <c r="H73" i="64"/>
  <c r="R30" i="64"/>
  <c r="C82" i="64"/>
  <c r="C45" i="54"/>
  <c r="S51" i="54"/>
  <c r="R2" i="64"/>
  <c r="AL54" i="74"/>
  <c r="Z51" i="74"/>
  <c r="Z54" i="74"/>
  <c r="AN51" i="74"/>
  <c r="R46" i="74"/>
  <c r="BA44" i="74"/>
  <c r="AZ44" i="74"/>
  <c r="O46" i="74"/>
  <c r="H45" i="64"/>
  <c r="T52" i="54"/>
  <c r="C30" i="64"/>
  <c r="C45" i="64"/>
  <c r="S37" i="54"/>
  <c r="V18" i="54"/>
  <c r="U4" i="54"/>
  <c r="K2" i="54"/>
  <c r="T17" i="54"/>
  <c r="G16" i="54"/>
  <c r="AA51" i="74" a="1"/>
  <c r="AO51" i="74" a="1"/>
  <c r="AM54" i="74" a="1"/>
  <c r="AA54" i="74" a="1"/>
  <c r="AO51" i="74" l="1"/>
  <c r="AM54" i="74"/>
  <c r="AA51" i="74"/>
  <c r="AA54" i="74"/>
  <c r="BB44" i="74"/>
  <c r="BC44" i="74"/>
  <c r="T46" i="74"/>
  <c r="Q46" i="74"/>
  <c r="G73" i="54"/>
  <c r="W60" i="54" s="1"/>
  <c r="Z60" i="64"/>
  <c r="AN54" i="74" a="1"/>
  <c r="AP51" i="74" a="1"/>
  <c r="AB54" i="74" a="1"/>
  <c r="AB51" i="74" a="1"/>
  <c r="AP51" i="74" l="1"/>
  <c r="AB54" i="74"/>
  <c r="AB51" i="74"/>
  <c r="AN54" i="74"/>
  <c r="V46" i="74"/>
  <c r="BE44" i="74"/>
  <c r="BD44" i="74"/>
  <c r="S46" i="74"/>
  <c r="C77" i="27"/>
  <c r="N66" i="64"/>
  <c r="T33" i="54"/>
  <c r="C66" i="64"/>
  <c r="I2" i="64"/>
  <c r="C16" i="64"/>
  <c r="I16" i="64"/>
  <c r="N30" i="64"/>
  <c r="M30" i="64"/>
  <c r="D66" i="64"/>
  <c r="N16" i="64"/>
  <c r="T50" i="54"/>
  <c r="H66" i="64"/>
  <c r="M66" i="64"/>
  <c r="M45" i="64"/>
  <c r="S48" i="54"/>
  <c r="N45" i="64"/>
  <c r="S11" i="54"/>
  <c r="V5" i="54"/>
  <c r="S49" i="54"/>
  <c r="T38" i="54"/>
  <c r="T40" i="54"/>
  <c r="U19" i="54"/>
  <c r="V7" i="54"/>
  <c r="S26" i="54"/>
  <c r="S23" i="54"/>
  <c r="S6" i="54"/>
  <c r="T53" i="54"/>
  <c r="S18" i="54"/>
  <c r="T39" i="54"/>
  <c r="S22" i="54"/>
  <c r="U22" i="54"/>
  <c r="U27" i="54"/>
  <c r="S20" i="54"/>
  <c r="S27" i="54"/>
  <c r="S50" i="54"/>
  <c r="U23" i="54"/>
  <c r="S8" i="54"/>
  <c r="U21" i="54"/>
  <c r="T36" i="54"/>
  <c r="U24" i="54"/>
  <c r="T37" i="54"/>
  <c r="V36" i="54"/>
  <c r="V10" i="54"/>
  <c r="S14" i="54"/>
  <c r="U26" i="54"/>
  <c r="T51" i="54"/>
  <c r="V6" i="54"/>
  <c r="V21" i="54"/>
  <c r="S19" i="54"/>
  <c r="S5" i="54"/>
  <c r="S21" i="54"/>
  <c r="T5" i="54"/>
  <c r="V22" i="54"/>
  <c r="S13" i="54"/>
  <c r="U25" i="54"/>
  <c r="V8" i="54"/>
  <c r="T54" i="54"/>
  <c r="S34" i="54"/>
  <c r="S55" i="54"/>
  <c r="S56" i="54"/>
  <c r="S52" i="54"/>
  <c r="S54" i="54"/>
  <c r="V12" i="54"/>
  <c r="S10" i="54"/>
  <c r="S7" i="54"/>
  <c r="T34" i="54"/>
  <c r="V9" i="54"/>
  <c r="S9" i="54"/>
  <c r="S25" i="54"/>
  <c r="AC51" i="74" a="1"/>
  <c r="AQ51" i="74" a="1"/>
  <c r="AC54" i="74" a="1"/>
  <c r="AO54" i="74" a="1"/>
  <c r="E29" i="54" l="1"/>
  <c r="AC54" i="74"/>
  <c r="AQ51" i="74"/>
  <c r="AO54" i="74"/>
  <c r="AC51" i="74"/>
  <c r="U46" i="74"/>
  <c r="BF44" i="74"/>
  <c r="BG44" i="74"/>
  <c r="X46" i="74"/>
  <c r="O30" i="54"/>
  <c r="U31" i="54"/>
  <c r="I29" i="54" s="1"/>
  <c r="K30" i="54"/>
  <c r="C2" i="54"/>
  <c r="V20" i="54"/>
  <c r="M15" i="54" s="1"/>
  <c r="O16" i="54"/>
  <c r="C16" i="54"/>
  <c r="U17" i="54"/>
  <c r="I15" i="54" s="1"/>
  <c r="K16" i="54"/>
  <c r="T3" i="54"/>
  <c r="E1" i="54" s="1"/>
  <c r="G2" i="54"/>
  <c r="V4" i="54"/>
  <c r="M1" i="54" s="1"/>
  <c r="O2" i="54"/>
  <c r="E44" i="54"/>
  <c r="S32" i="54"/>
  <c r="A29" i="54" s="1"/>
  <c r="S3" i="54"/>
  <c r="A1" i="54" s="1"/>
  <c r="U43" i="54"/>
  <c r="K66" i="54"/>
  <c r="W58" i="54" s="1"/>
  <c r="V33" i="54"/>
  <c r="M29" i="54" s="1"/>
  <c r="S17" i="54"/>
  <c r="A15" i="54" s="1"/>
  <c r="E15" i="54"/>
  <c r="A44" i="54"/>
  <c r="I1" i="54"/>
  <c r="G66" i="54"/>
  <c r="W57" i="54" s="1"/>
  <c r="AA59" i="64"/>
  <c r="D16" i="64"/>
  <c r="P52" i="64" s="1"/>
  <c r="R16" i="64"/>
  <c r="I66" i="64"/>
  <c r="AA57" i="64" s="1"/>
  <c r="Z57" i="64"/>
  <c r="H2" i="64"/>
  <c r="M16" i="64"/>
  <c r="H16" i="64"/>
  <c r="AA58" i="64"/>
  <c r="Z58" i="64"/>
  <c r="C2" i="64"/>
  <c r="H30" i="64"/>
  <c r="C66" i="54"/>
  <c r="W59" i="54" s="1"/>
  <c r="Z59" i="64"/>
  <c r="M2" i="64"/>
  <c r="AD51" i="74" a="1"/>
  <c r="AP54" i="74" a="1"/>
  <c r="AD54" i="74" a="1"/>
  <c r="AR51" i="74" a="1"/>
  <c r="P50" i="64" l="1"/>
  <c r="M50" i="54"/>
  <c r="AP54" i="74"/>
  <c r="AR51" i="74"/>
  <c r="AD54" i="74"/>
  <c r="AD51" i="74"/>
  <c r="Z46" i="74"/>
  <c r="BK44" i="74"/>
  <c r="BI44" i="74"/>
  <c r="W46" i="74"/>
  <c r="BJ44" i="74"/>
  <c r="BH44" i="74"/>
  <c r="A32" i="68" a="1"/>
  <c r="A32" i="68" s="1"/>
  <c r="AE51" i="74" a="1"/>
  <c r="AF51" i="74" a="1"/>
  <c r="AE54" i="74" a="1"/>
  <c r="AF54" i="74" a="1"/>
  <c r="AQ54" i="74" a="1"/>
  <c r="AS51" i="74" a="1"/>
  <c r="AQ54" i="74" l="1"/>
  <c r="AF54" i="74"/>
  <c r="AS51" i="74"/>
  <c r="AE51" i="74"/>
  <c r="AF51" i="74"/>
  <c r="AE54" i="74"/>
  <c r="AB46" i="74"/>
  <c r="Y46" i="74"/>
  <c r="C77" i="41"/>
  <c r="AR54" i="74" a="1"/>
  <c r="AT51" i="74" a="1"/>
  <c r="AD46" i="74" l="1"/>
  <c r="AR54" i="74"/>
  <c r="AT51" i="74"/>
  <c r="AA46" i="74"/>
  <c r="C77" i="43"/>
  <c r="AS54" i="74" a="1"/>
  <c r="AU51" i="74" a="1"/>
  <c r="AU51" i="74" l="1"/>
  <c r="AF46" i="74"/>
  <c r="AS54" i="74"/>
  <c r="AC46" i="74"/>
  <c r="O30" i="62"/>
  <c r="G66" i="62"/>
  <c r="W57" i="62" s="1"/>
  <c r="G45" i="62"/>
  <c r="C45" i="62"/>
  <c r="G2" i="62"/>
  <c r="G16" i="62"/>
  <c r="C30" i="62"/>
  <c r="C2" i="62"/>
  <c r="O2" i="62"/>
  <c r="K30" i="62"/>
  <c r="O16" i="62"/>
  <c r="K2" i="62"/>
  <c r="C16" i="62"/>
  <c r="C66" i="62"/>
  <c r="W59" i="62" s="1"/>
  <c r="K45" i="62"/>
  <c r="K66" i="62"/>
  <c r="W58" i="62" s="1"/>
  <c r="K16" i="62"/>
  <c r="G30" i="62"/>
  <c r="AV51" i="74" a="1"/>
  <c r="AT54" i="74" a="1"/>
  <c r="M50" i="62" l="1"/>
  <c r="AV51" i="74"/>
  <c r="AE46" i="74"/>
  <c r="AH46" i="74"/>
  <c r="AT54" i="74"/>
  <c r="AW51" i="74" a="1"/>
  <c r="AU54" i="74" a="1"/>
  <c r="AW51" i="74" l="1"/>
  <c r="AU54" i="74"/>
  <c r="AJ46" i="74"/>
  <c r="AG46" i="74"/>
  <c r="AX51" i="74" a="1"/>
  <c r="AV54" i="74" a="1"/>
  <c r="AV54" i="74" l="1"/>
  <c r="AX51" i="74"/>
  <c r="AI46" i="74"/>
  <c r="AL46" i="74"/>
  <c r="AW54" i="74" a="1"/>
  <c r="AY51" i="74" a="1"/>
  <c r="AY51" i="74" l="1"/>
  <c r="AW54" i="74"/>
  <c r="AN46" i="74"/>
  <c r="AK46" i="74"/>
  <c r="AZ51" i="74" a="1"/>
  <c r="AX54" i="74" a="1"/>
  <c r="AZ51" i="74" l="1"/>
  <c r="AX54" i="74"/>
  <c r="AM46" i="74"/>
  <c r="AP46" i="74"/>
  <c r="BA51" i="74" a="1"/>
  <c r="AY54" i="74" a="1"/>
  <c r="BA51" i="74" l="1"/>
  <c r="AY54" i="74"/>
  <c r="AO46" i="74"/>
  <c r="AR46" i="74"/>
  <c r="BB51" i="74" a="1"/>
  <c r="AZ54" i="74" a="1"/>
  <c r="AZ54" i="74" l="1"/>
  <c r="BB51" i="74"/>
  <c r="AT46" i="74"/>
  <c r="AQ46" i="74"/>
  <c r="BA54" i="74" a="1"/>
  <c r="BC51" i="74" a="1"/>
  <c r="BA54" i="74" l="1"/>
  <c r="BC51" i="74"/>
  <c r="AS46" i="74"/>
  <c r="AV46" i="74"/>
  <c r="BB54" i="74" a="1"/>
  <c r="BD51" i="74" a="1"/>
  <c r="BD51" i="74" l="1"/>
  <c r="BB54" i="74"/>
  <c r="AX46" i="74"/>
  <c r="AU46" i="74"/>
  <c r="BC54" i="74" a="1"/>
  <c r="BE51" i="74" a="1"/>
  <c r="BC54" i="74" l="1"/>
  <c r="BE51" i="74"/>
  <c r="AW46" i="74"/>
  <c r="AZ46" i="74"/>
  <c r="BF51" i="74" a="1"/>
  <c r="BD54" i="74" a="1"/>
  <c r="BF51" i="74" l="1"/>
  <c r="BD54" i="74"/>
  <c r="BB46" i="74"/>
  <c r="AY46" i="74"/>
  <c r="BE54" i="74" a="1"/>
  <c r="BG51" i="74" a="1"/>
  <c r="BE54" i="74" l="1"/>
  <c r="BG51" i="74"/>
  <c r="BA46" i="74"/>
  <c r="BD46" i="74"/>
  <c r="BH51" i="74" a="1"/>
  <c r="BF54" i="74" a="1"/>
  <c r="BH51" i="74" l="1"/>
  <c r="BF54" i="74"/>
  <c r="BF46" i="74"/>
  <c r="BC46" i="74"/>
  <c r="BI51" i="74" a="1"/>
  <c r="BG54" i="74" a="1"/>
  <c r="BI51" i="74" l="1"/>
  <c r="BG54" i="74"/>
  <c r="BE46" i="74"/>
  <c r="BH46" i="74"/>
  <c r="BJ51" i="74" a="1"/>
  <c r="BH54" i="74" a="1"/>
  <c r="BJ51" i="74" l="1"/>
  <c r="BH54" i="74"/>
  <c r="BJ46" i="74"/>
  <c r="BG46" i="74"/>
  <c r="BK51" i="74" a="1"/>
  <c r="BI54" i="74" a="1"/>
  <c r="BI54" i="74" l="1"/>
  <c r="BK51" i="74"/>
  <c r="BI46" i="74"/>
  <c r="B48" i="74"/>
  <c r="BJ54" i="74" a="1"/>
  <c r="BL51" i="74" a="1"/>
  <c r="BL51" i="74" l="1"/>
  <c r="BJ54" i="74"/>
  <c r="D48" i="74"/>
  <c r="BK46" i="74"/>
  <c r="BK54" i="74" a="1"/>
  <c r="BM51" i="74" a="1"/>
  <c r="BM51" i="74" l="1"/>
  <c r="BK54" i="74"/>
  <c r="F48" i="74"/>
  <c r="C48" i="74"/>
  <c r="BN51" i="74" a="1"/>
  <c r="BL54" i="74" a="1"/>
  <c r="BL54" i="74" l="1"/>
  <c r="BN51" i="74"/>
  <c r="E48" i="74"/>
  <c r="H48" i="74"/>
  <c r="BM54" i="74" a="1"/>
  <c r="BO51" i="74" a="1"/>
  <c r="BO51" i="74" l="1"/>
  <c r="BM54" i="74"/>
  <c r="J48" i="74"/>
  <c r="G48" i="74"/>
  <c r="BP51" i="74" a="1"/>
  <c r="BN54" i="74" a="1"/>
  <c r="BN54" i="74" l="1"/>
  <c r="BP51" i="74"/>
  <c r="I48" i="74"/>
  <c r="L48" i="74"/>
  <c r="BQ51" i="74" a="1"/>
  <c r="BO54" i="74" a="1"/>
  <c r="BO54" i="74" l="1"/>
  <c r="BQ51" i="74"/>
  <c r="N48" i="74"/>
  <c r="K48" i="74"/>
  <c r="BR51" i="74" a="1"/>
  <c r="BP54" i="74" a="1"/>
  <c r="BP54" i="74" l="1"/>
  <c r="BR51" i="74"/>
  <c r="M48" i="74"/>
  <c r="P48" i="74"/>
  <c r="BQ54" i="74" a="1"/>
  <c r="BS51" i="74" a="1"/>
  <c r="BQ54" i="74" l="1"/>
  <c r="BS51" i="74"/>
  <c r="R48" i="74"/>
  <c r="O48" i="74"/>
  <c r="BR54" i="74" a="1"/>
  <c r="BT51" i="74" a="1"/>
  <c r="BR54" i="74" l="1"/>
  <c r="BT51" i="74"/>
  <c r="Q48" i="74"/>
  <c r="T48" i="74"/>
  <c r="BS54" i="74" a="1"/>
  <c r="BU51" i="74" a="1"/>
  <c r="BU51" i="74" l="1"/>
  <c r="BS54" i="74"/>
  <c r="V48" i="74"/>
  <c r="S48" i="74"/>
  <c r="BT54" i="74" a="1"/>
  <c r="BV51" i="74" a="1"/>
  <c r="BT54" i="74" l="1"/>
  <c r="BV51" i="74"/>
  <c r="U48" i="74"/>
  <c r="X48" i="74"/>
  <c r="BU54" i="74" a="1"/>
  <c r="BW51" i="74" a="1"/>
  <c r="BU54" i="74" l="1"/>
  <c r="BW51" i="74"/>
  <c r="Z48" i="74"/>
  <c r="W48" i="74"/>
  <c r="BX51" i="74" a="1"/>
  <c r="BV54" i="74" a="1"/>
  <c r="BV54" i="74" l="1"/>
  <c r="BX51" i="74"/>
  <c r="Y48" i="74"/>
  <c r="AB48" i="74"/>
  <c r="BW54" i="74" a="1"/>
  <c r="BY51" i="74" a="1"/>
  <c r="BY51" i="74" l="1"/>
  <c r="BW54" i="74"/>
  <c r="AD48" i="74"/>
  <c r="AA48" i="74"/>
  <c r="BZ51" i="74" a="1"/>
  <c r="BX54" i="74" a="1"/>
  <c r="BX54" i="74" l="1"/>
  <c r="BZ51" i="74"/>
  <c r="AC48" i="74"/>
  <c r="AF48" i="74"/>
  <c r="CA51" i="74" a="1"/>
  <c r="BY54" i="74" a="1"/>
  <c r="BY54" i="74" l="1"/>
  <c r="CA51" i="74"/>
  <c r="AH48" i="74"/>
  <c r="AE48" i="74"/>
  <c r="CB51" i="74" a="1"/>
  <c r="BZ54" i="74" a="1"/>
  <c r="BZ54" i="74" l="1"/>
  <c r="CB51" i="74"/>
  <c r="AG48" i="74"/>
  <c r="AJ48" i="74"/>
  <c r="CC51" i="74" a="1"/>
  <c r="CA54" i="74" a="1"/>
  <c r="CC51" i="74" l="1"/>
  <c r="CA54" i="74"/>
  <c r="AL48" i="74"/>
  <c r="AI48" i="74"/>
  <c r="CD51" i="74" a="1"/>
  <c r="CB54" i="74" a="1"/>
  <c r="CB54" i="74" l="1"/>
  <c r="CD51" i="74"/>
  <c r="AK48" i="74"/>
  <c r="AN48" i="74"/>
  <c r="CC54" i="74" a="1"/>
  <c r="CE51" i="74" a="1"/>
  <c r="CE51" i="74" l="1"/>
  <c r="CC54" i="74"/>
  <c r="AP48" i="74"/>
  <c r="AM48" i="74"/>
  <c r="CD54" i="74" a="1"/>
  <c r="CF51" i="74" a="1"/>
  <c r="CD54" i="74" l="1"/>
  <c r="CF51" i="74"/>
  <c r="AO48" i="74"/>
  <c r="AR48" i="74"/>
  <c r="CG51" i="74" a="1"/>
  <c r="CE54" i="74" a="1"/>
  <c r="CE54" i="74" l="1"/>
  <c r="CG51" i="74"/>
  <c r="AT48" i="74"/>
  <c r="AQ48" i="74"/>
  <c r="CH51" i="74" a="1"/>
  <c r="CF54" i="74" a="1"/>
  <c r="CF54" i="74" l="1"/>
  <c r="CH51" i="74"/>
  <c r="AS48" i="74"/>
  <c r="AV48" i="74"/>
  <c r="CG54" i="74" a="1"/>
  <c r="CI51" i="74" a="1"/>
  <c r="CG54" i="74" l="1"/>
  <c r="CI51" i="74"/>
  <c r="AX48" i="74"/>
  <c r="AU48" i="74"/>
  <c r="CJ51" i="74" a="1"/>
  <c r="CH54" i="74" a="1"/>
  <c r="CH54" i="74" l="1"/>
  <c r="CJ51" i="74"/>
  <c r="AZ48" i="74"/>
  <c r="AW48" i="74"/>
  <c r="CI54" i="74" a="1"/>
  <c r="CK51" i="74" a="1"/>
  <c r="CI54" i="74" l="1"/>
  <c r="CK51" i="74"/>
  <c r="AY48" i="74"/>
  <c r="BB48" i="74"/>
  <c r="CJ54" i="74" a="1"/>
  <c r="CL51" i="74" a="1"/>
  <c r="CL51" i="74" l="1"/>
  <c r="CJ54" i="74"/>
  <c r="BD48" i="74"/>
  <c r="BA48" i="74"/>
  <c r="CK54" i="74" a="1"/>
  <c r="CM51" i="74" a="1"/>
  <c r="CK54" i="74" l="1"/>
  <c r="CM51" i="74"/>
  <c r="BC48" i="74"/>
  <c r="BF48" i="74"/>
  <c r="CL54" i="74" a="1"/>
  <c r="CN51" i="74" a="1"/>
  <c r="CL54" i="74" l="1"/>
  <c r="CN51" i="74"/>
  <c r="BH48" i="74"/>
  <c r="BE48" i="74"/>
  <c r="CO51" i="74" a="1"/>
  <c r="CM54" i="74" a="1"/>
  <c r="CM54" i="74" l="1"/>
  <c r="CO51" i="74"/>
  <c r="BG48" i="74"/>
  <c r="BJ48" i="74"/>
  <c r="CN54" i="74" a="1"/>
  <c r="CN54" i="74" l="1"/>
  <c r="BI48" i="74"/>
  <c r="CO54" i="74" a="1"/>
  <c r="CO54" i="74" l="1"/>
  <c r="BK48" i="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5" authorId="0" shapeId="0" xr:uid="{C43101E3-D9E0-494D-96D0-4467B245C838}">
      <text>
        <r>
          <rPr>
            <b/>
            <sz val="9"/>
            <color indexed="81"/>
            <rFont val="MS P ゴシック"/>
            <family val="3"/>
            <charset val="128"/>
          </rPr>
          <t>user1:</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5" authorId="0" shapeId="0" xr:uid="{357E4908-4B37-4ECD-ABA4-BDBD7E1C63DB}">
      <text>
        <r>
          <rPr>
            <b/>
            <sz val="9"/>
            <color indexed="81"/>
            <rFont val="MS P ゴシック"/>
            <family val="3"/>
            <charset val="128"/>
          </rPr>
          <t>user1:</t>
        </r>
        <r>
          <rPr>
            <sz val="9"/>
            <color indexed="81"/>
            <rFont val="MS P ゴシック"/>
            <family val="3"/>
            <charset val="128"/>
          </rPr>
          <t xml:space="preserve">
</t>
        </r>
      </text>
    </comment>
    <comment ref="B242" authorId="0" shapeId="0" xr:uid="{9EA76AD3-4504-4C94-BC18-AFC17C5D8F71}">
      <text>
        <r>
          <rPr>
            <b/>
            <sz val="9"/>
            <color indexed="81"/>
            <rFont val="MS P ゴシック"/>
            <family val="3"/>
            <charset val="128"/>
          </rPr>
          <t>user1:</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A5644B-C050-4FE4-BF0E-507CA970043C}" keepAlive="1" name="クエリ - Table001 (Page 1)" description="ブック内の 'Table001 (Page 1)' クエリへの接続です。" type="5" refreshedVersion="0" background="1">
    <dbPr connection="Provider=Microsoft.Mashup.OleDb.1;Data Source=$Workbook$;Location=&quot;Table001 (Page 1)&quot;;Extended Properties=&quot;&quot;" command="SELECT * FROM [Table001 (Page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<sst xmlns="http://schemas.openxmlformats.org/spreadsheetml/2006/main" count="6002" uniqueCount="602">
  <si>
    <t>佐々木　あゆみ</t>
    <rPh sb="0" eb="3">
      <t>ササキ</t>
    </rPh>
    <phoneticPr fontId="1"/>
  </si>
  <si>
    <t>澤村　純一</t>
    <rPh sb="0" eb="2">
      <t>サワムラ</t>
    </rPh>
    <rPh sb="3" eb="5">
      <t>ジュンイチ</t>
    </rPh>
    <phoneticPr fontId="1"/>
  </si>
  <si>
    <t>出貝　千拓</t>
    <rPh sb="0" eb="2">
      <t>デガイ</t>
    </rPh>
    <rPh sb="3" eb="4">
      <t>セン</t>
    </rPh>
    <rPh sb="4" eb="5">
      <t>タク</t>
    </rPh>
    <phoneticPr fontId="1"/>
  </si>
  <si>
    <t>中村　盛宥</t>
    <rPh sb="0" eb="2">
      <t>ナカムラ</t>
    </rPh>
    <rPh sb="3" eb="4">
      <t>モ</t>
    </rPh>
    <rPh sb="4" eb="5">
      <t>ユウ</t>
    </rPh>
    <phoneticPr fontId="1"/>
  </si>
  <si>
    <t>上野　喜幸</t>
    <rPh sb="0" eb="2">
      <t>ウワノ</t>
    </rPh>
    <rPh sb="3" eb="5">
      <t>ヨシユキ</t>
    </rPh>
    <phoneticPr fontId="1"/>
  </si>
  <si>
    <t>佐藤　弘子</t>
    <rPh sb="0" eb="2">
      <t>サトウ</t>
    </rPh>
    <rPh sb="3" eb="5">
      <t>ヒロコ</t>
    </rPh>
    <phoneticPr fontId="1"/>
  </si>
  <si>
    <t>川合　ひとみ</t>
    <rPh sb="0" eb="2">
      <t>カワイ</t>
    </rPh>
    <phoneticPr fontId="1"/>
  </si>
  <si>
    <t>小笠原　健一</t>
    <rPh sb="0" eb="3">
      <t>オガサワラ</t>
    </rPh>
    <rPh sb="4" eb="6">
      <t>ケンイチ</t>
    </rPh>
    <phoneticPr fontId="1"/>
  </si>
  <si>
    <t>上村　郁絵</t>
    <rPh sb="0" eb="2">
      <t>ウエムラ</t>
    </rPh>
    <rPh sb="3" eb="5">
      <t>イクエ</t>
    </rPh>
    <phoneticPr fontId="1"/>
  </si>
  <si>
    <t>渡辺　真由美</t>
    <rPh sb="0" eb="2">
      <t>ワタナベ</t>
    </rPh>
    <rPh sb="3" eb="6">
      <t>マユミ</t>
    </rPh>
    <phoneticPr fontId="1"/>
  </si>
  <si>
    <t>櫛引　康平</t>
    <rPh sb="0" eb="2">
      <t>クシビキ</t>
    </rPh>
    <rPh sb="3" eb="5">
      <t>コウヘイ</t>
    </rPh>
    <phoneticPr fontId="1"/>
  </si>
  <si>
    <t>早川　政子</t>
    <rPh sb="0" eb="2">
      <t>ハヤカワ</t>
    </rPh>
    <rPh sb="3" eb="5">
      <t>マサコ</t>
    </rPh>
    <phoneticPr fontId="1"/>
  </si>
  <si>
    <t>山田　祥弘</t>
    <rPh sb="0" eb="2">
      <t>ヤマダ</t>
    </rPh>
    <rPh sb="3" eb="5">
      <t>ヨシヒロ</t>
    </rPh>
    <phoneticPr fontId="1"/>
  </si>
  <si>
    <t>根城　雅子</t>
    <rPh sb="0" eb="2">
      <t>ネジョウ</t>
    </rPh>
    <rPh sb="3" eb="5">
      <t>マサコ</t>
    </rPh>
    <phoneticPr fontId="1"/>
  </si>
  <si>
    <t>滝田　智</t>
    <rPh sb="0" eb="2">
      <t>タキタ</t>
    </rPh>
    <rPh sb="3" eb="4">
      <t>サトシ</t>
    </rPh>
    <phoneticPr fontId="1"/>
  </si>
  <si>
    <t>田名部　昌義</t>
    <rPh sb="0" eb="3">
      <t>タナブ</t>
    </rPh>
    <rPh sb="4" eb="6">
      <t>マサヨシ</t>
    </rPh>
    <phoneticPr fontId="1"/>
  </si>
  <si>
    <t>中里　郁子</t>
    <rPh sb="0" eb="2">
      <t>ナカサト</t>
    </rPh>
    <rPh sb="3" eb="5">
      <t>イクコ</t>
    </rPh>
    <phoneticPr fontId="1"/>
  </si>
  <si>
    <t>金子　千穂</t>
    <rPh sb="0" eb="2">
      <t>カネコ</t>
    </rPh>
    <rPh sb="3" eb="5">
      <t>チホ</t>
    </rPh>
    <phoneticPr fontId="1"/>
  </si>
  <si>
    <t>中山　明洋</t>
    <rPh sb="0" eb="2">
      <t>ナカヤマ</t>
    </rPh>
    <rPh sb="3" eb="5">
      <t>アキヒロ</t>
    </rPh>
    <phoneticPr fontId="1"/>
  </si>
  <si>
    <t>小川　雅規</t>
    <rPh sb="0" eb="2">
      <t>オガワ</t>
    </rPh>
    <rPh sb="3" eb="5">
      <t>マサキ</t>
    </rPh>
    <phoneticPr fontId="1"/>
  </si>
  <si>
    <t>武藤　雅子</t>
    <rPh sb="0" eb="2">
      <t>ムトウ</t>
    </rPh>
    <rPh sb="3" eb="5">
      <t>マサコ</t>
    </rPh>
    <phoneticPr fontId="1"/>
  </si>
  <si>
    <t>熊野　大助</t>
    <rPh sb="0" eb="2">
      <t>クマノ</t>
    </rPh>
    <rPh sb="3" eb="5">
      <t>ダイスケ</t>
    </rPh>
    <phoneticPr fontId="1"/>
  </si>
  <si>
    <t>中村　ゆかり</t>
    <rPh sb="0" eb="2">
      <t>ナカムラ</t>
    </rPh>
    <phoneticPr fontId="1"/>
  </si>
  <si>
    <t>丹治　祐介</t>
    <rPh sb="0" eb="2">
      <t>タンジ</t>
    </rPh>
    <rPh sb="3" eb="5">
      <t>ユウスケ</t>
    </rPh>
    <phoneticPr fontId="1"/>
  </si>
  <si>
    <t>佐々木　美知子</t>
    <rPh sb="0" eb="3">
      <t>ササキ</t>
    </rPh>
    <rPh sb="4" eb="7">
      <t>ミチコ</t>
    </rPh>
    <phoneticPr fontId="1"/>
  </si>
  <si>
    <t>山内　まゆみ</t>
    <rPh sb="0" eb="2">
      <t>ヤマウチ</t>
    </rPh>
    <phoneticPr fontId="1"/>
  </si>
  <si>
    <t>髙橋　桐子</t>
    <rPh sb="0" eb="2">
      <t>タカハシ</t>
    </rPh>
    <rPh sb="3" eb="5">
      <t>キリコ</t>
    </rPh>
    <phoneticPr fontId="1"/>
  </si>
  <si>
    <t>泉山　郁子</t>
    <rPh sb="0" eb="2">
      <t>イズミヤマ</t>
    </rPh>
    <rPh sb="3" eb="5">
      <t>イクコ</t>
    </rPh>
    <phoneticPr fontId="1"/>
  </si>
  <si>
    <t>福士　純子</t>
    <rPh sb="0" eb="2">
      <t>フクシ</t>
    </rPh>
    <rPh sb="3" eb="5">
      <t>ジュンコ</t>
    </rPh>
    <phoneticPr fontId="1"/>
  </si>
  <si>
    <t>伊藤　良子</t>
    <rPh sb="0" eb="2">
      <t>イトウ</t>
    </rPh>
    <rPh sb="3" eb="5">
      <t>リョウコ</t>
    </rPh>
    <phoneticPr fontId="1"/>
  </si>
  <si>
    <t>杉浦　ゆみ子</t>
    <rPh sb="0" eb="2">
      <t>スギウラ</t>
    </rPh>
    <rPh sb="5" eb="6">
      <t>コ</t>
    </rPh>
    <phoneticPr fontId="1"/>
  </si>
  <si>
    <t>川守田　拓</t>
    <rPh sb="0" eb="3">
      <t>カワモリタ</t>
    </rPh>
    <rPh sb="4" eb="5">
      <t>タク</t>
    </rPh>
    <phoneticPr fontId="1"/>
  </si>
  <si>
    <t>古舘　美香</t>
    <rPh sb="0" eb="2">
      <t>フルダテ</t>
    </rPh>
    <rPh sb="3" eb="5">
      <t>ミカ</t>
    </rPh>
    <phoneticPr fontId="1"/>
  </si>
  <si>
    <t>佐々木　智子</t>
    <rPh sb="0" eb="3">
      <t>ササキ</t>
    </rPh>
    <rPh sb="4" eb="6">
      <t>トモコ</t>
    </rPh>
    <phoneticPr fontId="1"/>
  </si>
  <si>
    <t>古町　朋子</t>
    <rPh sb="0" eb="2">
      <t>フルマチ</t>
    </rPh>
    <rPh sb="3" eb="5">
      <t>トモコ</t>
    </rPh>
    <phoneticPr fontId="1"/>
  </si>
  <si>
    <t>坂本　里美</t>
    <rPh sb="0" eb="2">
      <t>サカモト</t>
    </rPh>
    <rPh sb="3" eb="5">
      <t>サトミ</t>
    </rPh>
    <phoneticPr fontId="1"/>
  </si>
  <si>
    <t>寺下　久美子</t>
    <rPh sb="0" eb="2">
      <t>テラシタ</t>
    </rPh>
    <rPh sb="3" eb="6">
      <t>クミコ</t>
    </rPh>
    <phoneticPr fontId="1"/>
  </si>
  <si>
    <t>伊藤　秀智</t>
    <rPh sb="0" eb="2">
      <t>イトウ</t>
    </rPh>
    <rPh sb="3" eb="5">
      <t>ヒデトモ</t>
    </rPh>
    <phoneticPr fontId="1"/>
  </si>
  <si>
    <t>白戸　祐理</t>
    <rPh sb="0" eb="2">
      <t>シラト</t>
    </rPh>
    <rPh sb="3" eb="4">
      <t>ユウ</t>
    </rPh>
    <rPh sb="4" eb="5">
      <t>リ</t>
    </rPh>
    <phoneticPr fontId="1"/>
  </si>
  <si>
    <t>安ヶ平　真由美</t>
    <rPh sb="0" eb="1">
      <t>ヤス</t>
    </rPh>
    <rPh sb="2" eb="3">
      <t>ヒラ</t>
    </rPh>
    <rPh sb="4" eb="7">
      <t>マユミ</t>
    </rPh>
    <phoneticPr fontId="1"/>
  </si>
  <si>
    <t>中道　和子</t>
    <rPh sb="0" eb="2">
      <t>ナカミチ</t>
    </rPh>
    <rPh sb="3" eb="5">
      <t>カズコ</t>
    </rPh>
    <phoneticPr fontId="1"/>
  </si>
  <si>
    <t>山口　美幸</t>
    <rPh sb="0" eb="2">
      <t>ヤマグチ</t>
    </rPh>
    <rPh sb="3" eb="5">
      <t>ミユキ</t>
    </rPh>
    <phoneticPr fontId="1"/>
  </si>
  <si>
    <t>清水　ミチ子</t>
    <rPh sb="0" eb="2">
      <t>シミズ</t>
    </rPh>
    <rPh sb="5" eb="6">
      <t>コ</t>
    </rPh>
    <phoneticPr fontId="1"/>
  </si>
  <si>
    <t>倉島　清子</t>
    <rPh sb="0" eb="2">
      <t>クラシマ</t>
    </rPh>
    <rPh sb="3" eb="5">
      <t>キヨコ</t>
    </rPh>
    <phoneticPr fontId="1"/>
  </si>
  <si>
    <t>高橋　真理子</t>
    <rPh sb="0" eb="2">
      <t>タカハシ</t>
    </rPh>
    <rPh sb="3" eb="6">
      <t>マリコ</t>
    </rPh>
    <phoneticPr fontId="1"/>
  </si>
  <si>
    <t>山上　幸子</t>
    <rPh sb="0" eb="2">
      <t>ヤマガミ</t>
    </rPh>
    <rPh sb="3" eb="5">
      <t>サチコ</t>
    </rPh>
    <phoneticPr fontId="1"/>
  </si>
  <si>
    <t>八田　守立</t>
    <rPh sb="0" eb="2">
      <t>ハッタ</t>
    </rPh>
    <rPh sb="3" eb="4">
      <t>モリ</t>
    </rPh>
    <rPh sb="4" eb="5">
      <t>タ</t>
    </rPh>
    <phoneticPr fontId="1"/>
  </si>
  <si>
    <t>桜庭　雅寛</t>
    <rPh sb="0" eb="2">
      <t>サクラバ</t>
    </rPh>
    <rPh sb="3" eb="5">
      <t>マサヒロ</t>
    </rPh>
    <phoneticPr fontId="1"/>
  </si>
  <si>
    <t>山田　隆広</t>
    <rPh sb="0" eb="2">
      <t>ヤマダ</t>
    </rPh>
    <rPh sb="3" eb="5">
      <t>タカヒロ</t>
    </rPh>
    <phoneticPr fontId="1"/>
  </si>
  <si>
    <t>ケアスタッフ</t>
    <phoneticPr fontId="1"/>
  </si>
  <si>
    <t>上田　敏子</t>
    <rPh sb="0" eb="2">
      <t>ウエダ</t>
    </rPh>
    <rPh sb="3" eb="5">
      <t>トシコ</t>
    </rPh>
    <phoneticPr fontId="1"/>
  </si>
  <si>
    <t>齋藤　小百合</t>
    <rPh sb="0" eb="2">
      <t>サイトウ</t>
    </rPh>
    <rPh sb="3" eb="6">
      <t>サユリ</t>
    </rPh>
    <phoneticPr fontId="1"/>
  </si>
  <si>
    <t>石橋　優子</t>
    <rPh sb="0" eb="2">
      <t>イシバシ</t>
    </rPh>
    <rPh sb="3" eb="5">
      <t>ユウコ</t>
    </rPh>
    <phoneticPr fontId="1"/>
  </si>
  <si>
    <t>中山　知佳</t>
    <rPh sb="0" eb="2">
      <t>ナカヤマ</t>
    </rPh>
    <rPh sb="3" eb="5">
      <t>チカ</t>
    </rPh>
    <phoneticPr fontId="1"/>
  </si>
  <si>
    <t>互助会集金</t>
    <rPh sb="0" eb="3">
      <t>ゴジョカイ</t>
    </rPh>
    <rPh sb="3" eb="5">
      <t>シュウキン</t>
    </rPh>
    <phoneticPr fontId="1"/>
  </si>
  <si>
    <t>三田　亮</t>
    <rPh sb="0" eb="2">
      <t>ミタ</t>
    </rPh>
    <rPh sb="3" eb="4">
      <t>リョウ</t>
    </rPh>
    <phoneticPr fontId="1"/>
  </si>
  <si>
    <t>松橋　誠</t>
    <rPh sb="0" eb="2">
      <t>マツハシ</t>
    </rPh>
    <rPh sb="3" eb="4">
      <t>マコト</t>
    </rPh>
    <phoneticPr fontId="1"/>
  </si>
  <si>
    <t>林　覚弘</t>
    <rPh sb="0" eb="1">
      <t>ハヤシ</t>
    </rPh>
    <rPh sb="2" eb="3">
      <t>カク</t>
    </rPh>
    <rPh sb="3" eb="4">
      <t>ヒロ</t>
    </rPh>
    <phoneticPr fontId="1"/>
  </si>
  <si>
    <t>サポーター・他</t>
    <rPh sb="6" eb="7">
      <t>ホカ</t>
    </rPh>
    <phoneticPr fontId="1"/>
  </si>
  <si>
    <t>取引先業者</t>
    <rPh sb="0" eb="2">
      <t>トリヒキ</t>
    </rPh>
    <rPh sb="2" eb="3">
      <t>サキ</t>
    </rPh>
    <rPh sb="3" eb="5">
      <t>ギョウシャ</t>
    </rPh>
    <phoneticPr fontId="1"/>
  </si>
  <si>
    <t>典礼部</t>
    <rPh sb="0" eb="2">
      <t>テンレイ</t>
    </rPh>
    <rPh sb="2" eb="3">
      <t>ブ</t>
    </rPh>
    <phoneticPr fontId="1"/>
  </si>
  <si>
    <t>赤坂　純子</t>
    <rPh sb="0" eb="2">
      <t>アカサカ</t>
    </rPh>
    <rPh sb="3" eb="5">
      <t>ジュンコ</t>
    </rPh>
    <phoneticPr fontId="1"/>
  </si>
  <si>
    <t>小笠原　桂子</t>
    <rPh sb="0" eb="3">
      <t>オガサワラ</t>
    </rPh>
    <rPh sb="4" eb="6">
      <t>ケイコ</t>
    </rPh>
    <phoneticPr fontId="1"/>
  </si>
  <si>
    <t>小笠原　幹子</t>
    <rPh sb="0" eb="3">
      <t>オガサワラ</t>
    </rPh>
    <rPh sb="4" eb="6">
      <t>ミキコ</t>
    </rPh>
    <phoneticPr fontId="1"/>
  </si>
  <si>
    <t>久保　沙織</t>
    <rPh sb="0" eb="2">
      <t>クボ</t>
    </rPh>
    <rPh sb="3" eb="5">
      <t>サオリ</t>
    </rPh>
    <phoneticPr fontId="1"/>
  </si>
  <si>
    <t>坂　美穂子</t>
    <rPh sb="0" eb="1">
      <t>サカ</t>
    </rPh>
    <rPh sb="2" eb="5">
      <t>ミホコ</t>
    </rPh>
    <phoneticPr fontId="1"/>
  </si>
  <si>
    <t>斉藤　尚子</t>
    <rPh sb="0" eb="2">
      <t>サイトウ</t>
    </rPh>
    <rPh sb="3" eb="5">
      <t>ナオコ</t>
    </rPh>
    <phoneticPr fontId="1"/>
  </si>
  <si>
    <t>木村　紀子</t>
    <rPh sb="0" eb="2">
      <t>キムラ</t>
    </rPh>
    <rPh sb="3" eb="5">
      <t>ノリコ</t>
    </rPh>
    <phoneticPr fontId="1"/>
  </si>
  <si>
    <t>坂ノ上　由紀</t>
    <rPh sb="0" eb="1">
      <t>サカ</t>
    </rPh>
    <rPh sb="2" eb="3">
      <t>ウエ</t>
    </rPh>
    <rPh sb="4" eb="6">
      <t>ユキ</t>
    </rPh>
    <phoneticPr fontId="1"/>
  </si>
  <si>
    <t>互助会ﾊﾟｰﾄﾅｰ</t>
    <rPh sb="0" eb="3">
      <t>ゴジョカイ</t>
    </rPh>
    <phoneticPr fontId="1"/>
  </si>
  <si>
    <t>典礼部(600)</t>
    <rPh sb="0" eb="2">
      <t>テンレイ</t>
    </rPh>
    <rPh sb="2" eb="3">
      <t>ブ</t>
    </rPh>
    <phoneticPr fontId="1"/>
  </si>
  <si>
    <t>日</t>
  </si>
  <si>
    <t>件数</t>
    <rPh sb="0" eb="2">
      <t>ケンスウ</t>
    </rPh>
    <phoneticPr fontId="1"/>
  </si>
  <si>
    <t>口数</t>
    <rPh sb="0" eb="1">
      <t>クチ</t>
    </rPh>
    <rPh sb="1" eb="2">
      <t>スウ</t>
    </rPh>
    <phoneticPr fontId="1"/>
  </si>
  <si>
    <t>月</t>
  </si>
  <si>
    <t>火</t>
  </si>
  <si>
    <t>水</t>
  </si>
  <si>
    <t>木</t>
  </si>
  <si>
    <t>金</t>
  </si>
  <si>
    <t>土</t>
  </si>
  <si>
    <t>経理部</t>
    <rPh sb="0" eb="2">
      <t>ケイリ</t>
    </rPh>
    <rPh sb="2" eb="3">
      <t>ブ</t>
    </rPh>
    <phoneticPr fontId="1"/>
  </si>
  <si>
    <t>販売部</t>
    <rPh sb="0" eb="2">
      <t>ハンバイ</t>
    </rPh>
    <rPh sb="2" eb="3">
      <t>ブ</t>
    </rPh>
    <phoneticPr fontId="1"/>
  </si>
  <si>
    <t>ムツ湊</t>
    <rPh sb="2" eb="3">
      <t>ミナト</t>
    </rPh>
    <phoneticPr fontId="1"/>
  </si>
  <si>
    <t>仕入部</t>
    <rPh sb="0" eb="2">
      <t>シイレ</t>
    </rPh>
    <rPh sb="2" eb="3">
      <t>ブ</t>
    </rPh>
    <phoneticPr fontId="1"/>
  </si>
  <si>
    <t>報恩SV事務</t>
    <rPh sb="0" eb="2">
      <t>ホウオン</t>
    </rPh>
    <rPh sb="4" eb="6">
      <t>ジム</t>
    </rPh>
    <phoneticPr fontId="1"/>
  </si>
  <si>
    <t>生花部</t>
    <rPh sb="0" eb="2">
      <t>セイカ</t>
    </rPh>
    <rPh sb="2" eb="3">
      <t>ブ</t>
    </rPh>
    <phoneticPr fontId="1"/>
  </si>
  <si>
    <t>川井　博和</t>
    <rPh sb="0" eb="2">
      <t>カワイ</t>
    </rPh>
    <rPh sb="3" eb="5">
      <t>ヒロカズ</t>
    </rPh>
    <phoneticPr fontId="1"/>
  </si>
  <si>
    <t>ハチレイ</t>
    <phoneticPr fontId="1"/>
  </si>
  <si>
    <t>大下　孝志</t>
    <rPh sb="0" eb="2">
      <t>オオシモ</t>
    </rPh>
    <rPh sb="3" eb="5">
      <t>タカシ</t>
    </rPh>
    <phoneticPr fontId="1"/>
  </si>
  <si>
    <t>報恩互助会</t>
    <rPh sb="0" eb="2">
      <t>ホウオン</t>
    </rPh>
    <rPh sb="2" eb="5">
      <t>ゴジョカイ</t>
    </rPh>
    <phoneticPr fontId="1"/>
  </si>
  <si>
    <t>互助会本部</t>
    <rPh sb="0" eb="3">
      <t>ゴジョカイ</t>
    </rPh>
    <rPh sb="3" eb="5">
      <t>ホンブ</t>
    </rPh>
    <phoneticPr fontId="1"/>
  </si>
  <si>
    <t>受籍</t>
    <rPh sb="0" eb="1">
      <t>ジュ</t>
    </rPh>
    <rPh sb="1" eb="2">
      <t>セキ</t>
    </rPh>
    <phoneticPr fontId="1"/>
  </si>
  <si>
    <t>中村　章子</t>
    <rPh sb="0" eb="2">
      <t>ナカムラ</t>
    </rPh>
    <rPh sb="3" eb="5">
      <t>ショウコ</t>
    </rPh>
    <phoneticPr fontId="1"/>
  </si>
  <si>
    <t>林　京子</t>
    <rPh sb="0" eb="1">
      <t>ハヤシ</t>
    </rPh>
    <rPh sb="2" eb="4">
      <t>キョウコ</t>
    </rPh>
    <phoneticPr fontId="1"/>
  </si>
  <si>
    <t>柞木田　久子</t>
    <rPh sb="0" eb="1">
      <t>ハハソ</t>
    </rPh>
    <rPh sb="1" eb="2">
      <t>キ</t>
    </rPh>
    <rPh sb="2" eb="3">
      <t>タ</t>
    </rPh>
    <rPh sb="4" eb="6">
      <t>ヒサコ</t>
    </rPh>
    <phoneticPr fontId="1"/>
  </si>
  <si>
    <t>サポーター</t>
    <phoneticPr fontId="1"/>
  </si>
  <si>
    <t>部門別合計</t>
    <rPh sb="0" eb="2">
      <t>ブモン</t>
    </rPh>
    <rPh sb="2" eb="3">
      <t>ベツ</t>
    </rPh>
    <rPh sb="3" eb="5">
      <t>ゴウケイ</t>
    </rPh>
    <phoneticPr fontId="1"/>
  </si>
  <si>
    <t>販売部</t>
    <rPh sb="0" eb="3">
      <t>ハンバイブ</t>
    </rPh>
    <phoneticPr fontId="1"/>
  </si>
  <si>
    <t>はんどおん</t>
    <phoneticPr fontId="1"/>
  </si>
  <si>
    <t>本部(受籍)</t>
    <rPh sb="0" eb="2">
      <t>ホンブ</t>
    </rPh>
    <rPh sb="3" eb="4">
      <t>ジュ</t>
    </rPh>
    <rPh sb="4" eb="5">
      <t>セキ</t>
    </rPh>
    <phoneticPr fontId="1"/>
  </si>
  <si>
    <t>八重畑　美里</t>
    <rPh sb="0" eb="2">
      <t>ヤエ</t>
    </rPh>
    <rPh sb="2" eb="3">
      <t>ハタケ</t>
    </rPh>
    <rPh sb="4" eb="6">
      <t>ミサト</t>
    </rPh>
    <phoneticPr fontId="1"/>
  </si>
  <si>
    <t>小　計</t>
    <rPh sb="0" eb="1">
      <t>コ</t>
    </rPh>
    <rPh sb="2" eb="3">
      <t>ケイ</t>
    </rPh>
    <phoneticPr fontId="1"/>
  </si>
  <si>
    <t>佐々木　寛人</t>
    <rPh sb="0" eb="3">
      <t>ササキ</t>
    </rPh>
    <rPh sb="4" eb="6">
      <t>ヒロト</t>
    </rPh>
    <phoneticPr fontId="1"/>
  </si>
  <si>
    <t>河村　久美子</t>
    <rPh sb="0" eb="2">
      <t>カワムラ</t>
    </rPh>
    <rPh sb="3" eb="6">
      <t>クミコ</t>
    </rPh>
    <phoneticPr fontId="1"/>
  </si>
  <si>
    <t>岩間　留理子</t>
    <rPh sb="0" eb="2">
      <t>イワマ</t>
    </rPh>
    <rPh sb="3" eb="6">
      <t>ルリコ</t>
    </rPh>
    <phoneticPr fontId="1"/>
  </si>
  <si>
    <t>佐藤　範和</t>
    <rPh sb="0" eb="2">
      <t>サトウ</t>
    </rPh>
    <rPh sb="3" eb="5">
      <t>ノリカズ</t>
    </rPh>
    <phoneticPr fontId="1"/>
  </si>
  <si>
    <t>田名部　丞</t>
    <rPh sb="0" eb="3">
      <t>タナブ</t>
    </rPh>
    <rPh sb="4" eb="5">
      <t>ジョウ</t>
    </rPh>
    <phoneticPr fontId="1"/>
  </si>
  <si>
    <t>工藤　春美</t>
    <rPh sb="0" eb="2">
      <t>クドウ</t>
    </rPh>
    <rPh sb="3" eb="5">
      <t>ハルミ</t>
    </rPh>
    <phoneticPr fontId="1"/>
  </si>
  <si>
    <t>下舘　はるみ</t>
    <rPh sb="0" eb="1">
      <t>シタ</t>
    </rPh>
    <rPh sb="1" eb="2">
      <t>ダテ</t>
    </rPh>
    <phoneticPr fontId="1"/>
  </si>
  <si>
    <t>照屋　育子</t>
    <rPh sb="0" eb="2">
      <t>テルヤ</t>
    </rPh>
    <rPh sb="3" eb="5">
      <t>イクコ</t>
    </rPh>
    <phoneticPr fontId="1"/>
  </si>
  <si>
    <t>累計</t>
    <rPh sb="0" eb="2">
      <t>ルイケイ</t>
    </rPh>
    <phoneticPr fontId="1"/>
  </si>
  <si>
    <t>西村　夏希</t>
    <rPh sb="0" eb="2">
      <t>ニシムラ</t>
    </rPh>
    <rPh sb="3" eb="5">
      <t>ナツキ</t>
    </rPh>
    <phoneticPr fontId="1"/>
  </si>
  <si>
    <t>野口　美幸</t>
    <rPh sb="0" eb="2">
      <t>ノグチ</t>
    </rPh>
    <rPh sb="3" eb="5">
      <t>ミユキ</t>
    </rPh>
    <phoneticPr fontId="1"/>
  </si>
  <si>
    <t>玉川　妙子</t>
    <rPh sb="0" eb="2">
      <t>タマカワ</t>
    </rPh>
    <rPh sb="3" eb="5">
      <t>タエコ</t>
    </rPh>
    <phoneticPr fontId="1"/>
  </si>
  <si>
    <t>佐藤　進</t>
    <rPh sb="0" eb="2">
      <t>サトウ</t>
    </rPh>
    <rPh sb="3" eb="4">
      <t>スス</t>
    </rPh>
    <phoneticPr fontId="1"/>
  </si>
  <si>
    <t>沼田　智子</t>
    <rPh sb="0" eb="2">
      <t>ヌマタ</t>
    </rPh>
    <rPh sb="3" eb="5">
      <t>トモコ</t>
    </rPh>
    <phoneticPr fontId="1"/>
  </si>
  <si>
    <t>西村　裕美</t>
    <rPh sb="0" eb="2">
      <t>ニシムラ</t>
    </rPh>
    <rPh sb="3" eb="5">
      <t>ユミ</t>
    </rPh>
    <phoneticPr fontId="1"/>
  </si>
  <si>
    <t>木田　美紀</t>
    <rPh sb="0" eb="1">
      <t>キ</t>
    </rPh>
    <rPh sb="1" eb="2">
      <t>ダ</t>
    </rPh>
    <rPh sb="3" eb="5">
      <t>ミキ</t>
    </rPh>
    <phoneticPr fontId="1"/>
  </si>
  <si>
    <t>八田　香菜子</t>
    <rPh sb="0" eb="2">
      <t>ハッタ</t>
    </rPh>
    <rPh sb="3" eb="4">
      <t>カ</t>
    </rPh>
    <rPh sb="4" eb="5">
      <t>ナ</t>
    </rPh>
    <rPh sb="5" eb="6">
      <t>コ</t>
    </rPh>
    <phoneticPr fontId="1"/>
  </si>
  <si>
    <t>種市　由希枝</t>
    <rPh sb="0" eb="2">
      <t>タネイチ</t>
    </rPh>
    <rPh sb="3" eb="4">
      <t>ユ</t>
    </rPh>
    <rPh sb="5" eb="6">
      <t>エダ</t>
    </rPh>
    <phoneticPr fontId="1"/>
  </si>
  <si>
    <t>件</t>
    <rPh sb="0" eb="1">
      <t>ケン</t>
    </rPh>
    <phoneticPr fontId="1"/>
  </si>
  <si>
    <t>佐々木　亮</t>
    <rPh sb="0" eb="3">
      <t>ササキ</t>
    </rPh>
    <rPh sb="4" eb="5">
      <t>トオル</t>
    </rPh>
    <phoneticPr fontId="1"/>
  </si>
  <si>
    <t>土</t>
    <rPh sb="0" eb="1">
      <t>ド</t>
    </rPh>
    <phoneticPr fontId="1"/>
  </si>
  <si>
    <t>橋本　薫</t>
    <rPh sb="0" eb="2">
      <t>ハシモト</t>
    </rPh>
    <rPh sb="3" eb="4">
      <t>カオル</t>
    </rPh>
    <phoneticPr fontId="1"/>
  </si>
  <si>
    <t>工藤　あずさ</t>
    <rPh sb="0" eb="2">
      <t>クドウ</t>
    </rPh>
    <phoneticPr fontId="1"/>
  </si>
  <si>
    <t>川村　一覚</t>
    <rPh sb="0" eb="2">
      <t>カワムラ</t>
    </rPh>
    <rPh sb="3" eb="4">
      <t>イチ</t>
    </rPh>
    <rPh sb="4" eb="5">
      <t>オボ</t>
    </rPh>
    <phoneticPr fontId="1"/>
  </si>
  <si>
    <t>大前　順子</t>
    <rPh sb="0" eb="2">
      <t>オオマエ</t>
    </rPh>
    <rPh sb="3" eb="5">
      <t>ジュンコ</t>
    </rPh>
    <phoneticPr fontId="1"/>
  </si>
  <si>
    <t>参加人数</t>
    <rPh sb="0" eb="2">
      <t>サンカ</t>
    </rPh>
    <rPh sb="2" eb="4">
      <t>ニンズウ</t>
    </rPh>
    <phoneticPr fontId="1"/>
  </si>
  <si>
    <t>全体数</t>
    <rPh sb="0" eb="2">
      <t>ゼンタイ</t>
    </rPh>
    <rPh sb="2" eb="3">
      <t>スウ</t>
    </rPh>
    <phoneticPr fontId="1"/>
  </si>
  <si>
    <t>沼田　久子</t>
    <rPh sb="0" eb="2">
      <t>ヌマタ</t>
    </rPh>
    <rPh sb="3" eb="5">
      <t>ヒサコ</t>
    </rPh>
    <phoneticPr fontId="1"/>
  </si>
  <si>
    <t>熊谷　正浩</t>
    <rPh sb="0" eb="2">
      <t>クマガイ</t>
    </rPh>
    <rPh sb="3" eb="5">
      <t>マサヒロ</t>
    </rPh>
    <phoneticPr fontId="1"/>
  </si>
  <si>
    <t>宮崎　和久</t>
    <rPh sb="0" eb="2">
      <t>ミヤザキ</t>
    </rPh>
    <rPh sb="3" eb="5">
      <t>カズヒサ</t>
    </rPh>
    <phoneticPr fontId="1"/>
  </si>
  <si>
    <t>新井谷　恵美子</t>
    <rPh sb="0" eb="2">
      <t>ニイ</t>
    </rPh>
    <rPh sb="2" eb="3">
      <t>タニ</t>
    </rPh>
    <rPh sb="4" eb="7">
      <t>エミコ</t>
    </rPh>
    <phoneticPr fontId="1"/>
  </si>
  <si>
    <t>清野　由貴子</t>
    <rPh sb="0" eb="2">
      <t>セイノ</t>
    </rPh>
    <rPh sb="3" eb="6">
      <t>ユキコ</t>
    </rPh>
    <phoneticPr fontId="1"/>
  </si>
  <si>
    <t>加入件数</t>
    <rPh sb="0" eb="2">
      <t>カニュウ</t>
    </rPh>
    <rPh sb="2" eb="4">
      <t>ケンスウ</t>
    </rPh>
    <phoneticPr fontId="1"/>
  </si>
  <si>
    <t>貝守　美奈子</t>
    <rPh sb="0" eb="1">
      <t>カイ</t>
    </rPh>
    <rPh sb="1" eb="2">
      <t>モリ</t>
    </rPh>
    <rPh sb="3" eb="6">
      <t>ミナコ</t>
    </rPh>
    <phoneticPr fontId="1"/>
  </si>
  <si>
    <t>白石　華奈子</t>
    <rPh sb="0" eb="2">
      <t>シライシ</t>
    </rPh>
    <rPh sb="3" eb="6">
      <t>カナコ</t>
    </rPh>
    <phoneticPr fontId="1"/>
  </si>
  <si>
    <t>赤坂　和子</t>
    <rPh sb="0" eb="2">
      <t>アカサカ</t>
    </rPh>
    <rPh sb="3" eb="5">
      <t>カズコ</t>
    </rPh>
    <phoneticPr fontId="1"/>
  </si>
  <si>
    <t>白坂　弘幸</t>
    <rPh sb="0" eb="2">
      <t>シラサカ</t>
    </rPh>
    <phoneticPr fontId="1"/>
  </si>
  <si>
    <t>廣田　真紀</t>
    <rPh sb="0" eb="2">
      <t>ヒロタ</t>
    </rPh>
    <rPh sb="3" eb="5">
      <t>マキ</t>
    </rPh>
    <phoneticPr fontId="1"/>
  </si>
  <si>
    <t>松橋　誠</t>
    <rPh sb="0" eb="1">
      <t>マツ</t>
    </rPh>
    <rPh sb="1" eb="2">
      <t>ハシ</t>
    </rPh>
    <rPh sb="3" eb="4">
      <t>マコト</t>
    </rPh>
    <phoneticPr fontId="1"/>
  </si>
  <si>
    <t>田中　良子</t>
    <rPh sb="0" eb="2">
      <t>タナカ</t>
    </rPh>
    <rPh sb="3" eb="4">
      <t>リョウ</t>
    </rPh>
    <rPh sb="4" eb="5">
      <t>コ</t>
    </rPh>
    <phoneticPr fontId="1"/>
  </si>
  <si>
    <t>川合　健司</t>
    <rPh sb="0" eb="2">
      <t>カワイ</t>
    </rPh>
    <rPh sb="3" eb="5">
      <t>タケシ</t>
    </rPh>
    <phoneticPr fontId="1"/>
  </si>
  <si>
    <t>松橋　さち</t>
    <rPh sb="0" eb="2">
      <t>マツハシ</t>
    </rPh>
    <phoneticPr fontId="1"/>
  </si>
  <si>
    <t>野辺地　佳代子</t>
    <rPh sb="0" eb="3">
      <t>ノヘジ</t>
    </rPh>
    <rPh sb="4" eb="7">
      <t>カヨコ</t>
    </rPh>
    <phoneticPr fontId="1"/>
  </si>
  <si>
    <t>佐々木　めぐみ</t>
    <rPh sb="0" eb="3">
      <t>ササキ</t>
    </rPh>
    <phoneticPr fontId="1"/>
  </si>
  <si>
    <t>松井　龍平</t>
    <rPh sb="0" eb="2">
      <t>マツイ</t>
    </rPh>
    <rPh sb="3" eb="4">
      <t>リュウ</t>
    </rPh>
    <rPh sb="4" eb="5">
      <t>ヘイ</t>
    </rPh>
    <phoneticPr fontId="1"/>
  </si>
  <si>
    <t>報恩八田P社員</t>
    <rPh sb="0" eb="2">
      <t>ホウオン</t>
    </rPh>
    <rPh sb="2" eb="4">
      <t>ハッタ</t>
    </rPh>
    <rPh sb="5" eb="7">
      <t>シャイン</t>
    </rPh>
    <phoneticPr fontId="1"/>
  </si>
  <si>
    <t>大坂　真知子</t>
    <rPh sb="0" eb="2">
      <t>オオサカ</t>
    </rPh>
    <rPh sb="3" eb="6">
      <t>マチコ</t>
    </rPh>
    <phoneticPr fontId="1"/>
  </si>
  <si>
    <t>林下　恵</t>
    <rPh sb="0" eb="1">
      <t>ハヤシ</t>
    </rPh>
    <rPh sb="1" eb="2">
      <t>シタ</t>
    </rPh>
    <rPh sb="3" eb="4">
      <t>メグ</t>
    </rPh>
    <phoneticPr fontId="1"/>
  </si>
  <si>
    <t>赤坂　友輔</t>
    <rPh sb="0" eb="2">
      <t>アカサカ</t>
    </rPh>
    <rPh sb="3" eb="4">
      <t>トモ</t>
    </rPh>
    <rPh sb="4" eb="5">
      <t>スケ</t>
    </rPh>
    <phoneticPr fontId="1"/>
  </si>
  <si>
    <t>白坂　弘幸</t>
    <rPh sb="0" eb="2">
      <t>シラサカ</t>
    </rPh>
    <rPh sb="3" eb="5">
      <t>ヒロユキ</t>
    </rPh>
    <phoneticPr fontId="1"/>
  </si>
  <si>
    <t>佐々木　亮</t>
    <rPh sb="0" eb="3">
      <t>ササキ</t>
    </rPh>
    <rPh sb="4" eb="5">
      <t>リョウ</t>
    </rPh>
    <phoneticPr fontId="1"/>
  </si>
  <si>
    <t>中城　裕子</t>
    <rPh sb="0" eb="2">
      <t>ナカジョウ</t>
    </rPh>
    <rPh sb="3" eb="5">
      <t>ユウコ</t>
    </rPh>
    <phoneticPr fontId="1"/>
  </si>
  <si>
    <t>品田　ゆり</t>
    <rPh sb="0" eb="2">
      <t>シナダ</t>
    </rPh>
    <phoneticPr fontId="1"/>
  </si>
  <si>
    <t>八重畑　美里</t>
    <rPh sb="0" eb="3">
      <t>ヤエハタ</t>
    </rPh>
    <rPh sb="4" eb="6">
      <t>ミサト</t>
    </rPh>
    <phoneticPr fontId="1"/>
  </si>
  <si>
    <t>目標</t>
    <rPh sb="0" eb="2">
      <t>モクヒョウ</t>
    </rPh>
    <phoneticPr fontId="1"/>
  </si>
  <si>
    <t>小黒　真智</t>
    <rPh sb="0" eb="2">
      <t>オグロ</t>
    </rPh>
    <rPh sb="3" eb="5">
      <t>マチ</t>
    </rPh>
    <phoneticPr fontId="1"/>
  </si>
  <si>
    <t>細越　利章</t>
    <rPh sb="0" eb="2">
      <t>ホソゴエ</t>
    </rPh>
    <rPh sb="3" eb="5">
      <t>トシアキ</t>
    </rPh>
    <phoneticPr fontId="1"/>
  </si>
  <si>
    <t>鷹幸　弘尚</t>
    <rPh sb="0" eb="1">
      <t>タカ</t>
    </rPh>
    <rPh sb="1" eb="2">
      <t>コウ</t>
    </rPh>
    <rPh sb="3" eb="5">
      <t>ヒロナオ</t>
    </rPh>
    <phoneticPr fontId="1"/>
  </si>
  <si>
    <t>庭田　留美子</t>
    <rPh sb="0" eb="2">
      <t>ニワタ</t>
    </rPh>
    <rPh sb="3" eb="6">
      <t>ルミコ</t>
    </rPh>
    <phoneticPr fontId="1"/>
  </si>
  <si>
    <t>大久保　理恵</t>
    <rPh sb="0" eb="3">
      <t>オオクボ</t>
    </rPh>
    <rPh sb="4" eb="6">
      <t>リエ</t>
    </rPh>
    <phoneticPr fontId="1"/>
  </si>
  <si>
    <t>中城　裕子</t>
    <rPh sb="0" eb="2">
      <t>ナカジョウ</t>
    </rPh>
    <rPh sb="3" eb="5">
      <t>ユウコ</t>
    </rPh>
    <phoneticPr fontId="1"/>
  </si>
  <si>
    <t>野﨑　浩士</t>
    <rPh sb="0" eb="2">
      <t>ノザキ</t>
    </rPh>
    <rPh sb="3" eb="4">
      <t>ヒロシ</t>
    </rPh>
    <rPh sb="4" eb="5">
      <t>ツカサ</t>
    </rPh>
    <phoneticPr fontId="1"/>
  </si>
  <si>
    <t>山下　三鶴</t>
    <rPh sb="0" eb="2">
      <t>ヤマシタ</t>
    </rPh>
    <rPh sb="3" eb="5">
      <t>ミツル</t>
    </rPh>
    <phoneticPr fontId="1"/>
  </si>
  <si>
    <t>今野　友生</t>
    <rPh sb="0" eb="2">
      <t>コンノ</t>
    </rPh>
    <rPh sb="3" eb="4">
      <t>トモ</t>
    </rPh>
    <rPh sb="4" eb="5">
      <t>オイ</t>
    </rPh>
    <phoneticPr fontId="1"/>
  </si>
  <si>
    <t>熊谷　正浩</t>
    <rPh sb="0" eb="2">
      <t>クマガイ</t>
    </rPh>
    <rPh sb="3" eb="4">
      <t>マサ</t>
    </rPh>
    <rPh sb="4" eb="5">
      <t>ヒロ</t>
    </rPh>
    <phoneticPr fontId="1"/>
  </si>
  <si>
    <t>鹿内　美海</t>
    <rPh sb="0" eb="2">
      <t>シカナイ</t>
    </rPh>
    <rPh sb="3" eb="4">
      <t>ミ</t>
    </rPh>
    <rPh sb="4" eb="5">
      <t>ウミ</t>
    </rPh>
    <phoneticPr fontId="1"/>
  </si>
  <si>
    <t>小西　裕子</t>
    <rPh sb="0" eb="2">
      <t>コニシ</t>
    </rPh>
    <rPh sb="3" eb="5">
      <t>ユウコ</t>
    </rPh>
    <phoneticPr fontId="1"/>
  </si>
  <si>
    <t>田名部　夢生</t>
    <rPh sb="0" eb="3">
      <t>タナブ</t>
    </rPh>
    <rPh sb="4" eb="5">
      <t>ユメ</t>
    </rPh>
    <rPh sb="5" eb="6">
      <t>イ</t>
    </rPh>
    <phoneticPr fontId="1"/>
  </si>
  <si>
    <t>佐々木　史弥</t>
    <rPh sb="0" eb="3">
      <t>ササキ</t>
    </rPh>
    <rPh sb="4" eb="5">
      <t>フミ</t>
    </rPh>
    <rPh sb="5" eb="6">
      <t>ヤ</t>
    </rPh>
    <phoneticPr fontId="1"/>
  </si>
  <si>
    <t>納棺部</t>
    <rPh sb="0" eb="2">
      <t>ノウカン</t>
    </rPh>
    <rPh sb="2" eb="3">
      <t>ブ</t>
    </rPh>
    <phoneticPr fontId="1"/>
  </si>
  <si>
    <t>納棺部</t>
    <rPh sb="0" eb="2">
      <t>ノウカン</t>
    </rPh>
    <rPh sb="2" eb="3">
      <t>ブ</t>
    </rPh>
    <phoneticPr fontId="1"/>
  </si>
  <si>
    <t>木村　かつ</t>
    <rPh sb="0" eb="2">
      <t>キムラ</t>
    </rPh>
    <phoneticPr fontId="1"/>
  </si>
  <si>
    <t>木田　美紀</t>
    <rPh sb="0" eb="2">
      <t>キダ</t>
    </rPh>
    <rPh sb="3" eb="5">
      <t>ミキ</t>
    </rPh>
    <phoneticPr fontId="1"/>
  </si>
  <si>
    <t>田中　幸子</t>
    <rPh sb="0" eb="2">
      <t>タナカ</t>
    </rPh>
    <rPh sb="3" eb="5">
      <t>サチコ</t>
    </rPh>
    <phoneticPr fontId="1"/>
  </si>
  <si>
    <t>林　悠</t>
    <rPh sb="0" eb="1">
      <t>ハヤシ</t>
    </rPh>
    <rPh sb="2" eb="3">
      <t>ユウ</t>
    </rPh>
    <phoneticPr fontId="1"/>
  </si>
  <si>
    <t>八田　安啓</t>
    <rPh sb="0" eb="2">
      <t>ハッタ</t>
    </rPh>
    <rPh sb="3" eb="4">
      <t>ヤス</t>
    </rPh>
    <rPh sb="4" eb="5">
      <t>ケイ</t>
    </rPh>
    <phoneticPr fontId="1"/>
  </si>
  <si>
    <t>山村　恭代</t>
    <rPh sb="0" eb="2">
      <t>ヤマムラ</t>
    </rPh>
    <rPh sb="3" eb="5">
      <t>ヤスヨ</t>
    </rPh>
    <phoneticPr fontId="1"/>
  </si>
  <si>
    <t>榎本　明美</t>
    <rPh sb="0" eb="2">
      <t>エノモト</t>
    </rPh>
    <rPh sb="3" eb="5">
      <t>アケミ</t>
    </rPh>
    <phoneticPr fontId="1"/>
  </si>
  <si>
    <t>川守田　潤子</t>
    <rPh sb="0" eb="3">
      <t>カワモリタ</t>
    </rPh>
    <rPh sb="4" eb="6">
      <t>ジュンコ</t>
    </rPh>
    <phoneticPr fontId="1"/>
  </si>
  <si>
    <t>見付　弘美</t>
    <rPh sb="0" eb="2">
      <t>ミツケ</t>
    </rPh>
    <rPh sb="3" eb="5">
      <t>ヒロミ</t>
    </rPh>
    <phoneticPr fontId="1"/>
  </si>
  <si>
    <t>総　合　計</t>
    <rPh sb="0" eb="1">
      <t>ソウ</t>
    </rPh>
    <rPh sb="2" eb="3">
      <t>ゴウ</t>
    </rPh>
    <rPh sb="4" eb="5">
      <t>ケイ</t>
    </rPh>
    <phoneticPr fontId="1"/>
  </si>
  <si>
    <t>熊谷　剛</t>
    <rPh sb="0" eb="2">
      <t>クマガイ</t>
    </rPh>
    <rPh sb="3" eb="4">
      <t>ツヨシ</t>
    </rPh>
    <phoneticPr fontId="1"/>
  </si>
  <si>
    <t>松原　英利</t>
    <rPh sb="0" eb="2">
      <t>マツバラ</t>
    </rPh>
    <rPh sb="3" eb="5">
      <t>ヒデトシ</t>
    </rPh>
    <phoneticPr fontId="1"/>
  </si>
  <si>
    <t>八木田　那幸</t>
    <rPh sb="0" eb="3">
      <t>ヤギタ</t>
    </rPh>
    <rPh sb="4" eb="5">
      <t>ナ</t>
    </rPh>
    <rPh sb="5" eb="6">
      <t>ユキ</t>
    </rPh>
    <phoneticPr fontId="1"/>
  </si>
  <si>
    <t>松井　蓮奈</t>
    <rPh sb="0" eb="2">
      <t>マツイ</t>
    </rPh>
    <rPh sb="3" eb="4">
      <t>ハス</t>
    </rPh>
    <rPh sb="4" eb="5">
      <t>ナ</t>
    </rPh>
    <phoneticPr fontId="1"/>
  </si>
  <si>
    <t>松橋　明日香</t>
    <rPh sb="0" eb="2">
      <t>マツハシ</t>
    </rPh>
    <rPh sb="3" eb="6">
      <t>アスカ</t>
    </rPh>
    <phoneticPr fontId="1"/>
  </si>
  <si>
    <t>畠山　真美</t>
    <rPh sb="0" eb="2">
      <t>ハタケヤマ</t>
    </rPh>
    <rPh sb="3" eb="5">
      <t>マミ</t>
    </rPh>
    <phoneticPr fontId="1"/>
  </si>
  <si>
    <t>母良田　幸子</t>
    <rPh sb="0" eb="3">
      <t>ホロタ</t>
    </rPh>
    <rPh sb="4" eb="6">
      <t>サチコ</t>
    </rPh>
    <phoneticPr fontId="1"/>
  </si>
  <si>
    <t>小平　厚子</t>
    <rPh sb="0" eb="2">
      <t>コダイラ</t>
    </rPh>
    <rPh sb="3" eb="5">
      <t>アツコ</t>
    </rPh>
    <phoneticPr fontId="1"/>
  </si>
  <si>
    <t>沼田　智子</t>
    <rPh sb="0" eb="2">
      <t>ヌマタ</t>
    </rPh>
    <rPh sb="3" eb="5">
      <t>サトコ</t>
    </rPh>
    <phoneticPr fontId="1"/>
  </si>
  <si>
    <t>小平　厚子</t>
    <rPh sb="0" eb="2">
      <t>コダイラ</t>
    </rPh>
    <rPh sb="3" eb="5">
      <t>アツコ</t>
    </rPh>
    <phoneticPr fontId="1"/>
  </si>
  <si>
    <t>伊藤　和子</t>
    <rPh sb="0" eb="2">
      <t>イトウ</t>
    </rPh>
    <rPh sb="3" eb="5">
      <t>カズコ</t>
    </rPh>
    <phoneticPr fontId="1"/>
  </si>
  <si>
    <t>口</t>
    <rPh sb="0" eb="1">
      <t>クチ</t>
    </rPh>
    <phoneticPr fontId="1"/>
  </si>
  <si>
    <t>中村　英満</t>
    <rPh sb="0" eb="2">
      <t>ナカムラ</t>
    </rPh>
    <rPh sb="3" eb="4">
      <t>ヒデ</t>
    </rPh>
    <rPh sb="4" eb="5">
      <t>ミツ</t>
    </rPh>
    <phoneticPr fontId="1"/>
  </si>
  <si>
    <t>山本　えり子</t>
    <rPh sb="0" eb="2">
      <t>ヤマモト</t>
    </rPh>
    <rPh sb="5" eb="6">
      <t>コ</t>
    </rPh>
    <phoneticPr fontId="1"/>
  </si>
  <si>
    <t>一条　愛</t>
    <rPh sb="0" eb="2">
      <t>イチジョウ</t>
    </rPh>
    <rPh sb="3" eb="4">
      <t>アイ</t>
    </rPh>
    <phoneticPr fontId="1"/>
  </si>
  <si>
    <t>大下　里美</t>
    <rPh sb="0" eb="2">
      <t>オオシタ</t>
    </rPh>
    <rPh sb="3" eb="5">
      <t>サトミ</t>
    </rPh>
    <phoneticPr fontId="1"/>
  </si>
  <si>
    <t>成田　和史</t>
    <rPh sb="0" eb="2">
      <t>ナリタ</t>
    </rPh>
    <rPh sb="3" eb="4">
      <t>カズ</t>
    </rPh>
    <rPh sb="4" eb="5">
      <t>フミ</t>
    </rPh>
    <phoneticPr fontId="1"/>
  </si>
  <si>
    <t>合　　計</t>
    <rPh sb="0" eb="1">
      <t>ア</t>
    </rPh>
    <rPh sb="3" eb="4">
      <t>ケイ</t>
    </rPh>
    <phoneticPr fontId="1"/>
  </si>
  <si>
    <t>山野　ツヨ</t>
    <rPh sb="0" eb="2">
      <t>ヤマノ</t>
    </rPh>
    <phoneticPr fontId="1"/>
  </si>
  <si>
    <t>小　計　①</t>
    <rPh sb="0" eb="1">
      <t>コ</t>
    </rPh>
    <rPh sb="2" eb="3">
      <t>ケイ</t>
    </rPh>
    <phoneticPr fontId="1"/>
  </si>
  <si>
    <t>小　計　②</t>
    <rPh sb="0" eb="1">
      <t>コ</t>
    </rPh>
    <rPh sb="2" eb="3">
      <t>ケイ</t>
    </rPh>
    <phoneticPr fontId="1"/>
  </si>
  <si>
    <t>当日合計①+②</t>
    <rPh sb="0" eb="2">
      <t>トウジツ</t>
    </rPh>
    <rPh sb="2" eb="4">
      <t>ゴウケイ</t>
    </rPh>
    <phoneticPr fontId="1"/>
  </si>
  <si>
    <t>坂ノ上　愛莉</t>
    <rPh sb="0" eb="1">
      <t>サカ</t>
    </rPh>
    <rPh sb="2" eb="3">
      <t>ウエ</t>
    </rPh>
    <rPh sb="4" eb="6">
      <t>アイリ</t>
    </rPh>
    <phoneticPr fontId="1"/>
  </si>
  <si>
    <t>松坂　百華</t>
    <rPh sb="0" eb="2">
      <t>マツサカ</t>
    </rPh>
    <rPh sb="3" eb="5">
      <t>モモカ</t>
    </rPh>
    <phoneticPr fontId="1"/>
  </si>
  <si>
    <t>関川　哲一</t>
    <rPh sb="0" eb="2">
      <t>セキカワ</t>
    </rPh>
    <rPh sb="3" eb="4">
      <t>テツ</t>
    </rPh>
    <rPh sb="4" eb="5">
      <t>イチ</t>
    </rPh>
    <phoneticPr fontId="1"/>
  </si>
  <si>
    <t>赤坂　輝明</t>
    <rPh sb="0" eb="2">
      <t>アカサカ</t>
    </rPh>
    <rPh sb="3" eb="4">
      <t>テル</t>
    </rPh>
    <rPh sb="4" eb="5">
      <t>アキ</t>
    </rPh>
    <phoneticPr fontId="1"/>
  </si>
  <si>
    <t>佐々木　清</t>
    <rPh sb="0" eb="3">
      <t>ササキ</t>
    </rPh>
    <rPh sb="4" eb="5">
      <t>キヨシ</t>
    </rPh>
    <phoneticPr fontId="1"/>
  </si>
  <si>
    <t>目標10件班</t>
    <rPh sb="0" eb="2">
      <t>モクヒョウ</t>
    </rPh>
    <rPh sb="4" eb="5">
      <t>ケン</t>
    </rPh>
    <rPh sb="5" eb="6">
      <t>ハン</t>
    </rPh>
    <phoneticPr fontId="1"/>
  </si>
  <si>
    <t>東小川昭子</t>
    <rPh sb="0" eb="1">
      <t>ヒガシ</t>
    </rPh>
    <rPh sb="1" eb="3">
      <t>コガワ</t>
    </rPh>
    <rPh sb="3" eb="5">
      <t>アキコ</t>
    </rPh>
    <phoneticPr fontId="1"/>
  </si>
  <si>
    <t>前回同日</t>
    <rPh sb="0" eb="2">
      <t>ゼンカイ</t>
    </rPh>
    <rPh sb="2" eb="4">
      <t>ドウジツ</t>
    </rPh>
    <phoneticPr fontId="1"/>
  </si>
  <si>
    <t>担当者</t>
    <rPh sb="0" eb="3">
      <t>タントウシャ</t>
    </rPh>
    <phoneticPr fontId="1"/>
  </si>
  <si>
    <t>調理部・ギフト</t>
    <rPh sb="0" eb="2">
      <t>チョウリ</t>
    </rPh>
    <rPh sb="2" eb="3">
      <t>ブ</t>
    </rPh>
    <phoneticPr fontId="1"/>
  </si>
  <si>
    <t>会館ホール</t>
    <rPh sb="0" eb="2">
      <t>カイカン</t>
    </rPh>
    <phoneticPr fontId="1"/>
  </si>
  <si>
    <t>小西　裕子</t>
    <rPh sb="0" eb="2">
      <t>コニシ</t>
    </rPh>
    <rPh sb="3" eb="5">
      <t>ユウコ</t>
    </rPh>
    <phoneticPr fontId="1"/>
  </si>
  <si>
    <t>水</t>
    <rPh sb="0" eb="1">
      <t>スイ</t>
    </rPh>
    <phoneticPr fontId="1"/>
  </si>
  <si>
    <t>調理部・ギフト</t>
    <rPh sb="0" eb="3">
      <t>チョウリブ</t>
    </rPh>
    <phoneticPr fontId="1"/>
  </si>
  <si>
    <t>岡本　良一</t>
    <rPh sb="0" eb="2">
      <t>オカモト</t>
    </rPh>
    <rPh sb="3" eb="5">
      <t>リョウイチ</t>
    </rPh>
    <phoneticPr fontId="1"/>
  </si>
  <si>
    <t>小泉　洋之</t>
    <rPh sb="0" eb="2">
      <t>コイズミ</t>
    </rPh>
    <rPh sb="3" eb="5">
      <t>ヒロユキ</t>
    </rPh>
    <phoneticPr fontId="1"/>
  </si>
  <si>
    <t>中里　一賢</t>
    <rPh sb="0" eb="2">
      <t>ナカサト</t>
    </rPh>
    <rPh sb="3" eb="4">
      <t>カズ</t>
    </rPh>
    <rPh sb="4" eb="5">
      <t>ケン</t>
    </rPh>
    <phoneticPr fontId="1"/>
  </si>
  <si>
    <t>八田　雄太</t>
    <rPh sb="0" eb="2">
      <t>ハッタ</t>
    </rPh>
    <rPh sb="3" eb="5">
      <t>ユウタ</t>
    </rPh>
    <phoneticPr fontId="1"/>
  </si>
  <si>
    <t>小笠原　勉</t>
    <rPh sb="0" eb="3">
      <t>オガサワラ</t>
    </rPh>
    <rPh sb="4" eb="5">
      <t>ツトム</t>
    </rPh>
    <phoneticPr fontId="1"/>
  </si>
  <si>
    <t>工藤　翔平</t>
    <rPh sb="0" eb="2">
      <t>クドウ</t>
    </rPh>
    <rPh sb="3" eb="5">
      <t>ショウヘイ</t>
    </rPh>
    <phoneticPr fontId="1"/>
  </si>
  <si>
    <t>上村　聰子</t>
    <rPh sb="0" eb="2">
      <t>ウエムラ</t>
    </rPh>
    <rPh sb="3" eb="5">
      <t>サトコ</t>
    </rPh>
    <phoneticPr fontId="1"/>
  </si>
  <si>
    <t>細越　加司子</t>
    <rPh sb="0" eb="2">
      <t>ホソゴエ</t>
    </rPh>
    <rPh sb="3" eb="4">
      <t>カ</t>
    </rPh>
    <rPh sb="4" eb="5">
      <t>シ</t>
    </rPh>
    <rPh sb="5" eb="6">
      <t>コ</t>
    </rPh>
    <phoneticPr fontId="1"/>
  </si>
  <si>
    <t>澤田　敏秋</t>
    <rPh sb="0" eb="2">
      <t>サワダ</t>
    </rPh>
    <rPh sb="3" eb="4">
      <t>トシ</t>
    </rPh>
    <rPh sb="4" eb="5">
      <t>アキ</t>
    </rPh>
    <phoneticPr fontId="1"/>
  </si>
  <si>
    <t>類家　順</t>
    <rPh sb="0" eb="2">
      <t>ルイケ</t>
    </rPh>
    <rPh sb="3" eb="4">
      <t>ジュン</t>
    </rPh>
    <phoneticPr fontId="1"/>
  </si>
  <si>
    <t>熊谷　剛</t>
    <rPh sb="0" eb="2">
      <t>クマガイ</t>
    </rPh>
    <rPh sb="3" eb="4">
      <t>ツヨシ</t>
    </rPh>
    <phoneticPr fontId="1"/>
  </si>
  <si>
    <t>小川　菜音</t>
    <rPh sb="0" eb="2">
      <t>オガワ</t>
    </rPh>
    <rPh sb="3" eb="4">
      <t>ナ</t>
    </rPh>
    <rPh sb="4" eb="5">
      <t>オト</t>
    </rPh>
    <phoneticPr fontId="1"/>
  </si>
  <si>
    <t>近藤　綾乃</t>
    <rPh sb="0" eb="2">
      <t>コンドウ</t>
    </rPh>
    <rPh sb="3" eb="5">
      <t>アヤノ</t>
    </rPh>
    <phoneticPr fontId="1"/>
  </si>
  <si>
    <t>大橋　沙智</t>
    <rPh sb="0" eb="2">
      <t>オオハシ</t>
    </rPh>
    <rPh sb="3" eb="5">
      <t>サチ</t>
    </rPh>
    <phoneticPr fontId="1"/>
  </si>
  <si>
    <t>田端　克昭</t>
    <rPh sb="0" eb="2">
      <t>タバタ</t>
    </rPh>
    <rPh sb="3" eb="5">
      <t>カツアキ</t>
    </rPh>
    <phoneticPr fontId="1"/>
  </si>
  <si>
    <t>古谷　裕美</t>
    <rPh sb="0" eb="2">
      <t>フルヤ</t>
    </rPh>
    <rPh sb="3" eb="5">
      <t>ユミ</t>
    </rPh>
    <phoneticPr fontId="1"/>
  </si>
  <si>
    <t>奥谷　和広</t>
    <rPh sb="0" eb="2">
      <t>オクタニ</t>
    </rPh>
    <rPh sb="3" eb="5">
      <t>カズヒロ</t>
    </rPh>
    <phoneticPr fontId="1"/>
  </si>
  <si>
    <t>木津谷　隆</t>
    <rPh sb="0" eb="1">
      <t>キ</t>
    </rPh>
    <rPh sb="1" eb="3">
      <t>ツヤ</t>
    </rPh>
    <rPh sb="4" eb="5">
      <t>タカシ</t>
    </rPh>
    <phoneticPr fontId="1"/>
  </si>
  <si>
    <t>古瀬　裕二</t>
    <rPh sb="0" eb="2">
      <t>フルセ</t>
    </rPh>
    <rPh sb="3" eb="5">
      <t>ユウジ</t>
    </rPh>
    <phoneticPr fontId="1"/>
  </si>
  <si>
    <t>笹本　照子</t>
    <rPh sb="0" eb="2">
      <t>ササモト</t>
    </rPh>
    <rPh sb="3" eb="5">
      <t>テルコ</t>
    </rPh>
    <phoneticPr fontId="1"/>
  </si>
  <si>
    <t>石橋　直子</t>
    <rPh sb="0" eb="2">
      <t>イシバシ</t>
    </rPh>
    <rPh sb="3" eb="5">
      <t>ナオコ</t>
    </rPh>
    <phoneticPr fontId="1"/>
  </si>
  <si>
    <t>佐藤　真夏</t>
    <rPh sb="0" eb="2">
      <t>サトウ</t>
    </rPh>
    <rPh sb="3" eb="5">
      <t>マナツ</t>
    </rPh>
    <phoneticPr fontId="1"/>
  </si>
  <si>
    <t>三上　紗津</t>
    <rPh sb="0" eb="2">
      <t>ミカミ</t>
    </rPh>
    <rPh sb="3" eb="4">
      <t>サ</t>
    </rPh>
    <rPh sb="4" eb="5">
      <t>ツ</t>
    </rPh>
    <phoneticPr fontId="1"/>
  </si>
  <si>
    <t>豊川　真紀</t>
    <rPh sb="0" eb="2">
      <t>トヨカワ</t>
    </rPh>
    <rPh sb="3" eb="5">
      <t>マキ</t>
    </rPh>
    <phoneticPr fontId="1"/>
  </si>
  <si>
    <t>三上　紗津</t>
    <rPh sb="0" eb="2">
      <t>ミカミ</t>
    </rPh>
    <rPh sb="3" eb="4">
      <t>サ</t>
    </rPh>
    <rPh sb="4" eb="5">
      <t>ツ</t>
    </rPh>
    <phoneticPr fontId="1"/>
  </si>
  <si>
    <t>豊川　真紀</t>
    <rPh sb="0" eb="2">
      <t>トヨカワ</t>
    </rPh>
    <rPh sb="3" eb="5">
      <t>マキ</t>
    </rPh>
    <phoneticPr fontId="1"/>
  </si>
  <si>
    <t>瀧口　健史</t>
    <rPh sb="0" eb="2">
      <t>タキグチ</t>
    </rPh>
    <rPh sb="3" eb="4">
      <t>タケシ</t>
    </rPh>
    <rPh sb="4" eb="5">
      <t>シ</t>
    </rPh>
    <phoneticPr fontId="1"/>
  </si>
  <si>
    <t>合計</t>
    <rPh sb="0" eb="2">
      <t>ゴウケイ</t>
    </rPh>
    <phoneticPr fontId="1"/>
  </si>
  <si>
    <t>石橋　早苗</t>
    <rPh sb="0" eb="2">
      <t>イシバシ</t>
    </rPh>
    <rPh sb="3" eb="5">
      <t>サナエ</t>
    </rPh>
    <phoneticPr fontId="1"/>
  </si>
  <si>
    <t>工藤　美咲</t>
    <rPh sb="0" eb="2">
      <t>クドウ</t>
    </rPh>
    <rPh sb="3" eb="5">
      <t>ミサキ</t>
    </rPh>
    <phoneticPr fontId="1"/>
  </si>
  <si>
    <t>坂井田　一徳</t>
    <rPh sb="0" eb="2">
      <t>サカイ</t>
    </rPh>
    <rPh sb="2" eb="3">
      <t>タ</t>
    </rPh>
    <rPh sb="4" eb="5">
      <t>イチ</t>
    </rPh>
    <rPh sb="5" eb="6">
      <t>トク</t>
    </rPh>
    <phoneticPr fontId="1"/>
  </si>
  <si>
    <t>役員・営業</t>
    <rPh sb="0" eb="2">
      <t>ヤクイン</t>
    </rPh>
    <rPh sb="3" eb="5">
      <t>エイギョウ</t>
    </rPh>
    <phoneticPr fontId="1"/>
  </si>
  <si>
    <t>(月総計）</t>
    <rPh sb="1" eb="2">
      <t>ツキ</t>
    </rPh>
    <rPh sb="2" eb="4">
      <t>ソウケイ</t>
    </rPh>
    <phoneticPr fontId="1"/>
  </si>
  <si>
    <t>件数</t>
  </si>
  <si>
    <t>件数</t>
    <phoneticPr fontId="1"/>
  </si>
  <si>
    <t>口数</t>
  </si>
  <si>
    <t>前田　むつ子</t>
    <rPh sb="0" eb="2">
      <t>マエダ</t>
    </rPh>
    <rPh sb="5" eb="6">
      <t>コ</t>
    </rPh>
    <phoneticPr fontId="1"/>
  </si>
  <si>
    <t>●</t>
    <phoneticPr fontId="1"/>
  </si>
  <si>
    <t>古里　剛</t>
    <rPh sb="0" eb="2">
      <t>フルサト</t>
    </rPh>
    <rPh sb="3" eb="4">
      <t>ツヨシ</t>
    </rPh>
    <phoneticPr fontId="1"/>
  </si>
  <si>
    <t>互助会集金</t>
  </si>
  <si>
    <t>互助会パートナー</t>
  </si>
  <si>
    <t>ケアスタッフ</t>
  </si>
  <si>
    <t>戸舘　直人</t>
    <rPh sb="0" eb="2">
      <t>トダテ</t>
    </rPh>
    <rPh sb="3" eb="5">
      <t>ナオト</t>
    </rPh>
    <phoneticPr fontId="1"/>
  </si>
  <si>
    <t>舘　博美</t>
    <rPh sb="0" eb="1">
      <t>タテ</t>
    </rPh>
    <rPh sb="2" eb="4">
      <t>ヒロミ</t>
    </rPh>
    <phoneticPr fontId="1"/>
  </si>
  <si>
    <t>木津谷　隆</t>
    <rPh sb="0" eb="3">
      <t>キツヤ</t>
    </rPh>
    <rPh sb="4" eb="5">
      <t>タカシ</t>
    </rPh>
    <phoneticPr fontId="1"/>
  </si>
  <si>
    <t>高橋　公司</t>
    <rPh sb="0" eb="2">
      <t>タカハシ</t>
    </rPh>
    <rPh sb="3" eb="4">
      <t>コウ</t>
    </rPh>
    <rPh sb="4" eb="5">
      <t>ツカサ</t>
    </rPh>
    <phoneticPr fontId="1"/>
  </si>
  <si>
    <t>古里　剛</t>
    <rPh sb="0" eb="1">
      <t>フル</t>
    </rPh>
    <rPh sb="1" eb="2">
      <t>サト</t>
    </rPh>
    <rPh sb="3" eb="4">
      <t>ツヨシ</t>
    </rPh>
    <phoneticPr fontId="1"/>
  </si>
  <si>
    <t>高橋　勤</t>
    <rPh sb="0" eb="2">
      <t>タカハシ</t>
    </rPh>
    <rPh sb="3" eb="4">
      <t>ツトム</t>
    </rPh>
    <phoneticPr fontId="1"/>
  </si>
  <si>
    <t>下舘　はるみ</t>
    <rPh sb="0" eb="2">
      <t>シモダテ</t>
    </rPh>
    <phoneticPr fontId="1"/>
  </si>
  <si>
    <t>熊野　実佳</t>
    <rPh sb="0" eb="2">
      <t>クマノ</t>
    </rPh>
    <rPh sb="3" eb="5">
      <t>ミカ</t>
    </rPh>
    <phoneticPr fontId="1"/>
  </si>
  <si>
    <t>八田　守立</t>
    <phoneticPr fontId="1"/>
  </si>
  <si>
    <t>中村　充穂</t>
    <rPh sb="0" eb="2">
      <t>ナカムラ</t>
    </rPh>
    <rPh sb="3" eb="5">
      <t>ミツホ</t>
    </rPh>
    <phoneticPr fontId="1"/>
  </si>
  <si>
    <t>八田　安啓</t>
    <rPh sb="0" eb="2">
      <t>ハッタ</t>
    </rPh>
    <rPh sb="3" eb="4">
      <t>ヤス</t>
    </rPh>
    <phoneticPr fontId="1"/>
  </si>
  <si>
    <t>鷹幸　弘尚</t>
    <rPh sb="0" eb="1">
      <t>タカ</t>
    </rPh>
    <rPh sb="1" eb="2">
      <t>コウ</t>
    </rPh>
    <rPh sb="3" eb="4">
      <t>ヒロ</t>
    </rPh>
    <rPh sb="4" eb="5">
      <t>ナオ</t>
    </rPh>
    <phoneticPr fontId="1"/>
  </si>
  <si>
    <t>細越　利章</t>
    <rPh sb="0" eb="2">
      <t>ホソゴエ</t>
    </rPh>
    <rPh sb="3" eb="4">
      <t>トシ</t>
    </rPh>
    <rPh sb="4" eb="5">
      <t>ショウ</t>
    </rPh>
    <phoneticPr fontId="1"/>
  </si>
  <si>
    <t>中村　英満</t>
    <rPh sb="0" eb="2">
      <t>ナカムラ</t>
    </rPh>
    <rPh sb="3" eb="4">
      <t>エイ</t>
    </rPh>
    <rPh sb="4" eb="5">
      <t>マン</t>
    </rPh>
    <phoneticPr fontId="1"/>
  </si>
  <si>
    <t>三浦　賢子</t>
    <rPh sb="0" eb="2">
      <t>ミウラ</t>
    </rPh>
    <rPh sb="3" eb="4">
      <t>ケン</t>
    </rPh>
    <rPh sb="4" eb="5">
      <t>コ</t>
    </rPh>
    <phoneticPr fontId="1"/>
  </si>
  <si>
    <t>中屋敷　蓉子</t>
    <rPh sb="0" eb="3">
      <t>ナカヤシキ</t>
    </rPh>
    <rPh sb="4" eb="6">
      <t>ヨウコ</t>
    </rPh>
    <phoneticPr fontId="1"/>
  </si>
  <si>
    <t>平野　元基</t>
    <rPh sb="0" eb="2">
      <t>ヒラノ</t>
    </rPh>
    <rPh sb="3" eb="5">
      <t>モトキ</t>
    </rPh>
    <phoneticPr fontId="1"/>
  </si>
  <si>
    <t>石橋　千世子</t>
    <rPh sb="0" eb="2">
      <t>イシバシ</t>
    </rPh>
    <rPh sb="3" eb="4">
      <t>チ</t>
    </rPh>
    <rPh sb="4" eb="5">
      <t>セ</t>
    </rPh>
    <rPh sb="5" eb="6">
      <t>コ</t>
    </rPh>
    <phoneticPr fontId="1"/>
  </si>
  <si>
    <t>長谷川　雅胤</t>
    <rPh sb="0" eb="3">
      <t>ハセガワ</t>
    </rPh>
    <rPh sb="4" eb="5">
      <t>ミヤビ</t>
    </rPh>
    <phoneticPr fontId="1"/>
  </si>
  <si>
    <t>澤田　敏秋</t>
    <rPh sb="0" eb="2">
      <t>サワダ</t>
    </rPh>
    <rPh sb="3" eb="5">
      <t>トシアキ</t>
    </rPh>
    <phoneticPr fontId="1"/>
  </si>
  <si>
    <t>瀧口　健史</t>
    <rPh sb="0" eb="2">
      <t>タキグチ</t>
    </rPh>
    <rPh sb="3" eb="5">
      <t>ケンシ</t>
    </rPh>
    <phoneticPr fontId="1"/>
  </si>
  <si>
    <t>中村　盛宥</t>
    <rPh sb="0" eb="2">
      <t>ナカムラ</t>
    </rPh>
    <rPh sb="3" eb="4">
      <t>セイ</t>
    </rPh>
    <rPh sb="4" eb="5">
      <t>ユウ</t>
    </rPh>
    <phoneticPr fontId="1"/>
  </si>
  <si>
    <t>梅津　昭勝</t>
    <rPh sb="0" eb="2">
      <t>ウメツ</t>
    </rPh>
    <rPh sb="3" eb="5">
      <t>アキカツ</t>
    </rPh>
    <phoneticPr fontId="1"/>
  </si>
  <si>
    <t>上野　喜幸</t>
    <rPh sb="0" eb="2">
      <t>ウワノ</t>
    </rPh>
    <rPh sb="3" eb="4">
      <t>ヨロコ</t>
    </rPh>
    <rPh sb="4" eb="5">
      <t>コウ</t>
    </rPh>
    <phoneticPr fontId="1"/>
  </si>
  <si>
    <t>久保尻　善見</t>
    <rPh sb="0" eb="3">
      <t>クボジリ</t>
    </rPh>
    <rPh sb="4" eb="6">
      <t>ヨシミ</t>
    </rPh>
    <phoneticPr fontId="1"/>
  </si>
  <si>
    <t>大下　孝志</t>
    <rPh sb="0" eb="2">
      <t>オオシタ</t>
    </rPh>
    <rPh sb="3" eb="5">
      <t>タカシ</t>
    </rPh>
    <phoneticPr fontId="1"/>
  </si>
  <si>
    <t>今野　友生</t>
    <rPh sb="0" eb="2">
      <t>コンノ</t>
    </rPh>
    <rPh sb="3" eb="4">
      <t>トモ</t>
    </rPh>
    <rPh sb="4" eb="5">
      <t>ナマ</t>
    </rPh>
    <phoneticPr fontId="1"/>
  </si>
  <si>
    <t>田名部　夢生</t>
    <rPh sb="0" eb="3">
      <t>タナブ</t>
    </rPh>
    <rPh sb="4" eb="5">
      <t>ユメ</t>
    </rPh>
    <rPh sb="5" eb="6">
      <t>ナマ</t>
    </rPh>
    <phoneticPr fontId="1"/>
  </si>
  <si>
    <t>柞木田　久子</t>
    <rPh sb="0" eb="1">
      <t>サク</t>
    </rPh>
    <rPh sb="1" eb="3">
      <t>キダ</t>
    </rPh>
    <rPh sb="4" eb="6">
      <t>ヒサコ</t>
    </rPh>
    <phoneticPr fontId="1"/>
  </si>
  <si>
    <t>西山　彩理奈</t>
    <rPh sb="0" eb="2">
      <t>ニシヤマ</t>
    </rPh>
    <rPh sb="3" eb="4">
      <t>サイ</t>
    </rPh>
    <rPh sb="4" eb="5">
      <t>リ</t>
    </rPh>
    <rPh sb="5" eb="6">
      <t>ナ</t>
    </rPh>
    <phoneticPr fontId="1"/>
  </si>
  <si>
    <t>野﨑　浩士</t>
    <rPh sb="0" eb="2">
      <t>ノザキ</t>
    </rPh>
    <rPh sb="3" eb="4">
      <t>ヒロシ</t>
    </rPh>
    <rPh sb="4" eb="5">
      <t>シ</t>
    </rPh>
    <phoneticPr fontId="1"/>
  </si>
  <si>
    <t>川村　一覚</t>
    <rPh sb="0" eb="2">
      <t>カワムラ</t>
    </rPh>
    <rPh sb="3" eb="5">
      <t>イッカク</t>
    </rPh>
    <phoneticPr fontId="2"/>
  </si>
  <si>
    <t>佐藤　進</t>
    <rPh sb="0" eb="2">
      <t>サトウ</t>
    </rPh>
    <rPh sb="3" eb="4">
      <t>ススム</t>
    </rPh>
    <phoneticPr fontId="1"/>
  </si>
  <si>
    <t>田名部　丞</t>
    <rPh sb="0" eb="3">
      <t>タナブ</t>
    </rPh>
    <rPh sb="4" eb="5">
      <t>ススム</t>
    </rPh>
    <phoneticPr fontId="1"/>
  </si>
  <si>
    <t>白戸　祐理</t>
    <rPh sb="0" eb="2">
      <t>シラト</t>
    </rPh>
    <rPh sb="3" eb="5">
      <t>ユリ</t>
    </rPh>
    <phoneticPr fontId="1"/>
  </si>
  <si>
    <t>成田　和史</t>
    <rPh sb="0" eb="2">
      <t>ナリタ</t>
    </rPh>
    <rPh sb="3" eb="5">
      <t>カズフミ</t>
    </rPh>
    <phoneticPr fontId="1"/>
  </si>
  <si>
    <t>中里　一賢</t>
    <rPh sb="0" eb="2">
      <t>ナカサト</t>
    </rPh>
    <rPh sb="3" eb="4">
      <t>イチ</t>
    </rPh>
    <rPh sb="4" eb="5">
      <t>ケン</t>
    </rPh>
    <phoneticPr fontId="1"/>
  </si>
  <si>
    <t>坂井田　一徳</t>
    <rPh sb="0" eb="3">
      <t>サカイダ</t>
    </rPh>
    <rPh sb="4" eb="6">
      <t>カズノリ</t>
    </rPh>
    <phoneticPr fontId="1"/>
  </si>
  <si>
    <t>新井谷　恵美子</t>
    <rPh sb="0" eb="2">
      <t>ニイ</t>
    </rPh>
    <rPh sb="2" eb="3">
      <t>ヤ</t>
    </rPh>
    <rPh sb="4" eb="7">
      <t>エミコ</t>
    </rPh>
    <phoneticPr fontId="1"/>
  </si>
  <si>
    <t>山田　祥弘</t>
    <rPh sb="0" eb="2">
      <t>ヤマダ</t>
    </rPh>
    <rPh sb="3" eb="4">
      <t>サチ</t>
    </rPh>
    <rPh sb="4" eb="5">
      <t>ヒロ</t>
    </rPh>
    <phoneticPr fontId="1"/>
  </si>
  <si>
    <t>細越　加司子</t>
    <rPh sb="0" eb="2">
      <t>ホソゴエ</t>
    </rPh>
    <rPh sb="3" eb="4">
      <t>カ</t>
    </rPh>
    <rPh sb="4" eb="5">
      <t>ツカサ</t>
    </rPh>
    <rPh sb="5" eb="6">
      <t>コ</t>
    </rPh>
    <phoneticPr fontId="1"/>
  </si>
  <si>
    <t>川合　健司</t>
    <rPh sb="0" eb="2">
      <t>カワイ</t>
    </rPh>
    <rPh sb="3" eb="5">
      <t>ケンジ</t>
    </rPh>
    <phoneticPr fontId="1"/>
  </si>
  <si>
    <t>佐々木　清</t>
    <rPh sb="0" eb="3">
      <t>ササキ</t>
    </rPh>
    <rPh sb="4" eb="5">
      <t>キヨシ</t>
    </rPh>
    <phoneticPr fontId="2"/>
  </si>
  <si>
    <t>中橋　怜菜</t>
    <rPh sb="0" eb="2">
      <t>ナカハシ</t>
    </rPh>
    <rPh sb="3" eb="5">
      <t>レナ</t>
    </rPh>
    <phoneticPr fontId="1"/>
  </si>
  <si>
    <t>貝守　竜哉</t>
    <rPh sb="0" eb="2">
      <t>カイモリ</t>
    </rPh>
    <rPh sb="3" eb="5">
      <t>タツヤ</t>
    </rPh>
    <phoneticPr fontId="1"/>
  </si>
  <si>
    <t>松井　龍平</t>
    <rPh sb="0" eb="2">
      <t>マツイ</t>
    </rPh>
    <rPh sb="3" eb="5">
      <t>リュウヘイ</t>
    </rPh>
    <phoneticPr fontId="1"/>
  </si>
  <si>
    <t>髙橋　慶子</t>
    <rPh sb="0" eb="2">
      <t>タカハシ</t>
    </rPh>
    <rPh sb="3" eb="5">
      <t>ケイコ</t>
    </rPh>
    <phoneticPr fontId="1"/>
  </si>
  <si>
    <t>八木田　那幸</t>
    <rPh sb="0" eb="3">
      <t>ヤギタ</t>
    </rPh>
    <rPh sb="4" eb="5">
      <t>ナ</t>
    </rPh>
    <rPh sb="5" eb="6">
      <t>コウ</t>
    </rPh>
    <phoneticPr fontId="1"/>
  </si>
  <si>
    <t>阿部　由紀子</t>
    <rPh sb="0" eb="2">
      <t>アベ</t>
    </rPh>
    <rPh sb="3" eb="6">
      <t>ユキコ</t>
    </rPh>
    <phoneticPr fontId="1"/>
  </si>
  <si>
    <t>種市　由希枝</t>
    <rPh sb="0" eb="2">
      <t>タネイチ</t>
    </rPh>
    <rPh sb="3" eb="4">
      <t>ヨシ</t>
    </rPh>
    <rPh sb="4" eb="5">
      <t>キ</t>
    </rPh>
    <rPh sb="5" eb="6">
      <t>エダ</t>
    </rPh>
    <phoneticPr fontId="1"/>
  </si>
  <si>
    <t>安ヶ平　真由美</t>
    <rPh sb="0" eb="1">
      <t>ヤス</t>
    </rPh>
    <rPh sb="2" eb="3">
      <t>タイラ</t>
    </rPh>
    <rPh sb="4" eb="7">
      <t>マユミ</t>
    </rPh>
    <phoneticPr fontId="1"/>
  </si>
  <si>
    <t>赤坂　輝明</t>
    <rPh sb="0" eb="2">
      <t>アカサカ</t>
    </rPh>
    <rPh sb="3" eb="5">
      <t>テルアキ</t>
    </rPh>
    <phoneticPr fontId="1"/>
  </si>
  <si>
    <t>佐々木　史弥</t>
    <rPh sb="0" eb="3">
      <t>ササキ</t>
    </rPh>
    <rPh sb="4" eb="6">
      <t>フミヤ</t>
    </rPh>
    <phoneticPr fontId="1"/>
  </si>
  <si>
    <t>佐々木　美知子</t>
    <rPh sb="0" eb="3">
      <t>ササキ</t>
    </rPh>
    <rPh sb="4" eb="7">
      <t>ミチコ</t>
    </rPh>
    <phoneticPr fontId="2"/>
  </si>
  <si>
    <t>杉渕　恵美</t>
    <rPh sb="0" eb="2">
      <t>スギブチ</t>
    </rPh>
    <rPh sb="3" eb="5">
      <t>エミ</t>
    </rPh>
    <phoneticPr fontId="1"/>
  </si>
  <si>
    <t>高橋　公司</t>
    <rPh sb="0" eb="2">
      <t>タカハシ</t>
    </rPh>
    <rPh sb="3" eb="5">
      <t>コウジ</t>
    </rPh>
    <phoneticPr fontId="1"/>
  </si>
  <si>
    <t>サポーター・その他</t>
    <rPh sb="8" eb="9">
      <t>タ</t>
    </rPh>
    <phoneticPr fontId="1"/>
  </si>
  <si>
    <t>赤坂　友輔</t>
    <rPh sb="0" eb="2">
      <t>アカサカ</t>
    </rPh>
    <rPh sb="3" eb="5">
      <t>ユウスケ</t>
    </rPh>
    <phoneticPr fontId="1"/>
  </si>
  <si>
    <t>宮崎　和久</t>
    <phoneticPr fontId="1"/>
  </si>
  <si>
    <t>●</t>
    <phoneticPr fontId="1"/>
  </si>
  <si>
    <t>松井　蓮奈</t>
    <rPh sb="0" eb="2">
      <t>マツイ</t>
    </rPh>
    <rPh sb="3" eb="4">
      <t>ハス</t>
    </rPh>
    <rPh sb="4" eb="5">
      <t>ナ</t>
    </rPh>
    <phoneticPr fontId="1"/>
  </si>
  <si>
    <t>工藤　翔平</t>
    <rPh sb="0" eb="2">
      <t>クドウ</t>
    </rPh>
    <rPh sb="3" eb="5">
      <t>ショウヘイ</t>
    </rPh>
    <phoneticPr fontId="1"/>
  </si>
  <si>
    <t>1番目の方がリーダー</t>
    <rPh sb="1" eb="3">
      <t>バンメ</t>
    </rPh>
    <rPh sb="4" eb="5">
      <t>カタ</t>
    </rPh>
    <phoneticPr fontId="1"/>
  </si>
  <si>
    <t>2番目の方が副リーダー</t>
    <rPh sb="1" eb="3">
      <t>バンメ</t>
    </rPh>
    <rPh sb="4" eb="5">
      <t>カタ</t>
    </rPh>
    <rPh sb="6" eb="7">
      <t>フク</t>
    </rPh>
    <phoneticPr fontId="1"/>
  </si>
  <si>
    <t>15:30時点</t>
    <phoneticPr fontId="1"/>
  </si>
  <si>
    <t>上村　巧弥</t>
    <rPh sb="0" eb="2">
      <t>ウエムラ</t>
    </rPh>
    <rPh sb="3" eb="4">
      <t>タク</t>
    </rPh>
    <rPh sb="4" eb="5">
      <t>ミ</t>
    </rPh>
    <phoneticPr fontId="1"/>
  </si>
  <si>
    <t>古舘　優紀</t>
    <rPh sb="0" eb="2">
      <t>フルダテ</t>
    </rPh>
    <rPh sb="3" eb="5">
      <t>ユウキ</t>
    </rPh>
    <phoneticPr fontId="1"/>
  </si>
  <si>
    <t>橋本　収史</t>
    <rPh sb="0" eb="2">
      <t>ハシモト</t>
    </rPh>
    <rPh sb="3" eb="4">
      <t>シュウ</t>
    </rPh>
    <rPh sb="4" eb="5">
      <t>フミ</t>
    </rPh>
    <phoneticPr fontId="1"/>
  </si>
  <si>
    <t>シートの構成</t>
    <rPh sb="4" eb="6">
      <t>コウセイ</t>
    </rPh>
    <phoneticPr fontId="1"/>
  </si>
  <si>
    <t>全体集計表</t>
    <rPh sb="0" eb="2">
      <t>ゼンタイ</t>
    </rPh>
    <rPh sb="2" eb="4">
      <t>シュウケイ</t>
    </rPh>
    <rPh sb="4" eb="5">
      <t>ヒョウ</t>
    </rPh>
    <phoneticPr fontId="1"/>
  </si>
  <si>
    <t>1ヶ月目集計表</t>
    <rPh sb="2" eb="4">
      <t>ゲツメ</t>
    </rPh>
    <rPh sb="4" eb="6">
      <t>シュウケイ</t>
    </rPh>
    <rPh sb="6" eb="7">
      <t>ヒョウ</t>
    </rPh>
    <phoneticPr fontId="1"/>
  </si>
  <si>
    <t>2ヶ月目集計表</t>
    <rPh sb="2" eb="4">
      <t>ゲツメ</t>
    </rPh>
    <rPh sb="4" eb="6">
      <t>シュウケイ</t>
    </rPh>
    <rPh sb="6" eb="7">
      <t>ヒョウ</t>
    </rPh>
    <phoneticPr fontId="1"/>
  </si>
  <si>
    <t>3ヶ月目集計表</t>
    <rPh sb="2" eb="4">
      <t>ゲツメ</t>
    </rPh>
    <rPh sb="4" eb="6">
      <t>シュウケイ</t>
    </rPh>
    <rPh sb="6" eb="7">
      <t>ヒョウ</t>
    </rPh>
    <phoneticPr fontId="1"/>
  </si>
  <si>
    <t>日別集計</t>
    <rPh sb="0" eb="1">
      <t>ニチ</t>
    </rPh>
    <rPh sb="1" eb="2">
      <t>ベツ</t>
    </rPh>
    <rPh sb="2" eb="4">
      <t>シュウケイ</t>
    </rPh>
    <phoneticPr fontId="1"/>
  </si>
  <si>
    <t>名前は集計表と完全に同じにすること</t>
    <rPh sb="0" eb="2">
      <t>ナマエ</t>
    </rPh>
    <rPh sb="3" eb="5">
      <t>シュウケイ</t>
    </rPh>
    <rPh sb="5" eb="6">
      <t>ヒョウ</t>
    </rPh>
    <rPh sb="7" eb="9">
      <t>カンゼン</t>
    </rPh>
    <rPh sb="10" eb="11">
      <t>オナ</t>
    </rPh>
    <phoneticPr fontId="1"/>
  </si>
  <si>
    <t>新しい増強月間に入るとき</t>
    <rPh sb="0" eb="1">
      <t>アタラ</t>
    </rPh>
    <rPh sb="3" eb="5">
      <t>ゾウキョウ</t>
    </rPh>
    <rPh sb="5" eb="7">
      <t>ゲッカン</t>
    </rPh>
    <rPh sb="8" eb="9">
      <t>ハイ</t>
    </rPh>
    <phoneticPr fontId="1"/>
  </si>
  <si>
    <t>シートの名前を変えればそのシートを見ているすべての関数で自動に変えてくれるっぽい</t>
    <rPh sb="4" eb="6">
      <t>ナマエ</t>
    </rPh>
    <rPh sb="7" eb="8">
      <t>カ</t>
    </rPh>
    <rPh sb="17" eb="18">
      <t>ミ</t>
    </rPh>
    <rPh sb="25" eb="27">
      <t>カンスウ</t>
    </rPh>
    <rPh sb="28" eb="30">
      <t>ジドウ</t>
    </rPh>
    <rPh sb="31" eb="32">
      <t>カ</t>
    </rPh>
    <phoneticPr fontId="1"/>
  </si>
  <si>
    <t>なのでシートの名前はご自由に</t>
    <rPh sb="7" eb="9">
      <t>ナマエ</t>
    </rPh>
    <rPh sb="11" eb="13">
      <t>ジユウ</t>
    </rPh>
    <phoneticPr fontId="1"/>
  </si>
  <si>
    <t>古舘　優紀</t>
    <rPh sb="0" eb="2">
      <t>フルダテ</t>
    </rPh>
    <rPh sb="3" eb="5">
      <t>ユウキ</t>
    </rPh>
    <phoneticPr fontId="1"/>
  </si>
  <si>
    <t>石井　智帆</t>
    <rPh sb="0" eb="2">
      <t>イシイ</t>
    </rPh>
    <rPh sb="3" eb="4">
      <t>トモ</t>
    </rPh>
    <rPh sb="4" eb="5">
      <t>ホ</t>
    </rPh>
    <phoneticPr fontId="1"/>
  </si>
  <si>
    <t>上村　巧弥</t>
    <rPh sb="0" eb="2">
      <t>ウエムラ</t>
    </rPh>
    <rPh sb="3" eb="4">
      <t>タクミ</t>
    </rPh>
    <rPh sb="4" eb="5">
      <t>ヤ</t>
    </rPh>
    <phoneticPr fontId="1"/>
  </si>
  <si>
    <t>関数メモ</t>
    <rPh sb="0" eb="2">
      <t>カンスウ</t>
    </rPh>
    <phoneticPr fontId="1"/>
  </si>
  <si>
    <t>←集計表の入力漏れ検出用（集計表に記載があれば列のアルファベットが出てくる。記載がなければ未入力）</t>
    <rPh sb="1" eb="3">
      <t>シュウケイ</t>
    </rPh>
    <rPh sb="3" eb="4">
      <t>ヒョウ</t>
    </rPh>
    <rPh sb="5" eb="7">
      <t>ニュウリョク</t>
    </rPh>
    <rPh sb="7" eb="8">
      <t>モ</t>
    </rPh>
    <rPh sb="9" eb="11">
      <t>ケンシュツ</t>
    </rPh>
    <rPh sb="11" eb="12">
      <t>ヨウ</t>
    </rPh>
    <rPh sb="13" eb="15">
      <t>シュウケイ</t>
    </rPh>
    <rPh sb="15" eb="16">
      <t>ヒョウ</t>
    </rPh>
    <rPh sb="17" eb="19">
      <t>キサイ</t>
    </rPh>
    <rPh sb="23" eb="24">
      <t>レツ</t>
    </rPh>
    <rPh sb="33" eb="34">
      <t>デ</t>
    </rPh>
    <rPh sb="38" eb="40">
      <t>キサイ</t>
    </rPh>
    <rPh sb="45" eb="48">
      <t>ミニュウリョク</t>
    </rPh>
    <phoneticPr fontId="1"/>
  </si>
  <si>
    <t>←各グループの目標件数用</t>
    <rPh sb="1" eb="2">
      <t>カク</t>
    </rPh>
    <rPh sb="7" eb="9">
      <t>モクヒョウ</t>
    </rPh>
    <rPh sb="9" eb="11">
      <t>ケンスウ</t>
    </rPh>
    <rPh sb="11" eb="12">
      <t>ヨウ</t>
    </rPh>
    <phoneticPr fontId="1"/>
  </si>
  <si>
    <t>行の幅は名前ありが50、なしが16</t>
    <rPh sb="0" eb="1">
      <t>ギョウ</t>
    </rPh>
    <rPh sb="2" eb="3">
      <t>ハバ</t>
    </rPh>
    <rPh sb="4" eb="6">
      <t>ナマエ</t>
    </rPh>
    <phoneticPr fontId="1"/>
  </si>
  <si>
    <t>人が増えて1ページに収まらないときは行の幅で調整</t>
    <rPh sb="0" eb="1">
      <t>ヒト</t>
    </rPh>
    <rPh sb="2" eb="3">
      <t>フ</t>
    </rPh>
    <rPh sb="10" eb="11">
      <t>オサ</t>
    </rPh>
    <rPh sb="18" eb="19">
      <t>ギョウ</t>
    </rPh>
    <rPh sb="20" eb="21">
      <t>ハバ</t>
    </rPh>
    <rPh sb="22" eb="24">
      <t>チョウセイ</t>
    </rPh>
    <phoneticPr fontId="1"/>
  </si>
  <si>
    <t>←グループ名+目標件数</t>
    <rPh sb="5" eb="6">
      <t>メイ</t>
    </rPh>
    <rPh sb="7" eb="9">
      <t>モクヒョウ</t>
    </rPh>
    <rPh sb="9" eb="11">
      <t>ケンスウ</t>
    </rPh>
    <phoneticPr fontId="1"/>
  </si>
  <si>
    <t>←目標件数の合計。ケア、集金、パートナーは5件でカウント</t>
    <rPh sb="1" eb="3">
      <t>モクヒョウ</t>
    </rPh>
    <rPh sb="3" eb="5">
      <t>ケンスウ</t>
    </rPh>
    <rPh sb="6" eb="8">
      <t>ゴウケイ</t>
    </rPh>
    <rPh sb="12" eb="14">
      <t>シュウキン</t>
    </rPh>
    <rPh sb="22" eb="23">
      <t>ケン</t>
    </rPh>
    <phoneticPr fontId="1"/>
  </si>
  <si>
    <t>石井　智帆</t>
    <rPh sb="0" eb="2">
      <t>イシイ</t>
    </rPh>
    <rPh sb="3" eb="4">
      <t>チ</t>
    </rPh>
    <rPh sb="4" eb="5">
      <t>ホ</t>
    </rPh>
    <phoneticPr fontId="1"/>
  </si>
  <si>
    <t>木村　貴子</t>
    <rPh sb="0" eb="2">
      <t>キムラ</t>
    </rPh>
    <rPh sb="3" eb="5">
      <t>タカコ</t>
    </rPh>
    <phoneticPr fontId="1"/>
  </si>
  <si>
    <t>川戸　真由美</t>
    <rPh sb="0" eb="2">
      <t>カワト</t>
    </rPh>
    <rPh sb="3" eb="6">
      <t>マユミ</t>
    </rPh>
    <phoneticPr fontId="1"/>
  </si>
  <si>
    <t>木村　貴子</t>
    <rPh sb="0" eb="2">
      <t>キムラ</t>
    </rPh>
    <rPh sb="3" eb="5">
      <t>タカコ</t>
    </rPh>
    <phoneticPr fontId="1"/>
  </si>
  <si>
    <t>累計（7～）</t>
  </si>
  <si>
    <t>累計（7～）</t>
    <phoneticPr fontId="1"/>
  </si>
  <si>
    <t>熊谷　しぐれ</t>
    <rPh sb="0" eb="2">
      <t>クマガイ</t>
    </rPh>
    <phoneticPr fontId="1"/>
  </si>
  <si>
    <t>1ヶ月目前半日別のシートに名前を入力すると各日別のシートに反映される</t>
    <rPh sb="2" eb="4">
      <t>ゲツメ</t>
    </rPh>
    <rPh sb="4" eb="6">
      <t>ゼンハン</t>
    </rPh>
    <rPh sb="6" eb="7">
      <t>ニチ</t>
    </rPh>
    <rPh sb="7" eb="8">
      <t>ベツ</t>
    </rPh>
    <rPh sb="13" eb="15">
      <t>ナマエ</t>
    </rPh>
    <rPh sb="16" eb="18">
      <t>ニュウリョク</t>
    </rPh>
    <rPh sb="21" eb="22">
      <t>カク</t>
    </rPh>
    <rPh sb="22" eb="23">
      <t>ニチ</t>
    </rPh>
    <rPh sb="23" eb="24">
      <t>ベツ</t>
    </rPh>
    <rPh sb="29" eb="31">
      <t>ハンエイ</t>
    </rPh>
    <phoneticPr fontId="1"/>
  </si>
  <si>
    <t>新しく行を追加したときは上のセルから関数をフィルすること</t>
    <rPh sb="0" eb="1">
      <t>アタラ</t>
    </rPh>
    <rPh sb="3" eb="4">
      <t>ギョウ</t>
    </rPh>
    <rPh sb="5" eb="7">
      <t>ツイカ</t>
    </rPh>
    <rPh sb="12" eb="13">
      <t>ウエ</t>
    </rPh>
    <rPh sb="18" eb="20">
      <t>カンスウ</t>
    </rPh>
    <phoneticPr fontId="1"/>
  </si>
  <si>
    <t>全体集計表の各グループに名前を追加すると、その人の加入件数の合計を持ってくる</t>
    <rPh sb="0" eb="2">
      <t>ゼンタイ</t>
    </rPh>
    <rPh sb="2" eb="4">
      <t>シュウケイ</t>
    </rPh>
    <rPh sb="4" eb="5">
      <t>ヒョウ</t>
    </rPh>
    <rPh sb="6" eb="7">
      <t>カク</t>
    </rPh>
    <rPh sb="12" eb="14">
      <t>ナマエ</t>
    </rPh>
    <rPh sb="15" eb="17">
      <t>ツイカ</t>
    </rPh>
    <rPh sb="23" eb="24">
      <t>ヒト</t>
    </rPh>
    <rPh sb="25" eb="27">
      <t>カニュウ</t>
    </rPh>
    <rPh sb="27" eb="29">
      <t>ケンスウ</t>
    </rPh>
    <rPh sb="30" eb="32">
      <t>ゴウケイ</t>
    </rPh>
    <rPh sb="33" eb="34">
      <t>モ</t>
    </rPh>
    <phoneticPr fontId="1"/>
  </si>
  <si>
    <t>主任以上の人は名前の右に●を入力する</t>
    <rPh sb="0" eb="2">
      <t>シュニン</t>
    </rPh>
    <rPh sb="2" eb="4">
      <t>イジョウ</t>
    </rPh>
    <rPh sb="5" eb="6">
      <t>ヒト</t>
    </rPh>
    <rPh sb="7" eb="9">
      <t>ナマエ</t>
    </rPh>
    <rPh sb="10" eb="11">
      <t>ミギ</t>
    </rPh>
    <rPh sb="14" eb="16">
      <t>ニュウリョク</t>
    </rPh>
    <phoneticPr fontId="1"/>
  </si>
  <si>
    <t>各グループの目標件数の合計がグループ名の隣に自動計算される</t>
    <rPh sb="0" eb="1">
      <t>カク</t>
    </rPh>
    <rPh sb="6" eb="8">
      <t>モクヒョウ</t>
    </rPh>
    <rPh sb="8" eb="10">
      <t>ケンスウ</t>
    </rPh>
    <rPh sb="11" eb="13">
      <t>ゴウケイ</t>
    </rPh>
    <rPh sb="18" eb="19">
      <t>メイ</t>
    </rPh>
    <rPh sb="20" eb="21">
      <t>トナリ</t>
    </rPh>
    <rPh sb="22" eb="24">
      <t>ジドウ</t>
    </rPh>
    <rPh sb="24" eb="26">
      <t>ケイサン</t>
    </rPh>
    <phoneticPr fontId="1"/>
  </si>
  <si>
    <t>全体集計表に名前と●を入力すると各月の集計表に反映される</t>
    <rPh sb="0" eb="2">
      <t>ゼンタイ</t>
    </rPh>
    <rPh sb="2" eb="4">
      <t>シュウケイ</t>
    </rPh>
    <rPh sb="4" eb="5">
      <t>ヒョウ</t>
    </rPh>
    <rPh sb="6" eb="8">
      <t>ナマエ</t>
    </rPh>
    <rPh sb="11" eb="13">
      <t>ニュウリョク</t>
    </rPh>
    <rPh sb="16" eb="17">
      <t>カク</t>
    </rPh>
    <rPh sb="17" eb="18">
      <t>ツキ</t>
    </rPh>
    <rPh sb="19" eb="21">
      <t>シュウケイ</t>
    </rPh>
    <rPh sb="21" eb="22">
      <t>ヒョウ</t>
    </rPh>
    <rPh sb="23" eb="25">
      <t>ハンエイ</t>
    </rPh>
    <phoneticPr fontId="1"/>
  </si>
  <si>
    <t>まとめると・・・</t>
    <phoneticPr fontId="1"/>
  </si>
  <si>
    <t>1ヶ月目（1月or7月）前半の日別に名前、全体集計に名前と●を設定するとすぐ使える</t>
    <rPh sb="2" eb="4">
      <t>ゲツメ</t>
    </rPh>
    <rPh sb="6" eb="7">
      <t>ガツ</t>
    </rPh>
    <rPh sb="10" eb="11">
      <t>ガツ</t>
    </rPh>
    <rPh sb="12" eb="14">
      <t>ゼンハン</t>
    </rPh>
    <rPh sb="15" eb="16">
      <t>ニチ</t>
    </rPh>
    <rPh sb="16" eb="17">
      <t>ベツ</t>
    </rPh>
    <rPh sb="18" eb="20">
      <t>ナマエ</t>
    </rPh>
    <rPh sb="21" eb="23">
      <t>ゼンタイ</t>
    </rPh>
    <rPh sb="23" eb="25">
      <t>シュウケイ</t>
    </rPh>
    <rPh sb="26" eb="28">
      <t>ナマエ</t>
    </rPh>
    <rPh sb="31" eb="33">
      <t>セッテイ</t>
    </rPh>
    <rPh sb="38" eb="39">
      <t>ツカ</t>
    </rPh>
    <phoneticPr fontId="1"/>
  </si>
  <si>
    <t>どの日別集計でもその時点での個人別加入合計数がでるようになっている</t>
  </si>
  <si>
    <t>シート構成の詳細</t>
    <rPh sb="3" eb="5">
      <t>コウセイ</t>
    </rPh>
    <rPh sb="6" eb="8">
      <t>ショウサイ</t>
    </rPh>
    <phoneticPr fontId="1"/>
  </si>
  <si>
    <t>シート名注意（エラー出ます）</t>
    <rPh sb="3" eb="4">
      <t>メイ</t>
    </rPh>
    <rPh sb="4" eb="6">
      <t>チュウイ</t>
    </rPh>
    <rPh sb="10" eb="11">
      <t>デ</t>
    </rPh>
    <phoneticPr fontId="1"/>
  </si>
  <si>
    <t>小川　菜音</t>
  </si>
  <si>
    <t>佐藤　真夏</t>
  </si>
  <si>
    <t>熊谷　剛</t>
  </si>
  <si>
    <t>大下　里美</t>
  </si>
  <si>
    <t>成田　和史</t>
  </si>
  <si>
    <t>櫛引　康平</t>
  </si>
  <si>
    <t>野口　美幸</t>
  </si>
  <si>
    <t>貝守　竜哉</t>
  </si>
  <si>
    <t>中山　知佳</t>
  </si>
  <si>
    <t>野辺地　佳代子</t>
  </si>
  <si>
    <t>佐々木　美知子</t>
  </si>
  <si>
    <t>中里　一賢</t>
  </si>
  <si>
    <t>金子　千穂</t>
  </si>
  <si>
    <t>工藤　翔平</t>
  </si>
  <si>
    <t>小泉　洋之</t>
  </si>
  <si>
    <t>佐々木　史弥</t>
  </si>
  <si>
    <t>川合　ひとみ</t>
  </si>
  <si>
    <t>中屋敷　蓉子</t>
  </si>
  <si>
    <t>山上　幸子</t>
  </si>
  <si>
    <t>橋本　薫</t>
  </si>
  <si>
    <t>中村　ゆかり</t>
  </si>
  <si>
    <t>八木田　那幸</t>
  </si>
  <si>
    <t>川戸　真由美</t>
  </si>
  <si>
    <t>白戸　祐理</t>
  </si>
  <si>
    <t>山口　美幸</t>
  </si>
  <si>
    <t>木津谷　隆</t>
  </si>
  <si>
    <t>上村　巧弥</t>
  </si>
  <si>
    <t>上村　郁絵</t>
  </si>
  <si>
    <t>杉渕　恵美</t>
  </si>
  <si>
    <t>根城　雅子</t>
  </si>
  <si>
    <t>白坂　弘幸</t>
  </si>
  <si>
    <t>坂井田　一徳</t>
  </si>
  <si>
    <t>西村　夏希</t>
  </si>
  <si>
    <t>細越　加司子</t>
  </si>
  <si>
    <t>下舘　はるみ</t>
  </si>
  <si>
    <t>熊谷　しぐれ</t>
  </si>
  <si>
    <t>赤坂　輝明</t>
  </si>
  <si>
    <t>佐々木　亮</t>
  </si>
  <si>
    <t>滝田　智</t>
  </si>
  <si>
    <t>小川　雅規</t>
  </si>
  <si>
    <t>古谷　裕美</t>
  </si>
  <si>
    <t>八重畑　美里</t>
  </si>
  <si>
    <t>坂ノ上　愛莉</t>
  </si>
  <si>
    <t>木田　美紀</t>
  </si>
  <si>
    <t>照屋　育子</t>
  </si>
  <si>
    <t>山田　祥弘</t>
  </si>
  <si>
    <t>澤村　純一</t>
  </si>
  <si>
    <t>佐々木　清</t>
  </si>
  <si>
    <t>佐々木　めぐみ</t>
  </si>
  <si>
    <t>川井　博和</t>
  </si>
  <si>
    <t>早川　政子</t>
  </si>
  <si>
    <t>武藤　雅子</t>
  </si>
  <si>
    <t>山下　三鶴</t>
  </si>
  <si>
    <t>古町　朋子</t>
  </si>
  <si>
    <t>新井谷　恵美子</t>
  </si>
  <si>
    <t>古舘　優紀</t>
  </si>
  <si>
    <t>佐々木　寛人</t>
  </si>
  <si>
    <t>古舘　美香</t>
  </si>
  <si>
    <t>田端　克昭</t>
  </si>
  <si>
    <t>舘　博美</t>
  </si>
  <si>
    <t>畠山　真美</t>
  </si>
  <si>
    <t>田名部　昌義</t>
  </si>
  <si>
    <t>小黒　真智</t>
  </si>
  <si>
    <t>佐々木　智子</t>
  </si>
  <si>
    <t>沼田　智子</t>
  </si>
  <si>
    <t>松井　龍平</t>
  </si>
  <si>
    <t>関川　哲一</t>
  </si>
  <si>
    <t>熊野　大助</t>
  </si>
  <si>
    <t>種市　由希枝</t>
  </si>
  <si>
    <t>小笠原　勉</t>
  </si>
  <si>
    <t>佐藤　弘子</t>
  </si>
  <si>
    <t>髙橋　桐子</t>
  </si>
  <si>
    <t>田中　幸子</t>
  </si>
  <si>
    <t>佐藤　範和</t>
  </si>
  <si>
    <t>工藤　美咲</t>
  </si>
  <si>
    <t>寺下　久美子</t>
  </si>
  <si>
    <t>類家　順</t>
  </si>
  <si>
    <t>中城　裕子</t>
  </si>
  <si>
    <t>見付　弘美</t>
  </si>
  <si>
    <t>松橋　明日香</t>
  </si>
  <si>
    <t>山田　隆広</t>
  </si>
  <si>
    <t>松坂　百華</t>
  </si>
  <si>
    <t>川合　健司</t>
  </si>
  <si>
    <t>高橋　公司</t>
  </si>
  <si>
    <t>石井　智帆</t>
  </si>
  <si>
    <t>大坂　真知子</t>
  </si>
  <si>
    <t>ツール</t>
    <phoneticPr fontId="1"/>
  </si>
  <si>
    <t>パートケア、集金、パートナー以外の従業員をランダムでグループ分けします。</t>
    <rPh sb="6" eb="8">
      <t>シュウキン</t>
    </rPh>
    <rPh sb="14" eb="16">
      <t>イガイ</t>
    </rPh>
    <rPh sb="17" eb="20">
      <t>ジュウギョウイン</t>
    </rPh>
    <rPh sb="30" eb="31">
      <t>ワ</t>
    </rPh>
    <phoneticPr fontId="1"/>
  </si>
  <si>
    <t>主任以上の人数は考慮してません。手動でやるかやり直してください。</t>
    <rPh sb="0" eb="2">
      <t>シュニン</t>
    </rPh>
    <rPh sb="2" eb="4">
      <t>イジョウ</t>
    </rPh>
    <rPh sb="5" eb="7">
      <t>ニンズウ</t>
    </rPh>
    <rPh sb="8" eb="10">
      <t>コウリョ</t>
    </rPh>
    <rPh sb="16" eb="18">
      <t>シュドウ</t>
    </rPh>
    <rPh sb="24" eb="25">
      <t>ナオ</t>
    </rPh>
    <phoneticPr fontId="1"/>
  </si>
  <si>
    <t>人数を変更したいときは必ず連絡してください。</t>
    <rPh sb="0" eb="2">
      <t>ニンズウ</t>
    </rPh>
    <rPh sb="3" eb="5">
      <t>ヘンコウ</t>
    </rPh>
    <rPh sb="11" eb="12">
      <t>カナラ</t>
    </rPh>
    <rPh sb="13" eb="15">
      <t>レンラク</t>
    </rPh>
    <phoneticPr fontId="1"/>
  </si>
  <si>
    <t>もし手動で名前をすべて消してしまったときは、一番最後にあるシートから名前だけコピーしてください。</t>
    <rPh sb="2" eb="4">
      <t>シュドウ</t>
    </rPh>
    <rPh sb="5" eb="7">
      <t>ナマエ</t>
    </rPh>
    <rPh sb="11" eb="12">
      <t>ケ</t>
    </rPh>
    <rPh sb="22" eb="24">
      <t>イチバン</t>
    </rPh>
    <rPh sb="24" eb="26">
      <t>サイゴ</t>
    </rPh>
    <rPh sb="34" eb="36">
      <t>ナマエ</t>
    </rPh>
    <phoneticPr fontId="1"/>
  </si>
  <si>
    <t>名前が空白で上書きされないように空白チェックを入れてます。生成・リセット両方。</t>
    <rPh sb="0" eb="2">
      <t>ナマエ</t>
    </rPh>
    <rPh sb="3" eb="5">
      <t>クウハク</t>
    </rPh>
    <rPh sb="6" eb="8">
      <t>ウワガ</t>
    </rPh>
    <rPh sb="16" eb="18">
      <t>クウハク</t>
    </rPh>
    <rPh sb="23" eb="24">
      <t>イ</t>
    </rPh>
    <rPh sb="29" eb="31">
      <t>セイセイ</t>
    </rPh>
    <rPh sb="36" eb="38">
      <t>リョウホウ</t>
    </rPh>
    <phoneticPr fontId="1"/>
  </si>
  <si>
    <t>グループ作成ツール</t>
    <rPh sb="4" eb="6">
      <t>サクセイ</t>
    </rPh>
    <phoneticPr fontId="1"/>
  </si>
  <si>
    <t>名前</t>
    <rPh sb="0" eb="2">
      <t>ナマエ</t>
    </rPh>
    <phoneticPr fontId="1"/>
  </si>
  <si>
    <t>所属</t>
    <rPh sb="0" eb="2">
      <t>ショゾク</t>
    </rPh>
    <phoneticPr fontId="1"/>
  </si>
  <si>
    <t>小　計</t>
  </si>
  <si>
    <t>新規登録ツール</t>
    <rPh sb="0" eb="2">
      <t>シンキ</t>
    </rPh>
    <rPh sb="2" eb="4">
      <t>トウロク</t>
    </rPh>
    <phoneticPr fontId="1"/>
  </si>
  <si>
    <t>所属と名前を入力すると日別集計シートに名前を追加します。</t>
    <rPh sb="0" eb="2">
      <t>ショゾク</t>
    </rPh>
    <rPh sb="3" eb="5">
      <t>ナマエ</t>
    </rPh>
    <rPh sb="6" eb="8">
      <t>ニュウリョク</t>
    </rPh>
    <rPh sb="11" eb="12">
      <t>ニチ</t>
    </rPh>
    <rPh sb="12" eb="13">
      <t>ベツ</t>
    </rPh>
    <rPh sb="13" eb="15">
      <t>シュウケイ</t>
    </rPh>
    <rPh sb="19" eb="21">
      <t>ナマエ</t>
    </rPh>
    <rPh sb="22" eb="24">
      <t>ツイカ</t>
    </rPh>
    <phoneticPr fontId="1"/>
  </si>
  <si>
    <t>枠が無い時は自動で追加します。</t>
    <rPh sb="0" eb="1">
      <t>ワク</t>
    </rPh>
    <rPh sb="2" eb="3">
      <t>ナ</t>
    </rPh>
    <rPh sb="4" eb="5">
      <t>トキ</t>
    </rPh>
    <rPh sb="6" eb="8">
      <t>ジドウ</t>
    </rPh>
    <rPh sb="9" eb="11">
      <t>ツイカ</t>
    </rPh>
    <phoneticPr fontId="1"/>
  </si>
  <si>
    <t>各種関数もオートフィルで反映させています。</t>
    <rPh sb="0" eb="2">
      <t>カクシュ</t>
    </rPh>
    <rPh sb="2" eb="4">
      <t>カンスウ</t>
    </rPh>
    <rPh sb="12" eb="14">
      <t>ハンエイ</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</si>
  <si>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</si>
  <si>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</si>
  <si>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</si>
  <si>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</si>
  <si>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</si>
  <si>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</si>
  <si>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</si>
  <si>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</si>
  <si>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</si>
  <si>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</si>
  <si>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K</t>
    <phoneticPr fontId="1"/>
  </si>
  <si>
    <t>L</t>
    <phoneticPr fontId="1"/>
  </si>
  <si>
    <t>M</t>
    <phoneticPr fontId="1"/>
  </si>
  <si>
    <t>N</t>
    <phoneticPr fontId="1"/>
  </si>
  <si>
    <t>加入口数</t>
    <rPh sb="0" eb="2">
      <t>カニュウ</t>
    </rPh>
    <rPh sb="2" eb="3">
      <t>クチ</t>
    </rPh>
    <rPh sb="3" eb="4">
      <t>スウ</t>
    </rPh>
    <phoneticPr fontId="1"/>
  </si>
  <si>
    <t>水野　美佳</t>
    <rPh sb="0" eb="2">
      <t>ミズノ</t>
    </rPh>
    <rPh sb="3" eb="4">
      <t>ミ</t>
    </rPh>
    <rPh sb="4" eb="5">
      <t>カ</t>
    </rPh>
    <phoneticPr fontId="1"/>
  </si>
  <si>
    <t>修正とか編集のツールは今後やるかもしれないしやらないかもしれない</t>
    <rPh sb="0" eb="2">
      <t>シュウセイ</t>
    </rPh>
    <rPh sb="4" eb="6">
      <t>ヘンシュウ</t>
    </rPh>
    <rPh sb="11" eb="13">
      <t>コンゴ</t>
    </rPh>
    <phoneticPr fontId="1"/>
  </si>
  <si>
    <t>西川　美智子</t>
  </si>
  <si>
    <t>吉田　優子</t>
  </si>
  <si>
    <t>2024.07-09</t>
    <phoneticPr fontId="1"/>
  </si>
  <si>
    <t>2024.01-03</t>
    <phoneticPr fontId="1"/>
  </si>
  <si>
    <t>件数</t>
    <rPh sb="0" eb="2">
      <t>ケンスウ</t>
    </rPh>
    <phoneticPr fontId="1"/>
  </si>
  <si>
    <t>口数</t>
    <rPh sb="0" eb="1">
      <t>クチ</t>
    </rPh>
    <rPh sb="1" eb="2">
      <t>スウ</t>
    </rPh>
    <phoneticPr fontId="1"/>
  </si>
  <si>
    <t>2024.01-03</t>
    <phoneticPr fontId="1"/>
  </si>
  <si>
    <t>202401-03</t>
    <phoneticPr fontId="1"/>
  </si>
  <si>
    <t>202407-09</t>
    <phoneticPr fontId="1"/>
  </si>
  <si>
    <t>1月</t>
    <rPh sb="1" eb="2">
      <t>ガツ</t>
    </rPh>
    <phoneticPr fontId="1"/>
  </si>
  <si>
    <t>2月</t>
    <rPh sb="1" eb="2">
      <t>ガツ</t>
    </rPh>
    <phoneticPr fontId="1"/>
  </si>
  <si>
    <t>3月</t>
    <rPh sb="1" eb="2">
      <t>ガツ</t>
    </rPh>
    <phoneticPr fontId="1"/>
  </si>
  <si>
    <t>7月</t>
    <rPh sb="1" eb="2">
      <t>ガツ</t>
    </rPh>
    <phoneticPr fontId="1"/>
  </si>
  <si>
    <t>8月</t>
    <rPh sb="1" eb="2">
      <t>ガツ</t>
    </rPh>
    <phoneticPr fontId="1"/>
  </si>
  <si>
    <t>9月</t>
    <rPh sb="1" eb="2">
      <t>ガツ</t>
    </rPh>
    <phoneticPr fontId="1"/>
  </si>
  <si>
    <t>日別</t>
    <rPh sb="0" eb="1">
      <t>ヒ</t>
    </rPh>
    <rPh sb="1" eb="2">
      <t>ベツ</t>
    </rPh>
    <phoneticPr fontId="1"/>
  </si>
  <si>
    <t>累計</t>
    <rPh sb="0" eb="2">
      <t>ルイケイ</t>
    </rPh>
    <phoneticPr fontId="1"/>
  </si>
  <si>
    <t>2024.07-09</t>
    <phoneticPr fontId="1"/>
  </si>
  <si>
    <t>累計件数</t>
    <rPh sb="0" eb="2">
      <t>ルイケイ</t>
    </rPh>
    <rPh sb="2" eb="4">
      <t>ケンスウ</t>
    </rPh>
    <phoneticPr fontId="1"/>
  </si>
  <si>
    <t>累計口数</t>
    <rPh sb="0" eb="2">
      <t>ルイケイ</t>
    </rPh>
    <rPh sb="2" eb="4">
      <t>クチカズ</t>
    </rPh>
    <phoneticPr fontId="1"/>
  </si>
  <si>
    <t>川口　義弘</t>
  </si>
  <si>
    <t>今渕　利子</t>
  </si>
  <si>
    <t>梅香堂</t>
  </si>
  <si>
    <t>松森　正利</t>
  </si>
  <si>
    <t>諏訪　房子</t>
  </si>
  <si>
    <t>佐野　俊彦</t>
  </si>
  <si>
    <t>三浦　朱里</t>
    <rPh sb="0" eb="2">
      <t>ミウラ</t>
    </rPh>
    <rPh sb="3" eb="4">
      <t>シュ</t>
    </rPh>
    <rPh sb="4" eb="5">
      <t>リ</t>
    </rPh>
    <phoneticPr fontId="1"/>
  </si>
  <si>
    <t>大下　美咲</t>
    <rPh sb="0" eb="2">
      <t>オオシタ</t>
    </rPh>
    <rPh sb="3" eb="5">
      <t>ミサキ</t>
    </rPh>
    <phoneticPr fontId="1"/>
  </si>
  <si>
    <t>水野　美佳</t>
    <rPh sb="0" eb="2">
      <t>ミズノ</t>
    </rPh>
    <rPh sb="3" eb="5">
      <t>ミカ</t>
    </rPh>
    <phoneticPr fontId="1"/>
  </si>
  <si>
    <t>安ヶ平　真由美</t>
    <rPh sb="0" eb="3">
      <t>ヤスガヒラ</t>
    </rPh>
    <rPh sb="4" eb="7">
      <t>マユミ</t>
    </rPh>
    <phoneticPr fontId="1"/>
  </si>
  <si>
    <t>佐野　俊彦</t>
    <rPh sb="0" eb="2">
      <t>サノ</t>
    </rPh>
    <rPh sb="3" eb="5">
      <t>トシヒコ</t>
    </rPh>
    <phoneticPr fontId="1"/>
  </si>
  <si>
    <t>坂口　典子</t>
    <rPh sb="0" eb="2">
      <t>サカグチ</t>
    </rPh>
    <rPh sb="3" eb="5">
      <t>ノリコ</t>
    </rPh>
    <phoneticPr fontId="1"/>
  </si>
  <si>
    <t>川戸　真由美</t>
    <rPh sb="0" eb="2">
      <t>カワト</t>
    </rPh>
    <rPh sb="3" eb="6">
      <t>マユミ</t>
    </rPh>
    <phoneticPr fontId="1"/>
  </si>
  <si>
    <t>根城　雅子</t>
    <rPh sb="0" eb="2">
      <t>ネジョウ</t>
    </rPh>
    <rPh sb="3" eb="5">
      <t>マサコ</t>
    </rPh>
    <phoneticPr fontId="1"/>
  </si>
  <si>
    <t>細越　加司子</t>
    <rPh sb="0" eb="2">
      <t>ホソゴエ</t>
    </rPh>
    <rPh sb="3" eb="4">
      <t>カ</t>
    </rPh>
    <rPh sb="4" eb="5">
      <t>シ</t>
    </rPh>
    <rPh sb="5" eb="6">
      <t>コ</t>
    </rPh>
    <phoneticPr fontId="1"/>
  </si>
  <si>
    <t>小笠原　勉</t>
    <rPh sb="0" eb="3">
      <t>オガサワラ</t>
    </rPh>
    <rPh sb="4" eb="5">
      <t>ツトム</t>
    </rPh>
    <phoneticPr fontId="1"/>
  </si>
  <si>
    <t>根城　雅子</t>
    <rPh sb="0" eb="2">
      <t>ネジョウ</t>
    </rPh>
    <rPh sb="3" eb="5">
      <t>マサコ</t>
    </rPh>
    <phoneticPr fontId="1"/>
  </si>
  <si>
    <t>川戸　真由美</t>
    <rPh sb="0" eb="2">
      <t>カワト</t>
    </rPh>
    <rPh sb="3" eb="6">
      <t>マユミ</t>
    </rPh>
    <phoneticPr fontId="1"/>
  </si>
  <si>
    <t>工藤　虹都</t>
    <rPh sb="0" eb="2">
      <t>クドウ</t>
    </rPh>
    <rPh sb="3" eb="4">
      <t>ニジ</t>
    </rPh>
    <rPh sb="4" eb="5">
      <t>ト</t>
    </rPh>
    <phoneticPr fontId="1"/>
  </si>
  <si>
    <t>工藤　虹都</t>
  </si>
  <si>
    <t>部署</t>
    <rPh sb="0" eb="2">
      <t>ブショ</t>
    </rPh>
    <phoneticPr fontId="1"/>
  </si>
  <si>
    <t>受付日</t>
    <rPh sb="0" eb="3">
      <t>ウケツケビ</t>
    </rPh>
    <phoneticPr fontId="1"/>
  </si>
  <si>
    <t>互助会パートナー</t>
    <rPh sb="0" eb="3">
      <t>ゴジョカイ</t>
    </rPh>
    <phoneticPr fontId="1"/>
  </si>
  <si>
    <t>備考</t>
    <rPh sb="0" eb="2">
      <t>ビコウ</t>
    </rPh>
    <phoneticPr fontId="1"/>
  </si>
  <si>
    <t>加入契機</t>
    <rPh sb="0" eb="2">
      <t>カニュウ</t>
    </rPh>
    <rPh sb="2" eb="4">
      <t>ケイキ</t>
    </rPh>
    <phoneticPr fontId="1"/>
  </si>
  <si>
    <t>増強月間</t>
    <rPh sb="0" eb="2">
      <t>ゾウキョウ</t>
    </rPh>
    <rPh sb="2" eb="4">
      <t>ゲッカン</t>
    </rPh>
    <phoneticPr fontId="1"/>
  </si>
  <si>
    <t>感謝祭</t>
    <rPh sb="0" eb="3">
      <t>カンシャサイ</t>
    </rPh>
    <phoneticPr fontId="1"/>
  </si>
  <si>
    <t>見学会</t>
    <rPh sb="0" eb="3">
      <t>ケンガクカイ</t>
    </rPh>
    <phoneticPr fontId="1"/>
  </si>
  <si>
    <t>典礼キャンペーン</t>
    <rPh sb="0" eb="2">
      <t>テンレイ</t>
    </rPh>
    <phoneticPr fontId="1"/>
  </si>
  <si>
    <t>ASキャンペーン</t>
    <phoneticPr fontId="1"/>
  </si>
  <si>
    <t>その他</t>
    <rPh sb="2" eb="3">
      <t>タ</t>
    </rPh>
    <phoneticPr fontId="1"/>
  </si>
  <si>
    <t>本部</t>
    <rPh sb="0" eb="2">
      <t>ホンブ</t>
    </rPh>
    <phoneticPr fontId="1"/>
  </si>
  <si>
    <t>従業員登録</t>
    <rPh sb="0" eb="3">
      <t>ジュウギョウイン</t>
    </rPh>
    <rPh sb="3" eb="5">
      <t>トウロク</t>
    </rPh>
    <phoneticPr fontId="1"/>
  </si>
  <si>
    <t>所属</t>
    <rPh sb="0" eb="2">
      <t>ショゾク</t>
    </rPh>
    <phoneticPr fontId="1"/>
  </si>
  <si>
    <t>名前</t>
    <rPh sb="0" eb="2">
      <t>ナマエ</t>
    </rPh>
    <phoneticPr fontId="1"/>
  </si>
  <si>
    <t>加入日</t>
    <rPh sb="0" eb="3">
      <t>カニュウビ</t>
    </rPh>
    <phoneticPr fontId="1"/>
  </si>
  <si>
    <t>件数</t>
    <rPh sb="0" eb="2">
      <t>ケンスウ</t>
    </rPh>
    <phoneticPr fontId="1"/>
  </si>
  <si>
    <t>口数</t>
    <rPh sb="0" eb="1">
      <t>クチ</t>
    </rPh>
    <rPh sb="1" eb="2">
      <t>スウ</t>
    </rPh>
    <phoneticPr fontId="1"/>
  </si>
  <si>
    <t>5</t>
    <phoneticPr fontId="1"/>
  </si>
  <si>
    <t>佐野　俊彦</t>
    <phoneticPr fontId="1"/>
  </si>
  <si>
    <t>佐野　俊彦</t>
    <rPh sb="0" eb="2">
      <t>サノ</t>
    </rPh>
    <rPh sb="3" eb="5">
      <t>トシヒコ</t>
    </rPh>
    <phoneticPr fontId="1"/>
  </si>
  <si>
    <t>サポーター</t>
  </si>
  <si>
    <t>阿部　清志</t>
    <rPh sb="0" eb="2">
      <t>アベ</t>
    </rPh>
    <rPh sb="3" eb="5">
      <t>キヨシ</t>
    </rPh>
    <phoneticPr fontId="1"/>
  </si>
  <si>
    <t>新規加入登録</t>
  </si>
  <si>
    <t>ハチレイ</t>
  </si>
  <si>
    <t>担当者</t>
  </si>
  <si>
    <t>佐々木　あゆみ</t>
  </si>
  <si>
    <t>増強月間</t>
  </si>
  <si>
    <t>施行後再加入</t>
  </si>
  <si>
    <t>小笠原　幹子</t>
  </si>
  <si>
    <t>伊藤　秀智</t>
  </si>
  <si>
    <t>報恩SV事務</t>
  </si>
  <si>
    <t>庭田　留美子</t>
  </si>
  <si>
    <t>古瀬　裕二</t>
  </si>
  <si>
    <t>販売部</t>
  </si>
  <si>
    <t>ムツ湊</t>
  </si>
  <si>
    <t>清水　ミチ子</t>
  </si>
  <si>
    <t>経理部</t>
  </si>
  <si>
    <t>榎本　明美</t>
  </si>
  <si>
    <t>解約後再加入</t>
  </si>
  <si>
    <t>会員訪問</t>
  </si>
  <si>
    <t>報恩互助会</t>
  </si>
  <si>
    <t>上田　敏子</t>
  </si>
  <si>
    <t>田名部　丞</t>
  </si>
  <si>
    <t>典礼部</t>
  </si>
  <si>
    <t>調理部・ギフト</t>
  </si>
  <si>
    <t>報恩八田P社員</t>
  </si>
  <si>
    <t>三浦　賢子</t>
  </si>
  <si>
    <t>古里　剛</t>
  </si>
  <si>
    <t>阿部　清志</t>
  </si>
  <si>
    <t>阿部　清志</t>
    <rPh sb="0" eb="2">
      <t>アベ</t>
    </rPh>
    <rPh sb="3" eb="5">
      <t>キヨシ</t>
    </rPh>
    <phoneticPr fontId="1"/>
  </si>
  <si>
    <t>来館者キャンペーン</t>
  </si>
  <si>
    <t>来館者キャンペーン</t>
    <rPh sb="0" eb="3">
      <t>ライカンシャ</t>
    </rPh>
    <phoneticPr fontId="1"/>
  </si>
  <si>
    <t>準会員移行</t>
  </si>
  <si>
    <t>仕入部</t>
  </si>
  <si>
    <t>澤田　敏秋</t>
  </si>
  <si>
    <t>八田　守立</t>
  </si>
  <si>
    <t>河村　久美子</t>
  </si>
  <si>
    <t>桜庭　雅寛</t>
  </si>
  <si>
    <t>本部</t>
  </si>
  <si>
    <t>その他</t>
  </si>
  <si>
    <t>松橋　誠</t>
  </si>
  <si>
    <t>斉藤　尚子</t>
  </si>
  <si>
    <t>相談会</t>
  </si>
  <si>
    <t>相談会</t>
    <rPh sb="0" eb="2">
      <t>ソウダン</t>
    </rPh>
    <rPh sb="2" eb="3">
      <t>カイ</t>
    </rPh>
    <phoneticPr fontId="1"/>
  </si>
  <si>
    <t>納棺部</t>
  </si>
  <si>
    <t>川守田　潤子</t>
  </si>
  <si>
    <t>中山　明洋</t>
  </si>
  <si>
    <t>岡本　良一</t>
  </si>
  <si>
    <t>八田　香菜子</t>
  </si>
  <si>
    <t>出貝　千拓</t>
  </si>
  <si>
    <t>会館ホール</t>
  </si>
  <si>
    <t>1ヶ月目の日別</t>
    <rPh sb="2" eb="3">
      <t>ゲツ</t>
    </rPh>
    <rPh sb="3" eb="4">
      <t>メ</t>
    </rPh>
    <rPh sb="5" eb="6">
      <t>ニチ</t>
    </rPh>
    <rPh sb="6" eb="7">
      <t>ベツ</t>
    </rPh>
    <phoneticPr fontId="1"/>
  </si>
  <si>
    <t>2ヶ月目の日別</t>
    <rPh sb="2" eb="3">
      <t>ゲツ</t>
    </rPh>
    <rPh sb="3" eb="4">
      <t>メ</t>
    </rPh>
    <rPh sb="5" eb="6">
      <t>ニチ</t>
    </rPh>
    <rPh sb="6" eb="7">
      <t>ベツ</t>
    </rPh>
    <phoneticPr fontId="1"/>
  </si>
  <si>
    <t>3ヶ月目の日別</t>
    <rPh sb="2" eb="3">
      <t>ゲツ</t>
    </rPh>
    <rPh sb="3" eb="4">
      <t>メ</t>
    </rPh>
    <rPh sb="5" eb="6">
      <t>ニチ</t>
    </rPh>
    <rPh sb="6" eb="7">
      <t>ベツ</t>
    </rPh>
    <phoneticPr fontId="1"/>
  </si>
  <si>
    <t>見学会おっかけ</t>
    <rPh sb="0" eb="3">
      <t>ケンガクカイ</t>
    </rPh>
    <phoneticPr fontId="1"/>
  </si>
  <si>
    <t>小笠原　幹子</t>
    <phoneticPr fontId="1"/>
  </si>
  <si>
    <t>test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</si>
</sst>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
    <numFmt numFmtId="177" formatCode="m/d;@"/>
    <numFmt numFmtId="178" formatCode="yyyy/m/d;@"/>
  </numFmts>
  <fonts count="60">
    <font>
      <sz val="11"/>
      <color theme="1"/>
      <name val="ＭＳ Ｐゴシック"/>
      <family val="2"/>
      <charset val="128"/>
      <scheme val="minor"/>
    </font>
    <font>
      <sz val="6"/>
      <name val="ＭＳ Ｐゴシック"/>
      <family val="2"/>
      <charset val="128"/>
      <scheme val="minor"/>
    </font>
    <font>
      <sz val="11"/>
      <color theme="1"/>
      <name val="HGPｺﾞｼｯｸM"/>
      <family val="3"/>
      <charset val="128"/>
    </font>
    <font>
      <sz val="11"/>
      <color rgb="FFFF0000"/>
      <name val="HGPｺﾞｼｯｸM"/>
      <family val="3"/>
      <charset val="128"/>
    </font>
    <font>
      <sz val="11"/>
      <color rgb="FF0070C0"/>
      <name val="HGPｺﾞｼｯｸM"/>
      <family val="3"/>
      <charset val="128"/>
    </font>
    <font>
      <sz val="11"/>
      <name val="ＭＳ Ｐゴシック"/>
      <family val="3"/>
      <charset val="128"/>
    </font>
    <font>
      <sz val="11"/>
      <name val="HGPｺﾞｼｯｸM"/>
      <family val="3"/>
      <charset val="128"/>
    </font>
    <font>
      <b/>
      <sz val="11"/>
      <name val="HGPｺﾞｼｯｸM"/>
      <family val="3"/>
      <charset val="128"/>
    </font>
    <font>
      <b/>
      <sz val="10"/>
      <name val="HGPｺﾞｼｯｸM"/>
      <family val="3"/>
      <charset val="128"/>
    </font>
    <font>
      <sz val="10"/>
      <name val="HGPｺﾞｼｯｸM"/>
      <family val="3"/>
      <charset val="128"/>
    </font>
    <font>
      <sz val="20"/>
      <color theme="1"/>
      <name val="HGPｺﾞｼｯｸM"/>
      <family val="3"/>
      <charset val="128"/>
    </font>
    <font>
      <sz val="20"/>
      <color theme="1"/>
      <name val="ＭＳ Ｐゴシック"/>
      <family val="2"/>
      <charset val="128"/>
      <scheme val="minor"/>
    </font>
    <font>
      <sz val="16"/>
      <color theme="1"/>
      <name val="ＭＳ Ｐゴシック"/>
      <family val="2"/>
      <charset val="128"/>
      <scheme val="minor"/>
    </font>
    <font>
      <sz val="18"/>
      <color theme="1"/>
      <name val="HGPｺﾞｼｯｸM"/>
      <family val="3"/>
      <charset val="128"/>
    </font>
    <font>
      <sz val="18"/>
      <color theme="1"/>
      <name val="ＭＳ Ｐゴシック"/>
      <family val="2"/>
      <charset val="128"/>
      <scheme val="minor"/>
    </font>
    <font>
      <sz val="16"/>
      <name val="HGPｺﾞｼｯｸM"/>
      <family val="3"/>
      <charset val="128"/>
    </font>
    <font>
      <sz val="18"/>
      <color rgb="FFFF0000"/>
      <name val="HGPｺﾞｼｯｸM"/>
      <family val="3"/>
      <charset val="128"/>
    </font>
    <font>
      <sz val="20"/>
      <name val="HGPｺﾞｼｯｸM"/>
      <family val="3"/>
      <charset val="128"/>
    </font>
    <font>
      <b/>
      <sz val="18"/>
      <color theme="1"/>
      <name val="HGPｺﾞｼｯｸM"/>
      <family val="3"/>
      <charset val="128"/>
    </font>
    <font>
      <sz val="16"/>
      <color theme="1"/>
      <name val="HGPｺﾞｼｯｸM"/>
      <family val="3"/>
      <charset val="128"/>
    </font>
    <font>
      <sz val="11"/>
      <name val="HGP教科書体"/>
      <family val="1"/>
      <charset val="128"/>
    </font>
    <font>
      <sz val="20"/>
      <color theme="1"/>
      <name val="ＭＳ Ｐゴシック"/>
      <family val="3"/>
      <charset val="128"/>
      <scheme val="major"/>
    </font>
    <font>
      <sz val="9"/>
      <name val="HGPｺﾞｼｯｸM"/>
      <family val="3"/>
      <charset val="128"/>
    </font>
    <font>
      <sz val="14"/>
      <color theme="1"/>
      <name val="ＭＳ Ｐゴシック"/>
      <family val="3"/>
      <charset val="128"/>
      <scheme val="major"/>
    </font>
    <font>
      <sz val="11"/>
      <color theme="1"/>
      <name val="ＭＳ Ｐゴシック"/>
      <family val="3"/>
      <charset val="128"/>
      <scheme val="major"/>
    </font>
    <font>
      <sz val="11"/>
      <name val="ＭＳ Ｐゴシック"/>
      <family val="3"/>
      <charset val="128"/>
      <scheme val="major"/>
    </font>
    <font>
      <b/>
      <sz val="10"/>
      <name val="ＭＳ Ｐゴシック"/>
      <family val="3"/>
      <charset val="128"/>
      <scheme val="major"/>
    </font>
    <font>
      <sz val="9"/>
      <color indexed="81"/>
      <name val="MS P ゴシック"/>
      <family val="3"/>
      <charset val="128"/>
    </font>
    <font>
      <b/>
      <sz val="9"/>
      <color indexed="81"/>
      <name val="MS P ゴシック"/>
      <family val="3"/>
      <charset val="128"/>
    </font>
    <font>
      <sz val="12"/>
      <color theme="1"/>
      <name val="HGPｺﾞｼｯｸM"/>
      <family val="3"/>
      <charset val="128"/>
    </font>
    <font>
      <sz val="11"/>
      <name val="ＭＳ Ｐゴシック"/>
      <family val="3"/>
      <charset val="128"/>
      <scheme val="minor"/>
    </font>
    <font>
      <sz val="22"/>
      <color theme="1"/>
      <name val="ＭＳ Ｐゴシック"/>
      <family val="3"/>
      <charset val="128"/>
      <scheme val="major"/>
    </font>
    <font>
      <sz val="22"/>
      <color theme="1"/>
      <name val="ＭＳ Ｐゴシック"/>
      <family val="2"/>
      <charset val="128"/>
      <scheme val="minor"/>
    </font>
    <font>
      <sz val="12"/>
      <color rgb="FFFF0000"/>
      <name val="HGPｺﾞｼｯｸM"/>
      <family val="3"/>
      <charset val="128"/>
    </font>
    <font>
      <sz val="24"/>
      <color theme="1"/>
      <name val="ＭＳ Ｐゴシック"/>
      <family val="3"/>
      <charset val="128"/>
      <scheme val="major"/>
    </font>
    <font>
      <sz val="28"/>
      <color theme="1"/>
      <name val="ＭＳ Ｐゴシック"/>
      <family val="3"/>
      <charset val="128"/>
      <scheme val="major"/>
    </font>
    <font>
      <sz val="28"/>
      <name val="ＭＳ Ｐゴシック"/>
      <family val="3"/>
      <charset val="128"/>
      <scheme val="major"/>
    </font>
    <font>
      <sz val="28"/>
      <color theme="1"/>
      <name val="ＭＳ Ｐゴシック"/>
      <family val="3"/>
      <charset val="128"/>
      <scheme val="minor"/>
    </font>
    <font>
      <b/>
      <sz val="11"/>
      <color theme="1"/>
      <name val="HGPｺﾞｼｯｸM"/>
      <family val="3"/>
      <charset val="128"/>
    </font>
    <font>
      <sz val="18"/>
      <color theme="1"/>
      <name val="ＭＳ Ｐゴシック"/>
      <family val="3"/>
      <charset val="128"/>
      <scheme val="minor"/>
    </font>
    <font>
      <sz val="18"/>
      <color rgb="FF000000"/>
      <name val="ＭＳ Ｐゴシック"/>
      <family val="3"/>
      <charset val="128"/>
      <scheme val="minor"/>
    </font>
    <font>
      <sz val="16"/>
      <color rgb="FF000000"/>
      <name val="HGPｺﾞｼｯｸM"/>
      <family val="3"/>
      <charset val="128"/>
    </font>
    <font>
      <sz val="11"/>
      <color rgb="FF000000"/>
      <name val="ＭＳ Ｐゴシック"/>
      <family val="3"/>
      <charset val="128"/>
      <scheme val="minor"/>
    </font>
    <font>
      <sz val="20"/>
      <color rgb="FF000000"/>
      <name val="ＭＳ Ｐゴシック"/>
      <family val="3"/>
      <charset val="128"/>
      <scheme val="minor"/>
    </font>
    <font>
      <sz val="10"/>
      <name val="ＭＳ Ｐゴシック"/>
      <family val="3"/>
      <charset val="128"/>
      <scheme val="minor"/>
    </font>
    <font>
      <b/>
      <sz val="11"/>
      <name val="ＭＳ Ｐゴシック"/>
      <family val="3"/>
      <charset val="128"/>
      <scheme val="major"/>
    </font>
    <font>
      <b/>
      <sz val="11"/>
      <color theme="1"/>
      <name val="ＭＳ Ｐゴシック"/>
      <family val="3"/>
      <charset val="128"/>
      <scheme val="major"/>
    </font>
    <font>
      <sz val="10"/>
      <name val="ＭＳ Ｐゴシック"/>
      <family val="3"/>
      <charset val="128"/>
      <scheme val="major"/>
    </font>
    <font>
      <sz val="9"/>
      <name val="ＭＳ Ｐゴシック"/>
      <family val="3"/>
      <charset val="128"/>
      <scheme val="minor"/>
    </font>
    <font>
      <sz val="11"/>
      <color theme="1"/>
      <name val="ＭＳ Ｐゴシック"/>
      <family val="3"/>
      <charset val="128"/>
      <scheme val="minor"/>
    </font>
    <font>
      <b/>
      <sz val="11"/>
      <color rgb="FF99CC00"/>
      <name val="UD デジタル 教科書体 N-B"/>
      <family val="1"/>
      <charset val="128"/>
    </font>
    <font>
      <b/>
      <sz val="11"/>
      <color rgb="FF0000FF"/>
      <name val="UD デジタル 教科書体 N-B"/>
      <family val="1"/>
      <charset val="128"/>
    </font>
    <font>
      <sz val="10"/>
      <color rgb="FF111111"/>
      <name val="Verdana"/>
      <family val="2"/>
    </font>
    <font>
      <sz val="10"/>
      <color rgb="FF111111"/>
      <name val="ＭＳ Ｐゴシック"/>
      <family val="2"/>
      <charset val="128"/>
    </font>
    <font>
      <sz val="28"/>
      <name val="HGPｺﾞｼｯｸM"/>
      <family val="3"/>
      <charset val="128"/>
    </font>
    <font>
      <sz val="28"/>
      <color theme="1"/>
      <name val="ＭＳ Ｐゴシック"/>
      <family val="2"/>
      <charset val="128"/>
      <scheme val="minor"/>
    </font>
    <font>
      <sz val="10"/>
      <color theme="1"/>
      <name val="ＭＳ Ｐゴシック"/>
      <family val="3"/>
      <charset val="128"/>
      <scheme val="major"/>
    </font>
    <font>
      <sz val="26"/>
      <color theme="1"/>
      <name val="ＭＳ Ｐゴシック"/>
      <family val="3"/>
      <charset val="128"/>
      <scheme val="minor"/>
    </font>
    <font>
      <sz val="26"/>
      <color theme="1"/>
      <name val="ＭＳ Ｐゴシック"/>
      <family val="2"/>
      <charset val="128"/>
      <scheme val="minor"/>
    </font>
    <font>
      <sz val="11"/>
      <color rgb="FF000000"/>
      <name val="ＭＳ Ｐゴシック"/>
      <family val="3"/>
      <charset val="128"/>
    </font>
  </fonts>
  <fills count="11">
    <fill>
      <patternFill patternType="none"/>
    </fill>
    <fill>
      <patternFill patternType="gray125"/>
    </fill>
    <fill>
      <patternFill patternType="solid">
        <fgColor theme="0" tint="-0.24994659260841701"/>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s>
  <borders count="232">
    <border>
      <left/>
      <right/>
      <top/>
      <bottom/>
      <diagonal/>
    </border>
    <border>
      <left style="medium">
        <color auto="1"/>
      </left>
      <right/>
      <top style="medium">
        <color auto="1"/>
      </top>
      <bottom style="double">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right style="double">
        <color auto="1"/>
      </right>
      <top/>
      <bottom/>
      <diagonal/>
    </border>
    <border>
      <left/>
      <right style="double">
        <color auto="1"/>
      </right>
      <top style="medium">
        <color auto="1"/>
      </top>
      <bottom style="medium">
        <color auto="1"/>
      </bottom>
      <diagonal/>
    </border>
    <border>
      <left style="medium">
        <color auto="1"/>
      </left>
      <right/>
      <top style="medium">
        <color auto="1"/>
      </top>
      <bottom/>
      <diagonal/>
    </border>
    <border>
      <left/>
      <right style="double">
        <color auto="1"/>
      </right>
      <top style="medium">
        <color auto="1"/>
      </top>
      <bottom/>
      <diagonal/>
    </border>
    <border>
      <left/>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style="medium">
        <color auto="1"/>
      </left>
      <right/>
      <top style="double">
        <color auto="1"/>
      </top>
      <bottom style="thin">
        <color auto="1"/>
      </bottom>
      <diagonal/>
    </border>
    <border>
      <left/>
      <right style="double">
        <color auto="1"/>
      </right>
      <top style="double">
        <color auto="1"/>
      </top>
      <bottom style="thin">
        <color auto="1"/>
      </bottom>
      <diagonal/>
    </border>
    <border>
      <left/>
      <right/>
      <top style="double">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right style="double">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style="medium">
        <color auto="1"/>
      </right>
      <top/>
      <bottom/>
      <diagonal/>
    </border>
    <border>
      <left style="thin">
        <color auto="1"/>
      </left>
      <right/>
      <top style="medium">
        <color auto="1"/>
      </top>
      <bottom style="medium">
        <color auto="1"/>
      </bottom>
      <diagonal/>
    </border>
    <border>
      <left style="thin">
        <color auto="1"/>
      </left>
      <right/>
      <top style="medium">
        <color auto="1"/>
      </top>
      <bottom/>
      <diagonal/>
    </border>
    <border>
      <left style="thin">
        <color auto="1"/>
      </left>
      <right/>
      <top style="double">
        <color auto="1"/>
      </top>
      <bottom style="thin">
        <color auto="1"/>
      </bottom>
      <diagonal/>
    </border>
    <border>
      <left style="thin">
        <color auto="1"/>
      </left>
      <right/>
      <top style="thin">
        <color auto="1"/>
      </top>
      <bottom style="thin">
        <color auto="1"/>
      </bottom>
      <diagonal/>
    </border>
    <border>
      <left style="hair">
        <color auto="1"/>
      </left>
      <right style="medium">
        <color auto="1"/>
      </right>
      <top style="thin">
        <color auto="1"/>
      </top>
      <bottom style="double">
        <color auto="1"/>
      </bottom>
      <diagonal/>
    </border>
    <border>
      <left style="double">
        <color auto="1"/>
      </left>
      <right style="hair">
        <color auto="1"/>
      </right>
      <top style="double">
        <color auto="1"/>
      </top>
      <bottom style="thin">
        <color auto="1"/>
      </bottom>
      <diagonal/>
    </border>
    <border>
      <left style="double">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hair">
        <color auto="1"/>
      </left>
      <right style="medium">
        <color auto="1"/>
      </right>
      <top style="thin">
        <color auto="1"/>
      </top>
      <bottom style="medium">
        <color auto="1"/>
      </bottom>
      <diagonal/>
    </border>
    <border>
      <left style="double">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hair">
        <color auto="1"/>
      </right>
      <top style="thin">
        <color auto="1"/>
      </top>
      <bottom style="thin">
        <color auto="1"/>
      </bottom>
      <diagonal/>
    </border>
    <border>
      <left/>
      <right style="hair">
        <color auto="1"/>
      </right>
      <top style="thin">
        <color auto="1"/>
      </top>
      <bottom style="medium">
        <color auto="1"/>
      </bottom>
      <diagonal/>
    </border>
    <border>
      <left/>
      <right style="hair">
        <color auto="1"/>
      </right>
      <top style="medium">
        <color auto="1"/>
      </top>
      <bottom style="medium">
        <color auto="1"/>
      </bottom>
      <diagonal/>
    </border>
    <border>
      <left style="hair">
        <color auto="1"/>
      </left>
      <right style="thin">
        <color auto="1"/>
      </right>
      <top style="double">
        <color auto="1"/>
      </top>
      <bottom style="thin">
        <color auto="1"/>
      </bottom>
      <diagonal/>
    </border>
    <border>
      <left style="hair">
        <color auto="1"/>
      </left>
      <right style="thin">
        <color auto="1"/>
      </right>
      <top style="thin">
        <color auto="1"/>
      </top>
      <bottom style="thin">
        <color auto="1"/>
      </bottom>
      <diagonal/>
    </border>
    <border>
      <left style="hair">
        <color auto="1"/>
      </left>
      <right style="thin">
        <color auto="1"/>
      </right>
      <top style="thin">
        <color auto="1"/>
      </top>
      <bottom style="medium">
        <color auto="1"/>
      </bottom>
      <diagonal/>
    </border>
    <border>
      <left style="hair">
        <color auto="1"/>
      </left>
      <right style="thin">
        <color auto="1"/>
      </right>
      <top style="medium">
        <color auto="1"/>
      </top>
      <bottom style="medium">
        <color auto="1"/>
      </bottom>
      <diagonal/>
    </border>
    <border>
      <left style="hair">
        <color auto="1"/>
      </left>
      <right style="thin">
        <color auto="1"/>
      </right>
      <top style="thin">
        <color auto="1"/>
      </top>
      <bottom style="double">
        <color auto="1"/>
      </bottom>
      <diagonal/>
    </border>
    <border>
      <left/>
      <right style="hair">
        <color auto="1"/>
      </right>
      <top style="thin">
        <color auto="1"/>
      </top>
      <bottom style="double">
        <color auto="1"/>
      </bottom>
      <diagonal/>
    </border>
    <border>
      <left style="hair">
        <color auto="1"/>
      </left>
      <right/>
      <top style="thin">
        <color auto="1"/>
      </top>
      <bottom style="double">
        <color auto="1"/>
      </bottom>
      <diagonal/>
    </border>
    <border>
      <left style="hair">
        <color auto="1"/>
      </left>
      <right/>
      <top style="double">
        <color auto="1"/>
      </top>
      <bottom style="thin">
        <color auto="1"/>
      </bottom>
      <diagonal/>
    </border>
    <border>
      <left style="hair">
        <color auto="1"/>
      </left>
      <right/>
      <top style="thin">
        <color auto="1"/>
      </top>
      <bottom style="thin">
        <color auto="1"/>
      </bottom>
      <diagonal/>
    </border>
    <border>
      <left style="hair">
        <color auto="1"/>
      </left>
      <right/>
      <top style="thin">
        <color auto="1"/>
      </top>
      <bottom style="medium">
        <color auto="1"/>
      </bottom>
      <diagonal/>
    </border>
    <border>
      <left style="hair">
        <color auto="1"/>
      </left>
      <right/>
      <top style="medium">
        <color auto="1"/>
      </top>
      <bottom style="medium">
        <color auto="1"/>
      </bottom>
      <diagonal/>
    </border>
    <border>
      <left style="thin">
        <color auto="1"/>
      </left>
      <right style="hair">
        <color auto="1"/>
      </right>
      <top style="thin">
        <color auto="1"/>
      </top>
      <bottom style="medium">
        <color auto="1"/>
      </bottom>
      <diagonal/>
    </border>
    <border>
      <left style="thin">
        <color auto="1"/>
      </left>
      <right style="hair">
        <color auto="1"/>
      </right>
      <top style="thin">
        <color auto="1"/>
      </top>
      <bottom style="double">
        <color auto="1"/>
      </bottom>
      <diagonal/>
    </border>
    <border>
      <left style="thin">
        <color auto="1"/>
      </left>
      <right style="hair">
        <color auto="1"/>
      </right>
      <top style="double">
        <color auto="1"/>
      </top>
      <bottom style="thin">
        <color auto="1"/>
      </bottom>
      <diagonal/>
    </border>
    <border>
      <left style="thin">
        <color auto="1"/>
      </left>
      <right style="hair">
        <color auto="1"/>
      </right>
      <top style="thin">
        <color auto="1"/>
      </top>
      <bottom style="thin">
        <color auto="1"/>
      </bottom>
      <diagonal/>
    </border>
    <border>
      <left style="medium">
        <color auto="1"/>
      </left>
      <right/>
      <top/>
      <bottom style="double">
        <color auto="1"/>
      </bottom>
      <diagonal/>
    </border>
    <border>
      <left/>
      <right style="double">
        <color auto="1"/>
      </right>
      <top/>
      <bottom style="double">
        <color auto="1"/>
      </bottom>
      <diagonal/>
    </border>
    <border>
      <left/>
      <right style="double">
        <color auto="1"/>
      </right>
      <top style="thin">
        <color auto="1"/>
      </top>
      <bottom/>
      <diagonal/>
    </border>
    <border>
      <left style="medium">
        <color auto="1"/>
      </left>
      <right/>
      <top style="thin">
        <color auto="1"/>
      </top>
      <bottom/>
      <diagonal/>
    </border>
    <border>
      <left/>
      <right/>
      <top style="thin">
        <color auto="1"/>
      </top>
      <bottom/>
      <diagonal/>
    </border>
    <border>
      <left style="thin">
        <color auto="1"/>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right/>
      <top style="thin">
        <color auto="1"/>
      </top>
      <bottom style="double">
        <color auto="1"/>
      </bottom>
      <diagonal/>
    </border>
    <border>
      <left/>
      <right/>
      <top/>
      <bottom style="medium">
        <color auto="1"/>
      </bottom>
      <diagonal/>
    </border>
    <border>
      <left/>
      <right/>
      <top style="thin">
        <color auto="1"/>
      </top>
      <bottom style="medium">
        <color auto="1"/>
      </bottom>
      <diagonal/>
    </border>
    <border>
      <left/>
      <right/>
      <top/>
      <bottom style="thin">
        <color auto="1"/>
      </bottom>
      <diagonal/>
    </border>
    <border>
      <left style="medium">
        <color auto="1"/>
      </left>
      <right/>
      <top style="medium">
        <color auto="1"/>
      </top>
      <bottom style="thin">
        <color auto="1"/>
      </bottom>
      <diagonal/>
    </border>
    <border>
      <left style="thin">
        <color auto="1"/>
      </left>
      <right/>
      <top/>
      <bottom style="thin">
        <color auto="1"/>
      </bottom>
      <diagonal/>
    </border>
    <border>
      <left style="hair">
        <color auto="1"/>
      </left>
      <right style="thin">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right style="double">
        <color auto="1"/>
      </right>
      <top/>
      <bottom style="thin">
        <color auto="1"/>
      </bottom>
      <diagonal/>
    </border>
    <border>
      <left style="double">
        <color auto="1"/>
      </left>
      <right/>
      <top/>
      <bottom style="thin">
        <color auto="1"/>
      </bottom>
      <diagonal/>
    </border>
    <border>
      <left style="thin">
        <color indexed="64"/>
      </left>
      <right style="thin">
        <color indexed="64"/>
      </right>
      <top style="double">
        <color indexed="64"/>
      </top>
      <bottom style="thin">
        <color indexed="64"/>
      </bottom>
      <diagonal/>
    </border>
    <border>
      <left style="thin">
        <color auto="1"/>
      </left>
      <right style="hair">
        <color auto="1"/>
      </right>
      <top style="thin">
        <color auto="1"/>
      </top>
      <bottom/>
      <diagonal/>
    </border>
    <border>
      <left/>
      <right style="thin">
        <color auto="1"/>
      </right>
      <top/>
      <bottom style="thin">
        <color auto="1"/>
      </bottom>
      <diagonal/>
    </border>
    <border>
      <left style="double">
        <color auto="1"/>
      </left>
      <right style="hair">
        <color auto="1"/>
      </right>
      <top style="thin">
        <color auto="1"/>
      </top>
      <bottom/>
      <diagonal/>
    </border>
    <border>
      <left/>
      <right style="hair">
        <color auto="1"/>
      </right>
      <top style="thin">
        <color auto="1"/>
      </top>
      <bottom/>
      <diagonal/>
    </border>
    <border>
      <left style="hair">
        <color auto="1"/>
      </left>
      <right style="medium">
        <color auto="1"/>
      </right>
      <top/>
      <bottom style="medium">
        <color auto="1"/>
      </bottom>
      <diagonal/>
    </border>
    <border>
      <left style="hair">
        <color auto="1"/>
      </left>
      <right style="double">
        <color auto="1"/>
      </right>
      <top style="double">
        <color auto="1"/>
      </top>
      <bottom style="thin">
        <color auto="1"/>
      </bottom>
      <diagonal/>
    </border>
    <border>
      <left style="hair">
        <color auto="1"/>
      </left>
      <right style="double">
        <color auto="1"/>
      </right>
      <top style="thin">
        <color auto="1"/>
      </top>
      <bottom style="thin">
        <color auto="1"/>
      </bottom>
      <diagonal/>
    </border>
    <border>
      <left style="hair">
        <color auto="1"/>
      </left>
      <right style="double">
        <color auto="1"/>
      </right>
      <top style="thin">
        <color auto="1"/>
      </top>
      <bottom/>
      <diagonal/>
    </border>
    <border>
      <left style="hair">
        <color auto="1"/>
      </left>
      <right style="double">
        <color auto="1"/>
      </right>
      <top style="medium">
        <color auto="1"/>
      </top>
      <bottom style="medium">
        <color auto="1"/>
      </bottom>
      <diagonal/>
    </border>
    <border>
      <left style="hair">
        <color auto="1"/>
      </left>
      <right style="hair">
        <color auto="1"/>
      </right>
      <top style="double">
        <color auto="1"/>
      </top>
      <bottom style="thin">
        <color auto="1"/>
      </bottom>
      <diagonal/>
    </border>
    <border>
      <left style="thin">
        <color auto="1"/>
      </left>
      <right style="hair">
        <color auto="1"/>
      </right>
      <top style="medium">
        <color auto="1"/>
      </top>
      <bottom style="thin">
        <color auto="1"/>
      </bottom>
      <diagonal/>
    </border>
    <border>
      <left style="hair">
        <color auto="1"/>
      </left>
      <right style="thin">
        <color auto="1"/>
      </right>
      <top style="medium">
        <color auto="1"/>
      </top>
      <bottom style="thin">
        <color auto="1"/>
      </bottom>
      <diagonal/>
    </border>
    <border>
      <left style="thin">
        <color auto="1"/>
      </left>
      <right style="hair">
        <color auto="1"/>
      </right>
      <top style="medium">
        <color auto="1"/>
      </top>
      <bottom style="medium">
        <color auto="1"/>
      </bottom>
      <diagonal/>
    </border>
    <border>
      <left/>
      <right style="medium">
        <color auto="1"/>
      </right>
      <top style="medium">
        <color auto="1"/>
      </top>
      <bottom style="medium">
        <color auto="1"/>
      </bottom>
      <diagonal/>
    </border>
    <border>
      <left style="hair">
        <color auto="1"/>
      </left>
      <right style="medium">
        <color auto="1"/>
      </right>
      <top style="thin">
        <color auto="1"/>
      </top>
      <bottom/>
      <diagonal/>
    </border>
    <border>
      <left style="hair">
        <color auto="1"/>
      </left>
      <right/>
      <top style="medium">
        <color auto="1"/>
      </top>
      <bottom style="thin">
        <color auto="1"/>
      </bottom>
      <diagonal/>
    </border>
    <border>
      <left style="double">
        <color auto="1"/>
      </left>
      <right style="hair">
        <color auto="1"/>
      </right>
      <top style="thin">
        <color auto="1"/>
      </top>
      <bottom style="medium">
        <color auto="1"/>
      </bottom>
      <diagonal/>
    </border>
    <border>
      <left style="double">
        <color auto="1"/>
      </left>
      <right style="hair">
        <color auto="1"/>
      </right>
      <top style="thin">
        <color auto="1"/>
      </top>
      <bottom style="double">
        <color auto="1"/>
      </bottom>
      <diagonal/>
    </border>
    <border>
      <left style="double">
        <color auto="1"/>
      </left>
      <right style="hair">
        <color auto="1"/>
      </right>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double">
        <color auto="1"/>
      </left>
      <right/>
      <top/>
      <bottom/>
      <diagonal/>
    </border>
    <border>
      <left style="double">
        <color auto="1"/>
      </left>
      <right/>
      <top style="thin">
        <color auto="1"/>
      </top>
      <bottom/>
      <diagonal/>
    </border>
    <border>
      <left/>
      <right style="thin">
        <color auto="1"/>
      </right>
      <top style="medium">
        <color auto="1"/>
      </top>
      <bottom/>
      <diagonal/>
    </border>
    <border>
      <left style="thin">
        <color auto="1"/>
      </left>
      <right style="thin">
        <color auto="1"/>
      </right>
      <top/>
      <bottom style="thin">
        <color auto="1"/>
      </bottom>
      <diagonal/>
    </border>
    <border>
      <left/>
      <right style="thin">
        <color auto="1"/>
      </right>
      <top/>
      <bottom/>
      <diagonal/>
    </border>
    <border>
      <left style="double">
        <color auto="1"/>
      </left>
      <right/>
      <top style="medium">
        <color auto="1"/>
      </top>
      <bottom/>
      <diagonal/>
    </border>
    <border>
      <left style="thin">
        <color auto="1"/>
      </left>
      <right/>
      <top/>
      <bottom/>
      <diagonal/>
    </border>
    <border>
      <left style="thin">
        <color auto="1"/>
      </left>
      <right/>
      <top style="thin">
        <color auto="1"/>
      </top>
      <bottom style="medium">
        <color auto="1"/>
      </bottom>
      <diagonal/>
    </border>
    <border>
      <left style="thin">
        <color auto="1"/>
      </left>
      <right style="medium">
        <color auto="1"/>
      </right>
      <top style="medium">
        <color auto="1"/>
      </top>
      <bottom style="double">
        <color auto="1"/>
      </bottom>
      <diagonal/>
    </border>
    <border>
      <left style="thin">
        <color auto="1"/>
      </left>
      <right style="medium">
        <color auto="1"/>
      </right>
      <top style="double">
        <color auto="1"/>
      </top>
      <bottom style="thin">
        <color auto="1"/>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medium">
        <color auto="1"/>
      </right>
      <top style="double">
        <color auto="1"/>
      </top>
      <bottom/>
      <diagonal/>
    </border>
    <border>
      <left style="thin">
        <color auto="1"/>
      </left>
      <right style="medium">
        <color auto="1"/>
      </right>
      <top/>
      <bottom style="thin">
        <color auto="1"/>
      </bottom>
      <diagonal/>
    </border>
    <border>
      <left style="hair">
        <color auto="1"/>
      </left>
      <right style="thin">
        <color auto="1"/>
      </right>
      <top/>
      <bottom/>
      <diagonal/>
    </border>
    <border>
      <left style="hair">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medium">
        <color auto="1"/>
      </bottom>
      <diagonal/>
    </border>
    <border>
      <left style="thin">
        <color auto="1"/>
      </left>
      <right/>
      <top/>
      <bottom style="medium">
        <color auto="1"/>
      </bottom>
      <diagonal/>
    </border>
    <border>
      <left style="double">
        <color auto="1"/>
      </left>
      <right style="hair">
        <color auto="1"/>
      </right>
      <top/>
      <bottom style="thin">
        <color auto="1"/>
      </bottom>
      <diagonal/>
    </border>
    <border>
      <left style="double">
        <color auto="1"/>
      </left>
      <right/>
      <top style="thin">
        <color auto="1"/>
      </top>
      <bottom style="thin">
        <color auto="1"/>
      </bottom>
      <diagonal/>
    </border>
    <border>
      <left style="medium">
        <color auto="1"/>
      </left>
      <right/>
      <top style="double">
        <color auto="1"/>
      </top>
      <bottom/>
      <diagonal/>
    </border>
    <border>
      <left/>
      <right/>
      <top style="medium">
        <color auto="1"/>
      </top>
      <bottom style="thin">
        <color auto="1"/>
      </bottom>
      <diagonal/>
    </border>
    <border>
      <left style="thin">
        <color auto="1"/>
      </left>
      <right/>
      <top style="medium">
        <color auto="1"/>
      </top>
      <bottom style="thin">
        <color auto="1"/>
      </bottom>
      <diagonal/>
    </border>
    <border>
      <left/>
      <right style="medium">
        <color auto="1"/>
      </right>
      <top/>
      <bottom style="medium">
        <color auto="1"/>
      </bottom>
      <diagonal/>
    </border>
    <border>
      <left/>
      <right style="thin">
        <color auto="1"/>
      </right>
      <top style="medium">
        <color auto="1"/>
      </top>
      <bottom style="medium">
        <color auto="1"/>
      </bottom>
      <diagonal/>
    </border>
    <border>
      <left/>
      <right style="thin">
        <color auto="1"/>
      </right>
      <top style="double">
        <color auto="1"/>
      </top>
      <bottom style="thin">
        <color auto="1"/>
      </bottom>
      <diagonal/>
    </border>
    <border>
      <left/>
      <right style="thin">
        <color auto="1"/>
      </right>
      <top style="medium">
        <color auto="1"/>
      </top>
      <bottom style="double">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style="medium">
        <color auto="1"/>
      </left>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diagonal/>
    </border>
    <border>
      <left/>
      <right style="medium">
        <color auto="1"/>
      </right>
      <top/>
      <bottom style="thin">
        <color auto="1"/>
      </bottom>
      <diagonal/>
    </border>
    <border>
      <left style="thin">
        <color auto="1"/>
      </left>
      <right style="hair">
        <color auto="1"/>
      </right>
      <top/>
      <bottom/>
      <diagonal/>
    </border>
    <border>
      <left style="hair">
        <color auto="1"/>
      </left>
      <right style="medium">
        <color auto="1"/>
      </right>
      <top/>
      <bottom/>
      <diagonal/>
    </border>
    <border>
      <left style="hair">
        <color auto="1"/>
      </left>
      <right/>
      <top/>
      <bottom style="medium">
        <color auto="1"/>
      </bottom>
      <diagonal/>
    </border>
    <border>
      <left style="thin">
        <color auto="1"/>
      </left>
      <right style="thin">
        <color auto="1"/>
      </right>
      <top style="thin">
        <color auto="1"/>
      </top>
      <bottom style="medium">
        <color indexed="64"/>
      </bottom>
      <diagonal/>
    </border>
    <border diagonalUp="1">
      <left style="thin">
        <color auto="1"/>
      </left>
      <right style="medium">
        <color auto="1"/>
      </right>
      <top style="thin">
        <color auto="1"/>
      </top>
      <bottom style="medium">
        <color auto="1"/>
      </bottom>
      <diagonal style="thin">
        <color auto="1"/>
      </diagonal>
    </border>
    <border diagonalUp="1">
      <left style="thin">
        <color auto="1"/>
      </left>
      <right style="thin">
        <color auto="1"/>
      </right>
      <top style="thin">
        <color auto="1"/>
      </top>
      <bottom style="medium">
        <color auto="1"/>
      </bottom>
      <diagonal style="thin">
        <color auto="1"/>
      </diagonal>
    </border>
    <border>
      <left style="medium">
        <color auto="1"/>
      </left>
      <right style="thin">
        <color auto="1"/>
      </right>
      <top/>
      <bottom style="medium">
        <color auto="1"/>
      </bottom>
      <diagonal/>
    </border>
    <border diagonalUp="1">
      <left style="thin">
        <color auto="1"/>
      </left>
      <right/>
      <top style="thin">
        <color auto="1"/>
      </top>
      <bottom style="medium">
        <color auto="1"/>
      </bottom>
      <diagonal style="thin">
        <color auto="1"/>
      </diagonal>
    </border>
    <border>
      <left style="hair">
        <color auto="1"/>
      </left>
      <right style="double">
        <color auto="1"/>
      </right>
      <top/>
      <bottom/>
      <diagonal/>
    </border>
    <border>
      <left style="hair">
        <color auto="1"/>
      </left>
      <right style="double">
        <color auto="1"/>
      </right>
      <top/>
      <bottom style="thin">
        <color auto="1"/>
      </bottom>
      <diagonal/>
    </border>
    <border>
      <left/>
      <right/>
      <top style="double">
        <color auto="1"/>
      </top>
      <bottom/>
      <diagonal/>
    </border>
    <border>
      <left/>
      <right/>
      <top style="medium">
        <color auto="1"/>
      </top>
      <bottom style="double">
        <color auto="1"/>
      </bottom>
      <diagonal/>
    </border>
    <border>
      <left style="medium">
        <color indexed="64"/>
      </left>
      <right style="medium">
        <color indexed="64"/>
      </right>
      <top style="medium">
        <color indexed="64"/>
      </top>
      <bottom style="double">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auto="1"/>
      </right>
      <top style="thin">
        <color auto="1"/>
      </top>
      <bottom style="thin">
        <color auto="1"/>
      </bottom>
      <diagonal/>
    </border>
    <border>
      <left style="thin">
        <color auto="1"/>
      </left>
      <right/>
      <top style="medium">
        <color auto="1"/>
      </top>
      <bottom style="double">
        <color auto="1"/>
      </bottom>
      <diagonal/>
    </border>
    <border>
      <left style="medium">
        <color indexed="64"/>
      </left>
      <right style="thin">
        <color auto="1"/>
      </right>
      <top style="medium">
        <color indexed="64"/>
      </top>
      <bottom/>
      <diagonal/>
    </border>
    <border>
      <left style="hair">
        <color auto="1"/>
      </left>
      <right style="medium">
        <color auto="1"/>
      </right>
      <top style="medium">
        <color auto="1"/>
      </top>
      <bottom/>
      <diagonal/>
    </border>
    <border>
      <left style="double">
        <color indexed="64"/>
      </left>
      <right/>
      <top style="medium">
        <color auto="1"/>
      </top>
      <bottom style="medium">
        <color auto="1"/>
      </bottom>
      <diagonal/>
    </border>
    <border>
      <left style="medium">
        <color auto="1"/>
      </left>
      <right style="hair">
        <color indexed="64"/>
      </right>
      <top style="medium">
        <color auto="1"/>
      </top>
      <bottom style="medium">
        <color auto="1"/>
      </bottom>
      <diagonal/>
    </border>
    <border>
      <left/>
      <right style="medium">
        <color rgb="FF000000"/>
      </right>
      <top style="medium">
        <color indexed="64"/>
      </top>
      <bottom/>
      <diagonal/>
    </border>
    <border>
      <left style="medium">
        <color indexed="64"/>
      </left>
      <right/>
      <top/>
      <bottom style="thin">
        <color rgb="FF000000"/>
      </bottom>
      <diagonal/>
    </border>
    <border>
      <left/>
      <right style="medium">
        <color rgb="FF000000"/>
      </right>
      <top/>
      <bottom style="thin">
        <color rgb="FF000000"/>
      </bottom>
      <diagonal/>
    </border>
    <border>
      <left style="medium">
        <color indexed="64"/>
      </left>
      <right style="hair">
        <color auto="1"/>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double">
        <color auto="1"/>
      </left>
      <right/>
      <top style="thin">
        <color indexed="64"/>
      </top>
      <bottom style="medium">
        <color auto="1"/>
      </bottom>
      <diagonal/>
    </border>
    <border>
      <left style="medium">
        <color auto="1"/>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uble">
        <color auto="1"/>
      </top>
      <bottom/>
      <diagonal/>
    </border>
    <border>
      <left style="medium">
        <color indexed="64"/>
      </left>
      <right style="medium">
        <color indexed="64"/>
      </right>
      <top style="thin">
        <color auto="1"/>
      </top>
      <bottom/>
      <diagonal/>
    </border>
    <border>
      <left style="medium">
        <color indexed="64"/>
      </left>
      <right style="hair">
        <color indexed="64"/>
      </right>
      <top style="medium">
        <color indexed="64"/>
      </top>
      <bottom style="thin">
        <color auto="1"/>
      </bottom>
      <diagonal/>
    </border>
    <border>
      <left style="hair">
        <color indexed="64"/>
      </left>
      <right style="medium">
        <color auto="1"/>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style="thin">
        <color auto="1"/>
      </right>
      <top style="thin">
        <color auto="1"/>
      </top>
      <bottom/>
      <diagonal/>
    </border>
    <border>
      <left style="thin">
        <color auto="1"/>
      </left>
      <right style="thin">
        <color auto="1"/>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auto="1"/>
      </left>
      <right/>
      <top style="thick">
        <color auto="1"/>
      </top>
      <bottom/>
      <diagonal/>
    </border>
    <border>
      <left/>
      <right style="medium">
        <color indexed="64"/>
      </right>
      <top style="thick">
        <color auto="1"/>
      </top>
      <bottom/>
      <diagonal/>
    </border>
    <border>
      <left style="medium">
        <color auto="1"/>
      </left>
      <right/>
      <top style="thin">
        <color auto="1"/>
      </top>
      <bottom style="thin">
        <color indexed="64"/>
      </bottom>
      <diagonal/>
    </border>
    <border>
      <left/>
      <right style="double">
        <color auto="1"/>
      </right>
      <top style="thin">
        <color auto="1"/>
      </top>
      <bottom style="thin">
        <color indexed="64"/>
      </bottom>
      <diagonal/>
    </border>
    <border>
      <left/>
      <right/>
      <top style="thin">
        <color auto="1"/>
      </top>
      <bottom style="thin">
        <color indexed="64"/>
      </bottom>
      <diagonal/>
    </border>
    <border>
      <left style="hair">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medium">
        <color auto="1"/>
      </left>
      <right/>
      <top/>
      <bottom style="thick">
        <color auto="1"/>
      </bottom>
      <diagonal/>
    </border>
    <border>
      <left/>
      <right style="medium">
        <color indexed="64"/>
      </right>
      <top/>
      <bottom style="thick">
        <color auto="1"/>
      </bottom>
      <diagonal/>
    </border>
    <border>
      <left style="medium">
        <color auto="1"/>
      </left>
      <right style="hair">
        <color auto="1"/>
      </right>
      <top style="thin">
        <color auto="1"/>
      </top>
      <bottom style="medium">
        <color auto="1"/>
      </bottom>
      <diagonal/>
    </border>
    <border>
      <left/>
      <right style="medium">
        <color indexed="64"/>
      </right>
      <top/>
      <bottom style="thin">
        <color rgb="FF000000"/>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double">
        <color auto="1"/>
      </left>
      <right style="hair">
        <color auto="1"/>
      </right>
      <top style="thin">
        <color auto="1"/>
      </top>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right style="double">
        <color auto="1"/>
      </right>
      <top/>
      <bottom style="medium">
        <color indexed="64"/>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thin">
        <color auto="1"/>
      </left>
      <right style="hair">
        <color auto="1"/>
      </right>
      <top style="thin">
        <color auto="1"/>
      </top>
      <bottom/>
      <diagonal/>
    </border>
    <border>
      <left style="double">
        <color auto="1"/>
      </left>
      <right/>
      <top style="thin">
        <color auto="1"/>
      </top>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hair">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thin">
        <color auto="1"/>
      </right>
      <top/>
      <bottom style="medium">
        <color indexed="64"/>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hair">
        <color auto="1"/>
      </left>
      <right style="medium">
        <color auto="1"/>
      </right>
      <top style="thin">
        <color auto="1"/>
      </top>
      <bottom/>
      <diagonal/>
    </border>
    <border>
      <left style="thin">
        <color auto="1"/>
      </left>
      <right/>
      <top style="thin">
        <color auto="1"/>
      </top>
      <bottom/>
      <diagonal/>
    </border>
    <border>
      <left style="hair">
        <color auto="1"/>
      </left>
      <right style="thin">
        <color auto="1"/>
      </right>
      <top style="medium">
        <color auto="1"/>
      </top>
      <bottom/>
      <diagonal/>
    </border>
    <border>
      <left style="hair">
        <color auto="1"/>
      </left>
      <right/>
      <top style="medium">
        <color auto="1"/>
      </top>
      <bottom/>
      <diagonal/>
    </border>
    <border>
      <left style="thin">
        <color auto="1"/>
      </left>
      <right style="hair">
        <color auto="1"/>
      </right>
      <top/>
      <bottom style="thin">
        <color auto="1"/>
      </bottom>
      <diagonal/>
    </border>
    <border>
      <left style="medium">
        <color auto="1"/>
      </left>
      <right/>
      <top style="thick">
        <color auto="1"/>
      </top>
      <bottom style="double">
        <color auto="1"/>
      </bottom>
      <diagonal/>
    </border>
    <border>
      <left/>
      <right style="double">
        <color auto="1"/>
      </right>
      <top style="thick">
        <color auto="1"/>
      </top>
      <bottom style="double">
        <color auto="1"/>
      </bottom>
      <diagonal/>
    </border>
    <border>
      <left/>
      <right/>
      <top style="thick">
        <color auto="1"/>
      </top>
      <bottom style="double">
        <color auto="1"/>
      </bottom>
      <diagonal/>
    </border>
    <border>
      <left style="hair">
        <color auto="1"/>
      </left>
      <right style="thin">
        <color auto="1"/>
      </right>
      <top style="thick">
        <color auto="1"/>
      </top>
      <bottom style="double">
        <color auto="1"/>
      </bottom>
      <diagonal/>
    </border>
    <border>
      <left style="hair">
        <color auto="1"/>
      </left>
      <right/>
      <top style="thick">
        <color auto="1"/>
      </top>
      <bottom style="double">
        <color auto="1"/>
      </bottom>
      <diagonal/>
    </border>
  </borders>
  <cellStyleXfs count="3">
    <xf numFmtId="0" fontId="0" fillId="0" borderId="0">
      <alignment vertical="center"/>
    </xf>
    <xf numFmtId="0" fontId="5" fillId="0" borderId="0"/>
    <xf numFmtId="9" fontId="5" fillId="0" borderId="0" applyFont="0" applyFill="0" applyBorder="0" applyAlignment="0" applyProtection="0"/>
  </cellStyleXfs>
  <cellXfs count="806">
    <xf numFmtId="0" fontId="0" fillId="0" borderId="0" xfId="0">
      <alignment vertical="center"/>
    </xf>
    <xf numFmtId="0" fontId="2" fillId="0" borderId="0" xfId="0" applyFont="1">
      <alignment vertical="center"/>
    </xf>
    <xf numFmtId="0" fontId="6" fillId="0" borderId="0" xfId="0" applyFont="1">
      <alignment vertical="center"/>
    </xf>
    <xf numFmtId="0" fontId="6" fillId="0" borderId="15" xfId="0" applyFont="1" applyBorder="1">
      <alignment vertical="center"/>
    </xf>
    <xf numFmtId="0" fontId="11" fillId="0" borderId="0" xfId="0" applyFont="1">
      <alignment vertical="center"/>
    </xf>
    <xf numFmtId="0" fontId="10" fillId="0" borderId="0" xfId="0" applyFont="1">
      <alignment vertical="center"/>
    </xf>
    <xf numFmtId="0" fontId="12" fillId="0" borderId="0" xfId="0" applyFont="1">
      <alignment vertical="center"/>
    </xf>
    <xf numFmtId="0" fontId="13" fillId="0" borderId="0" xfId="0" applyFont="1">
      <alignment vertical="center"/>
    </xf>
    <xf numFmtId="0" fontId="13" fillId="0" borderId="65" xfId="0" applyFont="1" applyBorder="1">
      <alignment vertical="center"/>
    </xf>
    <xf numFmtId="0" fontId="13" fillId="0" borderId="41" xfId="0" applyFont="1" applyBorder="1">
      <alignment vertical="center"/>
    </xf>
    <xf numFmtId="0" fontId="13" fillId="0" borderId="48" xfId="0" applyFont="1" applyBorder="1">
      <alignment vertical="center"/>
    </xf>
    <xf numFmtId="0" fontId="13" fillId="0" borderId="54" xfId="0" applyFont="1" applyBorder="1">
      <alignment vertical="center"/>
    </xf>
    <xf numFmtId="176" fontId="13" fillId="0" borderId="32" xfId="0" applyNumberFormat="1" applyFont="1" applyBorder="1">
      <alignment vertical="center"/>
    </xf>
    <xf numFmtId="0" fontId="13" fillId="0" borderId="38" xfId="0" applyFont="1" applyBorder="1">
      <alignment vertical="center"/>
    </xf>
    <xf numFmtId="0" fontId="13" fillId="0" borderId="42" xfId="0" applyFont="1" applyBorder="1">
      <alignment vertical="center"/>
    </xf>
    <xf numFmtId="0" fontId="13" fillId="0" borderId="49" xfId="0" applyFont="1" applyBorder="1">
      <alignment vertical="center"/>
    </xf>
    <xf numFmtId="0" fontId="13" fillId="0" borderId="55" xfId="0" applyFont="1" applyBorder="1">
      <alignment vertical="center"/>
    </xf>
    <xf numFmtId="176" fontId="13" fillId="0" borderId="33" xfId="0" applyNumberFormat="1" applyFont="1" applyBorder="1">
      <alignment vertical="center"/>
    </xf>
    <xf numFmtId="0" fontId="13" fillId="0" borderId="21" xfId="0" applyFont="1" applyBorder="1">
      <alignment vertical="center"/>
    </xf>
    <xf numFmtId="0" fontId="13" fillId="0" borderId="79" xfId="0" applyFont="1" applyBorder="1">
      <alignment vertical="center"/>
    </xf>
    <xf numFmtId="0" fontId="13" fillId="0" borderId="62" xfId="0" applyFont="1" applyBorder="1">
      <alignment vertical="center"/>
    </xf>
    <xf numFmtId="0" fontId="13" fillId="0" borderId="63" xfId="0" applyFont="1" applyBorder="1">
      <alignment vertical="center"/>
    </xf>
    <xf numFmtId="0" fontId="13" fillId="0" borderId="76" xfId="0" applyFont="1" applyBorder="1">
      <alignment vertical="center"/>
    </xf>
    <xf numFmtId="0" fontId="13" fillId="0" borderId="39" xfId="0" applyFont="1" applyBorder="1">
      <alignment vertical="center"/>
    </xf>
    <xf numFmtId="0" fontId="13" fillId="0" borderId="43" xfId="0" applyFont="1" applyBorder="1">
      <alignment vertical="center"/>
    </xf>
    <xf numFmtId="0" fontId="13" fillId="0" borderId="50" xfId="0" applyFont="1" applyBorder="1">
      <alignment vertical="center"/>
    </xf>
    <xf numFmtId="0" fontId="13" fillId="0" borderId="52" xfId="0" applyFont="1" applyBorder="1">
      <alignment vertical="center"/>
    </xf>
    <xf numFmtId="176" fontId="13" fillId="0" borderId="92" xfId="0" applyNumberFormat="1" applyFont="1" applyBorder="1">
      <alignment vertical="center"/>
    </xf>
    <xf numFmtId="176" fontId="13" fillId="0" borderId="40" xfId="0" applyNumberFormat="1" applyFont="1" applyBorder="1">
      <alignment vertical="center"/>
    </xf>
    <xf numFmtId="176" fontId="13" fillId="0" borderId="5" xfId="0" applyNumberFormat="1" applyFont="1" applyBorder="1">
      <alignment vertical="center"/>
    </xf>
    <xf numFmtId="176" fontId="13" fillId="0" borderId="88" xfId="0" applyNumberFormat="1" applyFont="1" applyBorder="1">
      <alignment vertical="center"/>
    </xf>
    <xf numFmtId="176" fontId="13" fillId="0" borderId="44" xfId="0" applyNumberFormat="1" applyFont="1" applyBorder="1">
      <alignment vertical="center"/>
    </xf>
    <xf numFmtId="176" fontId="13" fillId="0" borderId="36" xfId="0" applyNumberFormat="1" applyFont="1" applyBorder="1">
      <alignment vertical="center"/>
    </xf>
    <xf numFmtId="176" fontId="13" fillId="0" borderId="89" xfId="0" applyNumberFormat="1" applyFont="1" applyBorder="1">
      <alignment vertical="center"/>
    </xf>
    <xf numFmtId="0" fontId="13" fillId="0" borderId="14" xfId="0" applyFont="1" applyBorder="1">
      <alignment vertical="center"/>
    </xf>
    <xf numFmtId="0" fontId="13" fillId="0" borderId="69" xfId="0" applyFont="1" applyBorder="1">
      <alignment vertical="center"/>
    </xf>
    <xf numFmtId="0" fontId="13" fillId="0" borderId="70" xfId="0" applyFont="1" applyBorder="1">
      <alignment vertical="center"/>
    </xf>
    <xf numFmtId="0" fontId="13" fillId="0" borderId="30" xfId="0" applyFont="1" applyBorder="1">
      <alignment vertical="center"/>
    </xf>
    <xf numFmtId="0" fontId="13" fillId="0" borderId="61" xfId="0" applyFont="1" applyBorder="1">
      <alignment vertical="center"/>
    </xf>
    <xf numFmtId="176" fontId="13" fillId="0" borderId="27" xfId="0" applyNumberFormat="1" applyFont="1" applyBorder="1">
      <alignment vertical="center"/>
    </xf>
    <xf numFmtId="176" fontId="13" fillId="0" borderId="37" xfId="0" applyNumberFormat="1" applyFont="1" applyBorder="1">
      <alignment vertical="center"/>
    </xf>
    <xf numFmtId="176" fontId="13" fillId="0" borderId="51" xfId="0" applyNumberFormat="1" applyFont="1" applyBorder="1">
      <alignment vertical="center"/>
    </xf>
    <xf numFmtId="0" fontId="13" fillId="0" borderId="72" xfId="0" applyFont="1" applyBorder="1">
      <alignment vertical="center"/>
    </xf>
    <xf numFmtId="176" fontId="13" fillId="0" borderId="94" xfId="0" applyNumberFormat="1" applyFont="1" applyBorder="1">
      <alignment vertical="center"/>
    </xf>
    <xf numFmtId="176" fontId="13" fillId="0" borderId="78" xfId="0" applyNumberFormat="1" applyFont="1" applyBorder="1">
      <alignment vertical="center"/>
    </xf>
    <xf numFmtId="176" fontId="13" fillId="0" borderId="85" xfId="0" applyNumberFormat="1" applyFont="1" applyBorder="1">
      <alignment vertical="center"/>
    </xf>
    <xf numFmtId="0" fontId="13" fillId="0" borderId="19" xfId="0" applyFont="1" applyBorder="1">
      <alignment vertical="center"/>
    </xf>
    <xf numFmtId="176" fontId="13" fillId="0" borderId="34" xfId="0" applyNumberFormat="1" applyFont="1" applyBorder="1">
      <alignment vertical="center"/>
    </xf>
    <xf numFmtId="0" fontId="13" fillId="0" borderId="66" xfId="0" applyFont="1" applyBorder="1">
      <alignment vertical="center"/>
    </xf>
    <xf numFmtId="176" fontId="13" fillId="0" borderId="35" xfId="0" applyNumberFormat="1" applyFont="1" applyBorder="1">
      <alignment vertical="center"/>
    </xf>
    <xf numFmtId="0" fontId="13" fillId="0" borderId="60" xfId="0" applyFont="1" applyBorder="1">
      <alignment vertical="center"/>
    </xf>
    <xf numFmtId="176" fontId="13" fillId="0" borderId="42" xfId="0" applyNumberFormat="1" applyFont="1" applyBorder="1">
      <alignment vertical="center"/>
    </xf>
    <xf numFmtId="176" fontId="13" fillId="0" borderId="84" xfId="0" applyNumberFormat="1" applyFont="1" applyBorder="1">
      <alignment vertical="center"/>
    </xf>
    <xf numFmtId="176" fontId="13" fillId="0" borderId="48" xfId="0" applyNumberFormat="1" applyFont="1" applyBorder="1">
      <alignment vertical="center"/>
    </xf>
    <xf numFmtId="176" fontId="13" fillId="0" borderId="54" xfId="0" applyNumberFormat="1" applyFont="1" applyBorder="1">
      <alignment vertical="center"/>
    </xf>
    <xf numFmtId="176" fontId="13" fillId="0" borderId="41" xfId="0" applyNumberFormat="1" applyFont="1" applyBorder="1">
      <alignment vertical="center"/>
    </xf>
    <xf numFmtId="176" fontId="13" fillId="0" borderId="49" xfId="0" applyNumberFormat="1" applyFont="1" applyBorder="1">
      <alignment vertical="center"/>
    </xf>
    <xf numFmtId="176" fontId="13" fillId="0" borderId="55" xfId="0" applyNumberFormat="1" applyFont="1" applyBorder="1">
      <alignment vertical="center"/>
    </xf>
    <xf numFmtId="176" fontId="13" fillId="0" borderId="67" xfId="0" applyNumberFormat="1" applyFont="1" applyBorder="1">
      <alignment vertical="center"/>
    </xf>
    <xf numFmtId="176" fontId="13" fillId="0" borderId="21" xfId="0" applyNumberFormat="1" applyFont="1" applyBorder="1">
      <alignment vertical="center"/>
    </xf>
    <xf numFmtId="176" fontId="13" fillId="0" borderId="60" xfId="0" applyNumberFormat="1" applyFont="1" applyBorder="1">
      <alignment vertical="center"/>
    </xf>
    <xf numFmtId="176" fontId="13" fillId="0" borderId="62" xfId="0" applyNumberFormat="1" applyFont="1" applyBorder="1">
      <alignment vertical="center"/>
    </xf>
    <xf numFmtId="176" fontId="13" fillId="0" borderId="63" xfId="0" applyNumberFormat="1" applyFont="1" applyBorder="1">
      <alignment vertical="center"/>
    </xf>
    <xf numFmtId="176" fontId="13" fillId="0" borderId="52" xfId="0" applyNumberFormat="1" applyFont="1" applyBorder="1">
      <alignment vertical="center"/>
    </xf>
    <xf numFmtId="176" fontId="13" fillId="0" borderId="43" xfId="0" applyNumberFormat="1" applyFont="1" applyBorder="1">
      <alignment vertical="center"/>
    </xf>
    <xf numFmtId="176" fontId="13" fillId="0" borderId="50" xfId="0" applyNumberFormat="1" applyFont="1" applyBorder="1">
      <alignment vertical="center"/>
    </xf>
    <xf numFmtId="176" fontId="13" fillId="0" borderId="70" xfId="0" applyNumberFormat="1" applyFont="1" applyBorder="1">
      <alignment vertical="center"/>
    </xf>
    <xf numFmtId="176" fontId="13" fillId="0" borderId="86" xfId="0" applyNumberFormat="1" applyFont="1" applyBorder="1">
      <alignment vertical="center"/>
    </xf>
    <xf numFmtId="176" fontId="13" fillId="0" borderId="87" xfId="0" applyNumberFormat="1" applyFont="1" applyBorder="1">
      <alignment vertical="center"/>
    </xf>
    <xf numFmtId="176" fontId="13" fillId="0" borderId="91" xfId="0" applyNumberFormat="1" applyFont="1" applyBorder="1">
      <alignment vertical="center"/>
    </xf>
    <xf numFmtId="176" fontId="13" fillId="0" borderId="74" xfId="0" applyNumberFormat="1" applyFont="1" applyBorder="1">
      <alignment vertical="center"/>
    </xf>
    <xf numFmtId="176" fontId="13" fillId="0" borderId="0" xfId="0" applyNumberFormat="1" applyFont="1">
      <alignment vertical="center"/>
    </xf>
    <xf numFmtId="176" fontId="14" fillId="0" borderId="0" xfId="0" applyNumberFormat="1" applyFont="1">
      <alignment vertical="center"/>
    </xf>
    <xf numFmtId="176" fontId="13" fillId="0" borderId="71" xfId="0" applyNumberFormat="1" applyFont="1" applyBorder="1">
      <alignment vertical="center"/>
    </xf>
    <xf numFmtId="176" fontId="13" fillId="0" borderId="90" xfId="0" applyNumberFormat="1" applyFont="1" applyBorder="1">
      <alignment vertical="center"/>
    </xf>
    <xf numFmtId="0" fontId="6" fillId="0" borderId="65" xfId="0" applyFont="1" applyBorder="1">
      <alignment vertical="center"/>
    </xf>
    <xf numFmtId="0" fontId="16" fillId="0" borderId="21" xfId="0" applyFont="1" applyBorder="1">
      <alignment vertical="center"/>
    </xf>
    <xf numFmtId="0" fontId="16" fillId="0" borderId="42" xfId="0" applyFont="1" applyBorder="1">
      <alignment vertical="center"/>
    </xf>
    <xf numFmtId="176" fontId="13" fillId="0" borderId="30" xfId="0" applyNumberFormat="1" applyFont="1" applyBorder="1">
      <alignment vertical="center"/>
    </xf>
    <xf numFmtId="176" fontId="13" fillId="0" borderId="69" xfId="0" applyNumberFormat="1" applyFont="1" applyBorder="1">
      <alignment vertical="center"/>
    </xf>
    <xf numFmtId="0" fontId="6" fillId="0" borderId="105" xfId="0" applyFont="1" applyBorder="1">
      <alignment vertical="center"/>
    </xf>
    <xf numFmtId="0" fontId="6" fillId="0" borderId="106" xfId="0" applyFont="1" applyBorder="1">
      <alignment vertical="center"/>
    </xf>
    <xf numFmtId="0" fontId="6" fillId="0" borderId="96" xfId="0" applyFont="1" applyBorder="1">
      <alignment vertical="center"/>
    </xf>
    <xf numFmtId="0" fontId="6" fillId="0" borderId="107" xfId="0" applyFont="1" applyBorder="1">
      <alignment vertical="center"/>
    </xf>
    <xf numFmtId="0" fontId="6" fillId="0" borderId="108" xfId="0" applyFont="1" applyBorder="1">
      <alignment vertical="center"/>
    </xf>
    <xf numFmtId="0" fontId="6" fillId="0" borderId="110" xfId="0" applyFont="1" applyBorder="1">
      <alignment vertical="center"/>
    </xf>
    <xf numFmtId="0" fontId="13" fillId="0" borderId="111" xfId="0" applyFont="1" applyBorder="1">
      <alignment vertical="center"/>
    </xf>
    <xf numFmtId="0" fontId="13" fillId="0" borderId="112" xfId="0" applyFont="1" applyBorder="1">
      <alignment vertical="center"/>
    </xf>
    <xf numFmtId="176" fontId="13" fillId="0" borderId="117" xfId="0" applyNumberFormat="1" applyFont="1" applyBorder="1">
      <alignment vertical="center"/>
    </xf>
    <xf numFmtId="0" fontId="13" fillId="0" borderId="67" xfId="0" applyFont="1" applyBorder="1">
      <alignment vertical="center"/>
    </xf>
    <xf numFmtId="0" fontId="6" fillId="0" borderId="95" xfId="0" applyFont="1" applyBorder="1">
      <alignment vertical="center"/>
    </xf>
    <xf numFmtId="176" fontId="13" fillId="0" borderId="123" xfId="0" applyNumberFormat="1" applyFont="1" applyBorder="1">
      <alignment vertical="center"/>
    </xf>
    <xf numFmtId="0" fontId="19" fillId="0" borderId="46" xfId="0" applyFont="1" applyBorder="1" applyAlignment="1">
      <alignment horizontal="center" vertical="center"/>
    </xf>
    <xf numFmtId="0" fontId="19" fillId="0" borderId="45" xfId="0" applyFont="1" applyBorder="1" applyAlignment="1">
      <alignment horizontal="center" vertical="center"/>
    </xf>
    <xf numFmtId="0" fontId="19" fillId="0" borderId="47" xfId="0" applyFont="1" applyBorder="1" applyAlignment="1">
      <alignment horizontal="center" vertical="center"/>
    </xf>
    <xf numFmtId="0" fontId="19" fillId="0" borderId="93" xfId="0" applyFont="1" applyBorder="1" applyAlignment="1">
      <alignment horizontal="center" vertical="center"/>
    </xf>
    <xf numFmtId="0" fontId="19" fillId="0" borderId="31" xfId="0" applyFont="1" applyBorder="1" applyAlignment="1">
      <alignment horizontal="center" vertical="center"/>
    </xf>
    <xf numFmtId="0" fontId="19" fillId="0" borderId="64" xfId="0" applyFont="1" applyBorder="1" applyAlignment="1">
      <alignment horizontal="center" vertical="center"/>
    </xf>
    <xf numFmtId="0" fontId="19" fillId="0" borderId="78" xfId="0" applyFont="1" applyBorder="1" applyAlignment="1">
      <alignment horizontal="center" vertical="center"/>
    </xf>
    <xf numFmtId="0" fontId="19" fillId="0" borderId="90" xfId="0" applyFont="1" applyBorder="1" applyAlignment="1">
      <alignment horizontal="center" vertical="center"/>
    </xf>
    <xf numFmtId="176" fontId="13" fillId="0" borderId="81" xfId="0" applyNumberFormat="1" applyFont="1" applyBorder="1">
      <alignment vertical="center"/>
    </xf>
    <xf numFmtId="176" fontId="13" fillId="0" borderId="82" xfId="0" applyNumberFormat="1" applyFont="1" applyBorder="1">
      <alignment vertical="center"/>
    </xf>
    <xf numFmtId="176" fontId="13" fillId="0" borderId="118" xfId="0" applyNumberFormat="1" applyFont="1" applyBorder="1">
      <alignment vertical="center"/>
    </xf>
    <xf numFmtId="0" fontId="7" fillId="0" borderId="0" xfId="0" applyFont="1">
      <alignment vertical="center"/>
    </xf>
    <xf numFmtId="176" fontId="13" fillId="0" borderId="134" xfId="0" applyNumberFormat="1" applyFont="1" applyBorder="1">
      <alignment vertical="center"/>
    </xf>
    <xf numFmtId="0" fontId="0" fillId="0" borderId="15" xfId="0" applyBorder="1">
      <alignment vertical="center"/>
    </xf>
    <xf numFmtId="176" fontId="13" fillId="0" borderId="65" xfId="0" applyNumberFormat="1" applyFont="1" applyBorder="1">
      <alignment vertical="center"/>
    </xf>
    <xf numFmtId="0" fontId="19" fillId="0" borderId="63" xfId="0" applyFont="1" applyBorder="1" applyAlignment="1">
      <alignment horizontal="center" vertical="center"/>
    </xf>
    <xf numFmtId="176" fontId="13" fillId="0" borderId="135" xfId="0" applyNumberFormat="1" applyFont="1" applyBorder="1">
      <alignment vertical="center"/>
    </xf>
    <xf numFmtId="0" fontId="2" fillId="0" borderId="96" xfId="0" applyFont="1" applyBorder="1">
      <alignment vertical="center"/>
    </xf>
    <xf numFmtId="0" fontId="21" fillId="0" borderId="17" xfId="0" applyFont="1" applyBorder="1">
      <alignment vertical="center"/>
    </xf>
    <xf numFmtId="0" fontId="21" fillId="0" borderId="3" xfId="0" applyFont="1" applyBorder="1">
      <alignment vertical="center"/>
    </xf>
    <xf numFmtId="0" fontId="21" fillId="0" borderId="59" xfId="0" applyFont="1" applyBorder="1">
      <alignment vertical="center"/>
    </xf>
    <xf numFmtId="0" fontId="21" fillId="0" borderId="4" xfId="0" applyFont="1" applyBorder="1">
      <alignment vertical="center"/>
    </xf>
    <xf numFmtId="0" fontId="19" fillId="0" borderId="0" xfId="0" applyFont="1">
      <alignment vertical="center"/>
    </xf>
    <xf numFmtId="0" fontId="19" fillId="0" borderId="111" xfId="0" applyFont="1" applyBorder="1">
      <alignment vertical="center"/>
    </xf>
    <xf numFmtId="0" fontId="19" fillId="0" borderId="118" xfId="0" applyFont="1" applyBorder="1">
      <alignment vertical="center"/>
    </xf>
    <xf numFmtId="0" fontId="19" fillId="0" borderId="42" xfId="0" applyFont="1" applyBorder="1">
      <alignment vertical="center"/>
    </xf>
    <xf numFmtId="0" fontId="19" fillId="0" borderId="21" xfId="0" applyFont="1" applyBorder="1">
      <alignment vertical="center"/>
    </xf>
    <xf numFmtId="0" fontId="21" fillId="0" borderId="16" xfId="0" applyFont="1" applyBorder="1" applyAlignment="1">
      <alignment horizontal="center" vertical="center"/>
    </xf>
    <xf numFmtId="0" fontId="23" fillId="0" borderId="0" xfId="0" applyFont="1">
      <alignment vertical="center"/>
    </xf>
    <xf numFmtId="0" fontId="21" fillId="0" borderId="4" xfId="0" applyFont="1" applyBorder="1" applyAlignment="1">
      <alignment horizontal="center" vertical="center"/>
    </xf>
    <xf numFmtId="0" fontId="21" fillId="0" borderId="0" xfId="0" applyFont="1">
      <alignment vertical="center"/>
    </xf>
    <xf numFmtId="0" fontId="21" fillId="0" borderId="0" xfId="0" applyFont="1" applyAlignment="1">
      <alignment horizontal="center" vertical="center"/>
    </xf>
    <xf numFmtId="0" fontId="24" fillId="0" borderId="0" xfId="0" applyFont="1">
      <alignment vertical="center"/>
    </xf>
    <xf numFmtId="0" fontId="25" fillId="0" borderId="3" xfId="0" applyFont="1" applyBorder="1">
      <alignment vertical="center"/>
    </xf>
    <xf numFmtId="0" fontId="25" fillId="0" borderId="7" xfId="0" applyFont="1" applyBorder="1">
      <alignment vertical="center"/>
    </xf>
    <xf numFmtId="0" fontId="25" fillId="0" borderId="6" xfId="0" applyFont="1" applyBorder="1">
      <alignment vertical="center"/>
    </xf>
    <xf numFmtId="0" fontId="25" fillId="0" borderId="15" xfId="0" applyFont="1" applyBorder="1">
      <alignment vertical="center"/>
    </xf>
    <xf numFmtId="0" fontId="25" fillId="0" borderId="59" xfId="0" applyFont="1" applyBorder="1">
      <alignment vertical="center"/>
    </xf>
    <xf numFmtId="0" fontId="24" fillId="0" borderId="17" xfId="0" applyFont="1" applyBorder="1">
      <alignment vertical="center"/>
    </xf>
    <xf numFmtId="0" fontId="24" fillId="0" borderId="3" xfId="0" applyFont="1" applyBorder="1">
      <alignment vertical="center"/>
    </xf>
    <xf numFmtId="0" fontId="24" fillId="0" borderId="4" xfId="0" applyFont="1" applyBorder="1">
      <alignment vertical="center"/>
    </xf>
    <xf numFmtId="0" fontId="24" fillId="0" borderId="59" xfId="0" applyFont="1" applyBorder="1">
      <alignment vertical="center"/>
    </xf>
    <xf numFmtId="0" fontId="25" fillId="0" borderId="0" xfId="0" applyFont="1">
      <alignment vertical="center"/>
    </xf>
    <xf numFmtId="0" fontId="25" fillId="0" borderId="0" xfId="0" applyFont="1" applyAlignment="1">
      <alignment horizontal="left" vertical="center"/>
    </xf>
    <xf numFmtId="0" fontId="25" fillId="0" borderId="21" xfId="0" applyFont="1" applyBorder="1">
      <alignment vertical="center"/>
    </xf>
    <xf numFmtId="0" fontId="7" fillId="0" borderId="1"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113" xfId="0" applyFont="1" applyBorder="1" applyAlignment="1">
      <alignment horizontal="center" vertical="center"/>
    </xf>
    <xf numFmtId="0" fontId="6" fillId="0" borderId="145" xfId="0" applyFont="1" applyBorder="1">
      <alignment vertical="center"/>
    </xf>
    <xf numFmtId="0" fontId="6" fillId="0" borderId="146" xfId="0" applyFont="1" applyBorder="1">
      <alignment vertical="center"/>
    </xf>
    <xf numFmtId="0" fontId="6" fillId="3" borderId="147" xfId="0" applyFont="1" applyFill="1" applyBorder="1">
      <alignment vertical="center"/>
    </xf>
    <xf numFmtId="0" fontId="24" fillId="0" borderId="6" xfId="0" applyFont="1" applyBorder="1">
      <alignment vertical="center"/>
    </xf>
    <xf numFmtId="0" fontId="29" fillId="0" borderId="73" xfId="0" applyFont="1" applyBorder="1">
      <alignment vertical="center"/>
    </xf>
    <xf numFmtId="0" fontId="29" fillId="0" borderId="20" xfId="0" applyFont="1" applyBorder="1">
      <alignment vertical="center"/>
    </xf>
    <xf numFmtId="0" fontId="29" fillId="0" borderId="58" xfId="0" applyFont="1" applyBorder="1">
      <alignment vertical="center"/>
    </xf>
    <xf numFmtId="0" fontId="29" fillId="0" borderId="22" xfId="0" applyFont="1" applyBorder="1">
      <alignment vertical="center"/>
    </xf>
    <xf numFmtId="0" fontId="29" fillId="0" borderId="11" xfId="0" applyFont="1" applyBorder="1">
      <alignment vertical="center"/>
    </xf>
    <xf numFmtId="0" fontId="29" fillId="0" borderId="0" xfId="0" applyFont="1">
      <alignment vertical="center"/>
    </xf>
    <xf numFmtId="0" fontId="29" fillId="0" borderId="5" xfId="0" applyFont="1" applyBorder="1">
      <alignment vertical="center"/>
    </xf>
    <xf numFmtId="0" fontId="29" fillId="0" borderId="18" xfId="0" applyFont="1" applyBorder="1">
      <alignment vertical="center"/>
    </xf>
    <xf numFmtId="0" fontId="29" fillId="0" borderId="10" xfId="0" applyFont="1" applyBorder="1">
      <alignment vertical="center"/>
    </xf>
    <xf numFmtId="0" fontId="31" fillId="0" borderId="3" xfId="0" applyFont="1" applyBorder="1">
      <alignment vertical="center"/>
    </xf>
    <xf numFmtId="0" fontId="31" fillId="0" borderId="59" xfId="0" applyFont="1" applyBorder="1">
      <alignment vertical="center"/>
    </xf>
    <xf numFmtId="0" fontId="31" fillId="0" borderId="4" xfId="0" applyFont="1" applyBorder="1">
      <alignment vertical="center"/>
    </xf>
    <xf numFmtId="0" fontId="32" fillId="0" borderId="3" xfId="0" applyFont="1" applyBorder="1">
      <alignment vertical="center"/>
    </xf>
    <xf numFmtId="0" fontId="24" fillId="0" borderId="3" xfId="0" applyFont="1" applyBorder="1" applyAlignment="1">
      <alignment horizontal="left" vertical="center"/>
    </xf>
    <xf numFmtId="0" fontId="19" fillId="0" borderId="53" xfId="0" applyFont="1" applyBorder="1" applyAlignment="1">
      <alignment horizontal="center" vertical="center"/>
    </xf>
    <xf numFmtId="0" fontId="19" fillId="0" borderId="112" xfId="0" applyFont="1" applyBorder="1">
      <alignment vertical="center"/>
    </xf>
    <xf numFmtId="0" fontId="19" fillId="0" borderId="103" xfId="0" applyFont="1" applyBorder="1">
      <alignment vertical="center"/>
    </xf>
    <xf numFmtId="0" fontId="19" fillId="0" borderId="60" xfId="0" applyFont="1" applyBorder="1">
      <alignment vertical="center"/>
    </xf>
    <xf numFmtId="0" fontId="19" fillId="0" borderId="62" xfId="0" applyFont="1" applyBorder="1">
      <alignment vertical="center"/>
    </xf>
    <xf numFmtId="0" fontId="19" fillId="0" borderId="63" xfId="0" applyFont="1" applyBorder="1">
      <alignment vertical="center"/>
    </xf>
    <xf numFmtId="0" fontId="19" fillId="0" borderId="61" xfId="0" applyFont="1" applyBorder="1">
      <alignment vertical="center"/>
    </xf>
    <xf numFmtId="0" fontId="19" fillId="0" borderId="49" xfId="0" applyFont="1" applyBorder="1">
      <alignment vertical="center"/>
    </xf>
    <xf numFmtId="0" fontId="19" fillId="0" borderId="30" xfId="0" applyFont="1" applyBorder="1">
      <alignment vertical="center"/>
    </xf>
    <xf numFmtId="0" fontId="19" fillId="0" borderId="67" xfId="0" applyFont="1" applyBorder="1">
      <alignment vertical="center"/>
    </xf>
    <xf numFmtId="0" fontId="19" fillId="0" borderId="70" xfId="0" applyFont="1" applyBorder="1">
      <alignment vertical="center"/>
    </xf>
    <xf numFmtId="0" fontId="19" fillId="0" borderId="72" xfId="0" applyFont="1" applyBorder="1">
      <alignment vertical="center"/>
    </xf>
    <xf numFmtId="0" fontId="19" fillId="0" borderId="69" xfId="0" applyFont="1" applyBorder="1">
      <alignment vertical="center"/>
    </xf>
    <xf numFmtId="176" fontId="13" fillId="0" borderId="66" xfId="0" applyNumberFormat="1" applyFont="1" applyBorder="1">
      <alignment vertical="center"/>
    </xf>
    <xf numFmtId="0" fontId="2" fillId="0" borderId="109" xfId="0" applyFont="1" applyBorder="1">
      <alignment vertical="center"/>
    </xf>
    <xf numFmtId="0" fontId="2" fillId="0" borderId="108" xfId="0" applyFont="1" applyBorder="1">
      <alignment vertical="center"/>
    </xf>
    <xf numFmtId="0" fontId="4" fillId="0" borderId="0" xfId="0" applyFont="1" applyAlignment="1">
      <alignment horizontal="left" vertical="center"/>
    </xf>
    <xf numFmtId="0" fontId="3" fillId="0" borderId="0" xfId="0" applyFont="1" applyAlignment="1">
      <alignment horizontal="left" vertical="center"/>
    </xf>
    <xf numFmtId="0" fontId="6" fillId="0" borderId="26" xfId="0" applyFont="1" applyBorder="1">
      <alignment vertical="center"/>
    </xf>
    <xf numFmtId="0" fontId="13" fillId="0" borderId="75" xfId="0" applyFont="1" applyBorder="1">
      <alignment vertical="center"/>
    </xf>
    <xf numFmtId="0" fontId="13" fillId="0" borderId="29" xfId="0" applyFont="1" applyBorder="1">
      <alignment vertical="center"/>
    </xf>
    <xf numFmtId="0" fontId="13" fillId="0" borderId="113" xfId="0" applyFont="1" applyBorder="1">
      <alignment vertical="center"/>
    </xf>
    <xf numFmtId="0" fontId="13" fillId="0" borderId="114" xfId="0" applyFont="1" applyBorder="1">
      <alignment vertical="center"/>
    </xf>
    <xf numFmtId="176" fontId="13" fillId="0" borderId="115" xfId="0" applyNumberFormat="1" applyFont="1" applyBorder="1">
      <alignment vertical="center"/>
    </xf>
    <xf numFmtId="0" fontId="13" fillId="0" borderId="133" xfId="0" applyFont="1" applyBorder="1">
      <alignment vertical="center"/>
    </xf>
    <xf numFmtId="0" fontId="24" fillId="0" borderId="0" xfId="0" applyFont="1" applyAlignment="1">
      <alignment horizontal="center" vertical="center"/>
    </xf>
    <xf numFmtId="0" fontId="19" fillId="0" borderId="98" xfId="0" applyFont="1" applyBorder="1">
      <alignment vertical="center"/>
    </xf>
    <xf numFmtId="0" fontId="19" fillId="0" borderId="83" xfId="0" applyFont="1" applyBorder="1">
      <alignment vertical="center"/>
    </xf>
    <xf numFmtId="0" fontId="19" fillId="0" borderId="82" xfId="0" applyFont="1" applyBorder="1">
      <alignment vertical="center"/>
    </xf>
    <xf numFmtId="0" fontId="19" fillId="0" borderId="141" xfId="0" applyFont="1" applyBorder="1">
      <alignment vertical="center"/>
    </xf>
    <xf numFmtId="0" fontId="19" fillId="0" borderId="74" xfId="0" applyFont="1" applyBorder="1">
      <alignment vertical="center"/>
    </xf>
    <xf numFmtId="0" fontId="19" fillId="0" borderId="142" xfId="0" applyFont="1" applyBorder="1">
      <alignment vertical="center"/>
    </xf>
    <xf numFmtId="0" fontId="6" fillId="0" borderId="130" xfId="0" applyFont="1" applyBorder="1">
      <alignment vertical="center"/>
    </xf>
    <xf numFmtId="0" fontId="25" fillId="0" borderId="0" xfId="0" applyFont="1" applyAlignment="1">
      <alignment horizontal="center" vertical="center"/>
    </xf>
    <xf numFmtId="0" fontId="13" fillId="0" borderId="104" xfId="0" applyFont="1" applyBorder="1">
      <alignment vertical="center"/>
    </xf>
    <xf numFmtId="0" fontId="19" fillId="0" borderId="76" xfId="0" applyFont="1" applyBorder="1" applyAlignment="1">
      <alignment horizontal="center" vertical="center"/>
    </xf>
    <xf numFmtId="176" fontId="13" fillId="0" borderId="61" xfId="0" applyNumberFormat="1" applyFont="1" applyBorder="1">
      <alignment vertical="center"/>
    </xf>
    <xf numFmtId="0" fontId="19" fillId="0" borderId="33" xfId="0" applyFont="1" applyBorder="1">
      <alignment vertical="center"/>
    </xf>
    <xf numFmtId="176" fontId="13" fillId="0" borderId="112" xfId="0" applyNumberFormat="1" applyFont="1" applyBorder="1">
      <alignment vertical="center"/>
    </xf>
    <xf numFmtId="0" fontId="6" fillId="0" borderId="30" xfId="0" applyFont="1" applyBorder="1">
      <alignment vertical="center"/>
    </xf>
    <xf numFmtId="0" fontId="6" fillId="0" borderId="104" xfId="0" applyFont="1" applyBorder="1">
      <alignment vertical="center"/>
    </xf>
    <xf numFmtId="0" fontId="6" fillId="0" borderId="103" xfId="0" applyFont="1" applyBorder="1">
      <alignment vertical="center"/>
    </xf>
    <xf numFmtId="0" fontId="35" fillId="0" borderId="3" xfId="0" applyFont="1" applyBorder="1">
      <alignment vertical="center"/>
    </xf>
    <xf numFmtId="0" fontId="35" fillId="0" borderId="59" xfId="0" applyFont="1" applyBorder="1">
      <alignment vertical="center"/>
    </xf>
    <xf numFmtId="0" fontId="35" fillId="0" borderId="2" xfId="0" applyFont="1" applyBorder="1">
      <alignment vertical="center"/>
    </xf>
    <xf numFmtId="0" fontId="35" fillId="0" borderId="15" xfId="0" applyFont="1" applyBorder="1">
      <alignment vertical="center"/>
    </xf>
    <xf numFmtId="0" fontId="35" fillId="0" borderId="17" xfId="0" applyFont="1" applyBorder="1">
      <alignment vertical="center"/>
    </xf>
    <xf numFmtId="0" fontId="35" fillId="0" borderId="4" xfId="0" applyFont="1" applyBorder="1">
      <alignment vertical="center"/>
    </xf>
    <xf numFmtId="0" fontId="36" fillId="0" borderId="3" xfId="0" applyFont="1" applyBorder="1">
      <alignment vertical="center"/>
    </xf>
    <xf numFmtId="0" fontId="37" fillId="0" borderId="3" xfId="0" applyFont="1" applyBorder="1">
      <alignment vertical="center"/>
    </xf>
    <xf numFmtId="0" fontId="35" fillId="0" borderId="3" xfId="0" applyFont="1" applyBorder="1" applyAlignment="1">
      <alignment horizontal="left" vertical="center"/>
    </xf>
    <xf numFmtId="0" fontId="34" fillId="0" borderId="17"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59" xfId="0" applyFont="1" applyBorder="1" applyAlignment="1">
      <alignment horizontal="center" vertical="center"/>
    </xf>
    <xf numFmtId="0" fontId="34" fillId="0" borderId="16" xfId="0" applyFont="1" applyBorder="1" applyAlignment="1">
      <alignment horizontal="center" vertical="center"/>
    </xf>
    <xf numFmtId="0" fontId="34" fillId="0" borderId="15" xfId="0" applyFont="1" applyBorder="1" applyAlignment="1">
      <alignment horizontal="center" vertical="center"/>
    </xf>
    <xf numFmtId="20" fontId="0" fillId="0" borderId="0" xfId="0" applyNumberFormat="1">
      <alignment vertical="center"/>
    </xf>
    <xf numFmtId="0" fontId="0" fillId="0" borderId="0" xfId="0" applyAlignment="1">
      <alignment horizontal="center" vertical="center"/>
    </xf>
    <xf numFmtId="0" fontId="2" fillId="0" borderId="30" xfId="0" applyFont="1" applyBorder="1">
      <alignment vertical="center"/>
    </xf>
    <xf numFmtId="0" fontId="2" fillId="0" borderId="104" xfId="0" applyFont="1" applyBorder="1">
      <alignment vertical="center"/>
    </xf>
    <xf numFmtId="0" fontId="6" fillId="0" borderId="149" xfId="0" applyFont="1" applyBorder="1">
      <alignment vertical="center"/>
    </xf>
    <xf numFmtId="0" fontId="6" fillId="0" borderId="61" xfId="0" applyFont="1" applyBorder="1">
      <alignment vertical="center"/>
    </xf>
    <xf numFmtId="0" fontId="6" fillId="0" borderId="69" xfId="0" applyFont="1" applyBorder="1">
      <alignment vertical="center"/>
    </xf>
    <xf numFmtId="0" fontId="6" fillId="3" borderId="30" xfId="0" applyFont="1" applyFill="1" applyBorder="1">
      <alignment vertical="center"/>
    </xf>
    <xf numFmtId="0" fontId="6" fillId="3" borderId="104" xfId="0" applyFont="1" applyFill="1" applyBorder="1">
      <alignment vertical="center"/>
    </xf>
    <xf numFmtId="0" fontId="37" fillId="0" borderId="59" xfId="0" applyFont="1" applyBorder="1">
      <alignment vertical="center"/>
    </xf>
    <xf numFmtId="0" fontId="24" fillId="0" borderId="21" xfId="0" applyFont="1" applyBorder="1" applyAlignment="1">
      <alignment horizontal="left" vertical="center"/>
    </xf>
    <xf numFmtId="0" fontId="9" fillId="0" borderId="0" xfId="0" applyFont="1" applyAlignment="1">
      <alignment horizontal="center" vertical="center"/>
    </xf>
    <xf numFmtId="0" fontId="24" fillId="0" borderId="21" xfId="0" applyFont="1" applyBorder="1">
      <alignment vertical="center"/>
    </xf>
    <xf numFmtId="0" fontId="24" fillId="0" borderId="66" xfId="0" applyFont="1" applyBorder="1">
      <alignment vertical="center"/>
    </xf>
    <xf numFmtId="0" fontId="24" fillId="0" borderId="19" xfId="0" applyFont="1" applyBorder="1">
      <alignment vertical="center"/>
    </xf>
    <xf numFmtId="0" fontId="33" fillId="0" borderId="0" xfId="0" applyFont="1" applyAlignment="1">
      <alignment horizontal="center" vertical="center"/>
    </xf>
    <xf numFmtId="176" fontId="13" fillId="0" borderId="72" xfId="0" applyNumberFormat="1" applyFont="1" applyBorder="1">
      <alignment vertical="center"/>
    </xf>
    <xf numFmtId="176" fontId="13" fillId="0" borderId="152" xfId="0" applyNumberFormat="1" applyFont="1" applyBorder="1">
      <alignment vertical="center"/>
    </xf>
    <xf numFmtId="0" fontId="19" fillId="0" borderId="3" xfId="0" applyFont="1" applyBorder="1" applyAlignment="1">
      <alignment horizontal="center" vertical="center"/>
    </xf>
    <xf numFmtId="0" fontId="19" fillId="0" borderId="34" xfId="0" applyFont="1" applyBorder="1" applyAlignment="1">
      <alignment horizontal="center" vertical="center"/>
    </xf>
    <xf numFmtId="0" fontId="41" fillId="0" borderId="2" xfId="0" applyFont="1" applyBorder="1" applyAlignment="1">
      <alignment horizontal="center" vertical="center"/>
    </xf>
    <xf numFmtId="0" fontId="41" fillId="0" borderId="71" xfId="0" applyFont="1" applyBorder="1" applyAlignment="1">
      <alignment horizontal="center" vertical="center"/>
    </xf>
    <xf numFmtId="0" fontId="42" fillId="0" borderId="0" xfId="0" applyFont="1">
      <alignment vertical="center"/>
    </xf>
    <xf numFmtId="0" fontId="43" fillId="0" borderId="0" xfId="0" applyFont="1">
      <alignment vertical="center"/>
    </xf>
    <xf numFmtId="0" fontId="43" fillId="0" borderId="37" xfId="0" applyFont="1" applyBorder="1">
      <alignment vertical="center"/>
    </xf>
    <xf numFmtId="0" fontId="12" fillId="0" borderId="37" xfId="0" applyFont="1" applyBorder="1">
      <alignment vertical="center"/>
    </xf>
    <xf numFmtId="176" fontId="14" fillId="0" borderId="3" xfId="0" applyNumberFormat="1" applyFont="1" applyBorder="1">
      <alignment vertical="center"/>
    </xf>
    <xf numFmtId="176" fontId="14" fillId="0" borderId="59" xfId="0" applyNumberFormat="1" applyFont="1" applyBorder="1">
      <alignment vertical="center"/>
    </xf>
    <xf numFmtId="176" fontId="14" fillId="0" borderId="90" xfId="0" applyNumberFormat="1" applyFont="1" applyBorder="1">
      <alignment vertical="center"/>
    </xf>
    <xf numFmtId="176" fontId="14" fillId="0" borderId="16" xfId="0" applyNumberFormat="1" applyFont="1" applyBorder="1">
      <alignment vertical="center"/>
    </xf>
    <xf numFmtId="176" fontId="14" fillId="0" borderId="37" xfId="0" applyNumberFormat="1" applyFont="1" applyBorder="1">
      <alignment vertical="center"/>
    </xf>
    <xf numFmtId="176" fontId="40" fillId="0" borderId="2" xfId="0" applyNumberFormat="1" applyFont="1" applyBorder="1">
      <alignment vertical="center"/>
    </xf>
    <xf numFmtId="0" fontId="40" fillId="0" borderId="2" xfId="0" applyFont="1" applyBorder="1">
      <alignment vertical="center"/>
    </xf>
    <xf numFmtId="0" fontId="40" fillId="0" borderId="134" xfId="0" applyFont="1" applyBorder="1">
      <alignment vertical="center"/>
    </xf>
    <xf numFmtId="0" fontId="40" fillId="0" borderId="90" xfId="0" applyFont="1" applyBorder="1">
      <alignment vertical="center"/>
    </xf>
    <xf numFmtId="0" fontId="40" fillId="0" borderId="15" xfId="0" applyFont="1" applyBorder="1">
      <alignment vertical="center"/>
    </xf>
    <xf numFmtId="0" fontId="40" fillId="0" borderId="16" xfId="0" applyFont="1" applyBorder="1">
      <alignment vertical="center"/>
    </xf>
    <xf numFmtId="0" fontId="40" fillId="0" borderId="37" xfId="0" applyFont="1" applyBorder="1">
      <alignment vertical="center"/>
    </xf>
    <xf numFmtId="176" fontId="13" fillId="0" borderId="153" xfId="0" applyNumberFormat="1" applyFont="1" applyBorder="1">
      <alignment vertical="center"/>
    </xf>
    <xf numFmtId="176" fontId="12" fillId="0" borderId="16" xfId="0" applyNumberFormat="1" applyFont="1" applyBorder="1">
      <alignment vertical="center"/>
    </xf>
    <xf numFmtId="176" fontId="42" fillId="0" borderId="16" xfId="0" applyNumberFormat="1" applyFont="1" applyBorder="1">
      <alignment vertical="center"/>
    </xf>
    <xf numFmtId="176" fontId="43" fillId="0" borderId="16" xfId="0" applyNumberFormat="1" applyFont="1" applyBorder="1">
      <alignment vertical="center"/>
    </xf>
    <xf numFmtId="176" fontId="14" fillId="0" borderId="4" xfId="0" applyNumberFormat="1" applyFont="1" applyBorder="1">
      <alignment vertical="center"/>
    </xf>
    <xf numFmtId="176" fontId="40" fillId="0" borderId="4" xfId="0" applyNumberFormat="1" applyFont="1" applyBorder="1">
      <alignment vertical="center"/>
    </xf>
    <xf numFmtId="176" fontId="40" fillId="0" borderId="15" xfId="0" applyNumberFormat="1" applyFont="1" applyBorder="1">
      <alignment vertical="center"/>
    </xf>
    <xf numFmtId="176" fontId="40" fillId="0" borderId="16" xfId="0" applyNumberFormat="1" applyFont="1" applyBorder="1">
      <alignment vertical="center"/>
    </xf>
    <xf numFmtId="176" fontId="40" fillId="0" borderId="12" xfId="0" applyNumberFormat="1" applyFont="1" applyBorder="1">
      <alignment vertical="center"/>
    </xf>
    <xf numFmtId="176" fontId="14" fillId="0" borderId="35" xfId="0" applyNumberFormat="1" applyFont="1" applyBorder="1">
      <alignment vertical="center"/>
    </xf>
    <xf numFmtId="176" fontId="40" fillId="0" borderId="90" xfId="0" applyNumberFormat="1" applyFont="1" applyBorder="1">
      <alignment vertical="center"/>
    </xf>
    <xf numFmtId="176" fontId="40" fillId="0" borderId="35" xfId="0" applyNumberFormat="1" applyFont="1" applyBorder="1">
      <alignment vertical="center"/>
    </xf>
    <xf numFmtId="176" fontId="40" fillId="0" borderId="151" xfId="0" applyNumberFormat="1" applyFont="1" applyBorder="1">
      <alignment vertical="center"/>
    </xf>
    <xf numFmtId="0" fontId="24" fillId="0" borderId="67" xfId="0" applyFont="1" applyBorder="1">
      <alignment vertical="center"/>
    </xf>
    <xf numFmtId="0" fontId="24" fillId="0" borderId="60" xfId="0" applyFont="1" applyBorder="1">
      <alignment vertical="center"/>
    </xf>
    <xf numFmtId="0" fontId="25" fillId="0" borderId="113" xfId="0" applyFont="1" applyBorder="1">
      <alignment vertical="center"/>
    </xf>
    <xf numFmtId="0" fontId="25" fillId="0" borderId="4" xfId="0" applyFont="1" applyBorder="1">
      <alignment vertical="center"/>
    </xf>
    <xf numFmtId="0" fontId="44" fillId="0" borderId="3" xfId="0" applyFont="1" applyBorder="1" applyAlignment="1" applyProtection="1">
      <alignment horizontal="centerContinuous" vertical="center"/>
      <protection locked="0"/>
    </xf>
    <xf numFmtId="0" fontId="6" fillId="0" borderId="12" xfId="0" applyFont="1" applyBorder="1">
      <alignment vertical="center"/>
    </xf>
    <xf numFmtId="0" fontId="30" fillId="0" borderId="6" xfId="0" applyFont="1" applyBorder="1">
      <alignment vertical="center"/>
    </xf>
    <xf numFmtId="0" fontId="8" fillId="0" borderId="1" xfId="0" applyFont="1" applyBorder="1">
      <alignment vertical="center"/>
    </xf>
    <xf numFmtId="0" fontId="30" fillId="0" borderId="0" xfId="0" applyFont="1">
      <alignment vertical="center"/>
    </xf>
    <xf numFmtId="9" fontId="6" fillId="0" borderId="120" xfId="0" applyNumberFormat="1" applyFont="1" applyBorder="1" applyAlignment="1">
      <alignment horizontal="centerContinuous" vertical="center"/>
    </xf>
    <xf numFmtId="0" fontId="25" fillId="0" borderId="126" xfId="0" applyFont="1" applyBorder="1">
      <alignment vertical="center"/>
    </xf>
    <xf numFmtId="0" fontId="25" fillId="0" borderId="127" xfId="0" applyFont="1" applyBorder="1">
      <alignment vertical="center"/>
    </xf>
    <xf numFmtId="0" fontId="25" fillId="0" borderId="119" xfId="0" applyFont="1" applyBorder="1">
      <alignment vertical="center"/>
    </xf>
    <xf numFmtId="0" fontId="30" fillId="0" borderId="15" xfId="0" applyFont="1" applyBorder="1">
      <alignment vertical="center"/>
    </xf>
    <xf numFmtId="0" fontId="8" fillId="0" borderId="144" xfId="0" applyFont="1" applyBorder="1">
      <alignment vertical="center"/>
    </xf>
    <xf numFmtId="0" fontId="25" fillId="0" borderId="143" xfId="0" applyFont="1" applyBorder="1">
      <alignment vertical="center"/>
    </xf>
    <xf numFmtId="0" fontId="6" fillId="0" borderId="30" xfId="0" applyFont="1" applyBorder="1" applyAlignment="1">
      <alignment horizontal="centerContinuous" vertical="center"/>
    </xf>
    <xf numFmtId="0" fontId="6" fillId="0" borderId="23" xfId="0" applyFont="1" applyBorder="1" applyAlignment="1">
      <alignment horizontal="centerContinuous" vertical="center"/>
    </xf>
    <xf numFmtId="0" fontId="7" fillId="0" borderId="125" xfId="0" applyFont="1" applyBorder="1" applyAlignment="1">
      <alignment horizontal="center" vertical="center"/>
    </xf>
    <xf numFmtId="0" fontId="6" fillId="0" borderId="69" xfId="0" applyFont="1" applyBorder="1" applyAlignment="1">
      <alignment horizontal="centerContinuous" vertical="center"/>
    </xf>
    <xf numFmtId="0" fontId="25" fillId="0" borderId="75" xfId="0" applyFont="1" applyBorder="1" applyAlignment="1">
      <alignment horizontal="center" vertical="center"/>
    </xf>
    <xf numFmtId="0" fontId="25" fillId="0" borderId="21" xfId="0" applyFont="1" applyBorder="1" applyAlignment="1">
      <alignment horizontal="center" vertical="center"/>
    </xf>
    <xf numFmtId="0" fontId="25" fillId="0" borderId="100" xfId="0" applyFont="1" applyBorder="1" applyAlignment="1">
      <alignment horizontal="center" vertical="center"/>
    </xf>
    <xf numFmtId="0" fontId="25" fillId="0" borderId="113" xfId="0" applyFont="1" applyBorder="1" applyAlignment="1">
      <alignment horizontal="center" vertical="center"/>
    </xf>
    <xf numFmtId="0" fontId="25" fillId="0" borderId="114" xfId="0" applyFont="1" applyBorder="1" applyAlignment="1">
      <alignment horizontal="center" vertical="center"/>
    </xf>
    <xf numFmtId="0" fontId="25" fillId="0" borderId="136" xfId="0" applyFont="1" applyBorder="1" applyAlignment="1">
      <alignment horizontal="center" vertical="center"/>
    </xf>
    <xf numFmtId="0" fontId="24" fillId="0" borderId="113" xfId="0" applyFont="1" applyBorder="1" applyAlignment="1">
      <alignment horizontal="center" vertical="center"/>
    </xf>
    <xf numFmtId="0" fontId="24" fillId="0" borderId="75" xfId="0" applyFont="1" applyBorder="1" applyAlignment="1">
      <alignment horizontal="center" vertical="center"/>
    </xf>
    <xf numFmtId="0" fontId="24" fillId="0" borderId="136" xfId="0" applyFont="1" applyBorder="1" applyAlignment="1">
      <alignment horizontal="center" vertical="center"/>
    </xf>
    <xf numFmtId="0" fontId="25" fillId="0" borderId="7" xfId="0" applyFont="1" applyBorder="1" applyAlignment="1">
      <alignment horizontal="left" vertical="center"/>
    </xf>
    <xf numFmtId="0" fontId="25" fillId="0" borderId="136" xfId="0" applyFont="1" applyBorder="1" applyAlignment="1">
      <alignment horizontal="left" vertical="center"/>
    </xf>
    <xf numFmtId="0" fontId="6" fillId="0" borderId="104" xfId="0" applyFont="1" applyBorder="1" applyAlignment="1">
      <alignment horizontal="center" vertical="center"/>
    </xf>
    <xf numFmtId="0" fontId="7" fillId="0" borderId="113" xfId="0" applyFont="1" applyBorder="1" applyAlignment="1">
      <alignment horizontal="center" vertical="top"/>
    </xf>
    <xf numFmtId="0" fontId="45" fillId="0" borderId="59" xfId="0" applyFont="1" applyBorder="1">
      <alignment vertical="center"/>
    </xf>
    <xf numFmtId="0" fontId="45" fillId="0" borderId="6" xfId="0" applyFont="1" applyBorder="1">
      <alignment vertical="center"/>
    </xf>
    <xf numFmtId="0" fontId="45" fillId="0" borderId="2" xfId="0" applyFont="1" applyBorder="1">
      <alignment vertical="center"/>
    </xf>
    <xf numFmtId="0" fontId="45" fillId="0" borderId="3" xfId="0" applyFont="1" applyBorder="1">
      <alignment vertical="center"/>
    </xf>
    <xf numFmtId="0" fontId="46" fillId="0" borderId="17" xfId="0" applyFont="1" applyBorder="1">
      <alignment vertical="center"/>
    </xf>
    <xf numFmtId="0" fontId="45" fillId="0" borderId="8" xfId="0" applyFont="1" applyBorder="1">
      <alignment vertical="center"/>
    </xf>
    <xf numFmtId="0" fontId="7" fillId="0" borderId="0" xfId="0" applyFont="1" applyAlignment="1">
      <alignment horizontal="center" vertical="center"/>
    </xf>
    <xf numFmtId="0" fontId="38" fillId="0" borderId="1" xfId="0" applyFont="1" applyBorder="1" applyAlignment="1">
      <alignment horizontal="centerContinuous" vertical="top"/>
    </xf>
    <xf numFmtId="0" fontId="7" fillId="0" borderId="144" xfId="0" applyFont="1" applyBorder="1" applyAlignment="1">
      <alignment horizontal="centerContinuous" vertical="top"/>
    </xf>
    <xf numFmtId="0" fontId="7" fillId="0" borderId="1" xfId="0" applyFont="1" applyBorder="1" applyAlignment="1">
      <alignment horizontal="centerContinuous" vertical="top"/>
    </xf>
    <xf numFmtId="0" fontId="7" fillId="0" borderId="125" xfId="0" applyFont="1" applyBorder="1" applyAlignment="1">
      <alignment horizontal="centerContinuous" vertical="top"/>
    </xf>
    <xf numFmtId="0" fontId="20" fillId="0" borderId="0" xfId="0" applyFont="1" applyAlignment="1">
      <alignment horizontal="center" vertical="center"/>
    </xf>
    <xf numFmtId="0" fontId="20" fillId="0" borderId="113" xfId="0" applyFont="1" applyBorder="1" applyAlignment="1">
      <alignment horizontal="center" vertical="center"/>
    </xf>
    <xf numFmtId="0" fontId="44" fillId="0" borderId="0" xfId="0" applyFont="1" applyAlignment="1" applyProtection="1">
      <alignment horizontal="center" vertical="center"/>
      <protection locked="0"/>
    </xf>
    <xf numFmtId="0" fontId="6" fillId="0" borderId="140" xfId="0" applyFont="1" applyBorder="1" applyAlignment="1">
      <alignment horizontal="center" vertical="center"/>
    </xf>
    <xf numFmtId="0" fontId="7" fillId="0" borderId="15" xfId="0" applyFont="1" applyBorder="1">
      <alignment vertical="center"/>
    </xf>
    <xf numFmtId="0" fontId="6" fillId="0" borderId="95" xfId="0" applyFont="1" applyBorder="1" applyAlignment="1">
      <alignment horizontal="centerContinuous" vertical="center"/>
    </xf>
    <xf numFmtId="0" fontId="0" fillId="0" borderId="148" xfId="0" applyBorder="1" applyAlignment="1">
      <alignment horizontal="centerContinuous" vertical="center"/>
    </xf>
    <xf numFmtId="0" fontId="0" fillId="0" borderId="137" xfId="0" applyBorder="1" applyAlignment="1">
      <alignment horizontal="center" vertical="center"/>
    </xf>
    <xf numFmtId="0" fontId="47" fillId="0" borderId="6" xfId="0" applyFont="1" applyBorder="1">
      <alignment vertical="center"/>
    </xf>
    <xf numFmtId="0" fontId="6" fillId="0" borderId="113" xfId="0" applyFont="1" applyBorder="1" applyAlignment="1">
      <alignment horizontal="center" vertical="top"/>
    </xf>
    <xf numFmtId="0" fontId="35" fillId="0" borderId="139" xfId="0" applyFont="1" applyBorder="1">
      <alignment vertical="center"/>
    </xf>
    <xf numFmtId="0" fontId="13" fillId="0" borderId="103" xfId="0" applyFont="1" applyBorder="1">
      <alignment vertical="center"/>
    </xf>
    <xf numFmtId="0" fontId="31" fillId="0" borderId="129" xfId="0" applyFont="1" applyBorder="1">
      <alignment vertical="center"/>
    </xf>
    <xf numFmtId="0" fontId="13" fillId="0" borderId="98" xfId="0" applyFont="1" applyBorder="1">
      <alignment vertical="center"/>
    </xf>
    <xf numFmtId="0" fontId="13" fillId="0" borderId="159" xfId="0" applyFont="1" applyBorder="1">
      <alignment vertical="center"/>
    </xf>
    <xf numFmtId="0" fontId="0" fillId="0" borderId="161" xfId="0" applyBorder="1">
      <alignment vertical="center"/>
    </xf>
    <xf numFmtId="0" fontId="0" fillId="0" borderId="162" xfId="0" applyBorder="1">
      <alignment vertical="center"/>
    </xf>
    <xf numFmtId="0" fontId="0" fillId="6" borderId="162" xfId="0" applyFill="1" applyBorder="1">
      <alignment vertical="center"/>
    </xf>
    <xf numFmtId="0" fontId="0" fillId="5" borderId="162" xfId="0" applyFill="1" applyBorder="1">
      <alignment vertical="center"/>
    </xf>
    <xf numFmtId="0" fontId="0" fillId="7" borderId="162" xfId="0" applyFill="1" applyBorder="1">
      <alignment vertical="center"/>
    </xf>
    <xf numFmtId="0" fontId="0" fillId="7" borderId="163" xfId="0" applyFill="1" applyBorder="1">
      <alignment vertical="center"/>
    </xf>
    <xf numFmtId="0" fontId="0" fillId="0" borderId="12" xfId="0" applyBorder="1">
      <alignment vertical="center"/>
    </xf>
    <xf numFmtId="0" fontId="0" fillId="0" borderId="14" xfId="0" applyBorder="1">
      <alignment vertical="center"/>
    </xf>
    <xf numFmtId="0" fontId="0" fillId="0" borderId="131" xfId="0" applyBorder="1">
      <alignment vertical="center"/>
    </xf>
    <xf numFmtId="0" fontId="0" fillId="0" borderId="164" xfId="0" applyBorder="1">
      <alignment vertical="center"/>
    </xf>
    <xf numFmtId="0" fontId="0" fillId="0" borderId="129" xfId="0" applyBorder="1">
      <alignment vertical="center"/>
    </xf>
    <xf numFmtId="0" fontId="0" fillId="0" borderId="65" xfId="0" applyBorder="1">
      <alignment vertical="center"/>
    </xf>
    <xf numFmtId="0" fontId="0" fillId="0" borderId="122" xfId="0" applyBorder="1">
      <alignment vertical="center"/>
    </xf>
    <xf numFmtId="0" fontId="46" fillId="0" borderId="6" xfId="0" applyFont="1" applyBorder="1">
      <alignment vertical="center"/>
    </xf>
    <xf numFmtId="0" fontId="25" fillId="0" borderId="3" xfId="0" applyFont="1" applyBorder="1" applyAlignment="1">
      <alignment horizontal="left" vertical="center"/>
    </xf>
    <xf numFmtId="0" fontId="48" fillId="0" borderId="4" xfId="0" applyFont="1" applyBorder="1" applyAlignment="1" applyProtection="1">
      <alignment horizontal="centerContinuous" vertical="center"/>
      <protection locked="0"/>
    </xf>
    <xf numFmtId="0" fontId="48" fillId="0" borderId="3" xfId="0" applyFont="1" applyBorder="1" applyAlignment="1" applyProtection="1">
      <alignment horizontal="centerContinuous" vertical="center"/>
      <protection locked="0"/>
    </xf>
    <xf numFmtId="0" fontId="25" fillId="0" borderId="9" xfId="0" applyFont="1" applyBorder="1">
      <alignment vertical="center"/>
    </xf>
    <xf numFmtId="0" fontId="24" fillId="0" borderId="21" xfId="0" applyFont="1" applyBorder="1" applyAlignment="1">
      <alignment horizontal="center" vertical="center"/>
    </xf>
    <xf numFmtId="0" fontId="7" fillId="0" borderId="114" xfId="0" applyFont="1" applyBorder="1" applyAlignment="1">
      <alignment horizontal="center" vertical="top"/>
    </xf>
    <xf numFmtId="0" fontId="7" fillId="0" borderId="0" xfId="0" applyFont="1" applyAlignment="1">
      <alignment horizontal="center" vertical="top"/>
    </xf>
    <xf numFmtId="0" fontId="26" fillId="0" borderId="2" xfId="0" applyFont="1" applyBorder="1">
      <alignment vertical="center"/>
    </xf>
    <xf numFmtId="0" fontId="6" fillId="0" borderId="163" xfId="0" applyFont="1" applyBorder="1">
      <alignment vertical="center"/>
    </xf>
    <xf numFmtId="0" fontId="6" fillId="3" borderId="116" xfId="0" applyFont="1" applyFill="1" applyBorder="1">
      <alignment vertical="center"/>
    </xf>
    <xf numFmtId="0" fontId="6" fillId="0" borderId="165" xfId="0" applyFont="1" applyBorder="1">
      <alignment vertical="center"/>
    </xf>
    <xf numFmtId="0" fontId="6" fillId="0" borderId="147" xfId="0" applyFont="1" applyBorder="1">
      <alignment vertical="center"/>
    </xf>
    <xf numFmtId="0" fontId="6" fillId="0" borderId="121" xfId="0" applyFont="1" applyBorder="1">
      <alignment vertical="center"/>
    </xf>
    <xf numFmtId="0" fontId="6" fillId="0" borderId="166" xfId="0" applyFont="1" applyBorder="1">
      <alignment vertical="center"/>
    </xf>
    <xf numFmtId="0" fontId="2" fillId="0" borderId="146" xfId="0" applyFont="1" applyBorder="1">
      <alignment vertical="center"/>
    </xf>
    <xf numFmtId="0" fontId="2" fillId="0" borderId="147" xfId="0" applyFont="1" applyBorder="1">
      <alignment vertical="center"/>
    </xf>
    <xf numFmtId="0" fontId="2" fillId="0" borderId="167" xfId="0" applyFont="1" applyBorder="1">
      <alignment vertical="center"/>
    </xf>
    <xf numFmtId="0" fontId="2" fillId="0" borderId="0" xfId="0" applyFont="1" applyAlignment="1">
      <alignment horizontal="center" vertical="center"/>
    </xf>
    <xf numFmtId="0" fontId="2" fillId="0" borderId="145" xfId="0" applyFont="1" applyBorder="1">
      <alignment vertical="center"/>
    </xf>
    <xf numFmtId="0" fontId="2" fillId="0" borderId="148" xfId="0" applyFont="1" applyBorder="1" applyAlignment="1">
      <alignment horizontal="centerContinuous" vertical="center"/>
    </xf>
    <xf numFmtId="0" fontId="2" fillId="0" borderId="137" xfId="0" applyFont="1" applyBorder="1" applyAlignment="1">
      <alignment horizontal="center" vertical="center"/>
    </xf>
    <xf numFmtId="0" fontId="9" fillId="0" borderId="3" xfId="0" applyFont="1" applyBorder="1" applyAlignment="1" applyProtection="1">
      <alignment horizontal="centerContinuous" vertical="center"/>
      <protection locked="0"/>
    </xf>
    <xf numFmtId="0" fontId="22" fillId="0" borderId="3" xfId="0" applyFont="1" applyBorder="1" applyAlignment="1" applyProtection="1">
      <alignment horizontal="centerContinuous" vertical="center"/>
      <protection locked="0"/>
    </xf>
    <xf numFmtId="0" fontId="22" fillId="0" borderId="4" xfId="0" applyFont="1" applyBorder="1" applyAlignment="1" applyProtection="1">
      <alignment horizontal="centerContinuous" vertical="center"/>
      <protection locked="0"/>
    </xf>
    <xf numFmtId="0" fontId="7" fillId="0" borderId="59" xfId="0" applyFont="1" applyBorder="1">
      <alignment vertical="center"/>
    </xf>
    <xf numFmtId="0" fontId="7" fillId="0" borderId="2" xfId="0" applyFont="1" applyBorder="1">
      <alignment vertical="center"/>
    </xf>
    <xf numFmtId="0" fontId="6" fillId="0" borderId="100" xfId="0" applyFont="1" applyBorder="1" applyAlignment="1">
      <alignment horizontal="center" vertical="center"/>
    </xf>
    <xf numFmtId="0" fontId="8" fillId="0" borderId="2" xfId="0" applyFont="1" applyBorder="1">
      <alignment vertical="center"/>
    </xf>
    <xf numFmtId="0" fontId="7" fillId="0" borderId="8" xfId="0" applyFont="1" applyBorder="1">
      <alignment vertical="center"/>
    </xf>
    <xf numFmtId="0" fontId="7" fillId="0" borderId="6" xfId="0" applyFont="1" applyBorder="1">
      <alignment vertical="center"/>
    </xf>
    <xf numFmtId="0" fontId="7" fillId="0" borderId="3" xfId="0" applyFont="1" applyBorder="1">
      <alignment vertical="center"/>
    </xf>
    <xf numFmtId="0" fontId="6" fillId="0" borderId="6" xfId="0" applyFont="1" applyBorder="1">
      <alignment vertical="center"/>
    </xf>
    <xf numFmtId="0" fontId="6" fillId="0" borderId="3" xfId="0" applyFont="1" applyBorder="1">
      <alignment vertical="center"/>
    </xf>
    <xf numFmtId="0" fontId="6" fillId="0" borderId="21" xfId="0" applyFont="1" applyBorder="1">
      <alignment vertical="center"/>
    </xf>
    <xf numFmtId="0" fontId="2" fillId="0" borderId="3" xfId="0" applyFont="1" applyBorder="1">
      <alignment vertical="center"/>
    </xf>
    <xf numFmtId="0" fontId="6" fillId="0" borderId="59" xfId="0" applyFont="1" applyBorder="1">
      <alignment vertical="center"/>
    </xf>
    <xf numFmtId="0" fontId="6" fillId="0" borderId="114" xfId="0" applyFont="1" applyBorder="1" applyAlignment="1">
      <alignment horizontal="center" vertical="center"/>
    </xf>
    <xf numFmtId="0" fontId="6" fillId="0" borderId="9" xfId="0" applyFont="1" applyBorder="1">
      <alignment vertical="center"/>
    </xf>
    <xf numFmtId="0" fontId="6" fillId="0" borderId="7" xfId="0" applyFont="1" applyBorder="1" applyAlignment="1">
      <alignment horizontal="left" vertical="center"/>
    </xf>
    <xf numFmtId="0" fontId="6" fillId="0" borderId="136" xfId="0" applyFont="1" applyBorder="1" applyAlignment="1">
      <alignment horizontal="left" vertical="center"/>
    </xf>
    <xf numFmtId="0" fontId="6" fillId="0" borderId="4" xfId="0" applyFont="1" applyBorder="1">
      <alignment vertical="center"/>
    </xf>
    <xf numFmtId="0" fontId="6" fillId="0" borderId="7" xfId="0" applyFont="1" applyBorder="1">
      <alignment vertical="center"/>
    </xf>
    <xf numFmtId="0" fontId="38" fillId="0" borderId="17" xfId="0" applyFont="1" applyBorder="1">
      <alignment vertical="center"/>
    </xf>
    <xf numFmtId="0" fontId="38" fillId="0" borderId="6" xfId="0" applyFont="1" applyBorder="1">
      <alignment vertical="center"/>
    </xf>
    <xf numFmtId="0" fontId="2" fillId="0" borderId="6" xfId="0" applyFont="1" applyBorder="1">
      <alignment vertical="center"/>
    </xf>
    <xf numFmtId="0" fontId="9" fillId="0" borderId="6" xfId="0" applyFont="1" applyBorder="1">
      <alignment vertical="center"/>
    </xf>
    <xf numFmtId="20" fontId="2" fillId="0" borderId="0" xfId="0" applyNumberFormat="1" applyFont="1">
      <alignment vertical="center"/>
    </xf>
    <xf numFmtId="0" fontId="6" fillId="0" borderId="119" xfId="0" applyFont="1" applyBorder="1">
      <alignment vertical="center"/>
    </xf>
    <xf numFmtId="0" fontId="6" fillId="0" borderId="143" xfId="0" applyFont="1" applyBorder="1">
      <alignment vertical="center"/>
    </xf>
    <xf numFmtId="0" fontId="6" fillId="0" borderId="3" xfId="0" applyFont="1" applyBorder="1" applyAlignment="1">
      <alignment horizontal="left" vertical="center"/>
    </xf>
    <xf numFmtId="0" fontId="9" fillId="0" borderId="0" xfId="0" applyFont="1" applyAlignment="1" applyProtection="1">
      <alignment horizontal="center" vertical="center"/>
      <protection locked="0"/>
    </xf>
    <xf numFmtId="0" fontId="2" fillId="0" borderId="17" xfId="0" applyFont="1" applyBorder="1">
      <alignment vertical="center"/>
    </xf>
    <xf numFmtId="0" fontId="6" fillId="0" borderId="126" xfId="0" applyFont="1" applyBorder="1">
      <alignment vertical="center"/>
    </xf>
    <xf numFmtId="0" fontId="2" fillId="0" borderId="19" xfId="0" applyFont="1" applyBorder="1">
      <alignment vertical="center"/>
    </xf>
    <xf numFmtId="0" fontId="2" fillId="0" borderId="21" xfId="0" applyFont="1" applyBorder="1">
      <alignment vertical="center"/>
    </xf>
    <xf numFmtId="0" fontId="2" fillId="0" borderId="3" xfId="0" applyFont="1" applyBorder="1" applyAlignment="1">
      <alignment horizontal="left" vertical="center"/>
    </xf>
    <xf numFmtId="0" fontId="2" fillId="0" borderId="21" xfId="0" applyFont="1" applyBorder="1" applyAlignment="1">
      <alignment horizontal="left" vertical="center"/>
    </xf>
    <xf numFmtId="0" fontId="6" fillId="0" borderId="127" xfId="0" applyFont="1" applyBorder="1">
      <alignment vertical="center"/>
    </xf>
    <xf numFmtId="0" fontId="2" fillId="0" borderId="59" xfId="0" applyFont="1" applyBorder="1">
      <alignment vertical="center"/>
    </xf>
    <xf numFmtId="0" fontId="2" fillId="0" borderId="4" xfId="0" applyFont="1" applyBorder="1">
      <alignment vertical="center"/>
    </xf>
    <xf numFmtId="0" fontId="2" fillId="0" borderId="66" xfId="0" applyFont="1" applyBorder="1">
      <alignment vertical="center"/>
    </xf>
    <xf numFmtId="0" fontId="45" fillId="0" borderId="15" xfId="0" applyFont="1" applyBorder="1">
      <alignment vertical="center"/>
    </xf>
    <xf numFmtId="0" fontId="6" fillId="0" borderId="75" xfId="0" applyFont="1" applyBorder="1">
      <alignment vertical="center"/>
    </xf>
    <xf numFmtId="0" fontId="6" fillId="0" borderId="113" xfId="0" applyFont="1" applyBorder="1">
      <alignment vertical="center"/>
    </xf>
    <xf numFmtId="0" fontId="7" fillId="0" borderId="114" xfId="0" applyFont="1" applyBorder="1" applyAlignment="1">
      <alignment vertical="top"/>
    </xf>
    <xf numFmtId="0" fontId="6" fillId="0" borderId="136" xfId="0" applyFont="1" applyBorder="1">
      <alignment vertical="center"/>
    </xf>
    <xf numFmtId="0" fontId="6" fillId="0" borderId="113" xfId="0" applyFont="1" applyBorder="1" applyAlignment="1">
      <alignment vertical="top"/>
    </xf>
    <xf numFmtId="0" fontId="7" fillId="0" borderId="0" xfId="0" applyFont="1" applyAlignment="1">
      <alignment vertical="top"/>
    </xf>
    <xf numFmtId="0" fontId="7" fillId="0" borderId="113" xfId="0" applyFont="1" applyBorder="1" applyAlignment="1">
      <alignment vertical="top"/>
    </xf>
    <xf numFmtId="0" fontId="7" fillId="0" borderId="125" xfId="0" applyFont="1" applyBorder="1">
      <alignment vertical="center"/>
    </xf>
    <xf numFmtId="0" fontId="2" fillId="0" borderId="67" xfId="0" applyFont="1" applyBorder="1">
      <alignment vertical="center"/>
    </xf>
    <xf numFmtId="0" fontId="2" fillId="0" borderId="60" xfId="0" applyFont="1" applyBorder="1">
      <alignment vertical="center"/>
    </xf>
    <xf numFmtId="0" fontId="6" fillId="0" borderId="100" xfId="0" applyFont="1" applyBorder="1">
      <alignment vertical="center"/>
    </xf>
    <xf numFmtId="0" fontId="6" fillId="0" borderId="114" xfId="0" applyFont="1" applyBorder="1">
      <alignment vertical="center"/>
    </xf>
    <xf numFmtId="0" fontId="2" fillId="0" borderId="75" xfId="0" applyFont="1" applyBorder="1">
      <alignment vertical="center"/>
    </xf>
    <xf numFmtId="0" fontId="2" fillId="0" borderId="113" xfId="0" applyFont="1" applyBorder="1">
      <alignment vertical="center"/>
    </xf>
    <xf numFmtId="0" fontId="2" fillId="0" borderId="136" xfId="0" applyFont="1" applyBorder="1">
      <alignment vertical="center"/>
    </xf>
    <xf numFmtId="0" fontId="47" fillId="0" borderId="0" xfId="0" applyFont="1">
      <alignment vertical="center"/>
    </xf>
    <xf numFmtId="0" fontId="49" fillId="0" borderId="0" xfId="0" applyFont="1">
      <alignment vertical="center"/>
    </xf>
    <xf numFmtId="0" fontId="19" fillId="0" borderId="59" xfId="0" applyFont="1" applyBorder="1" applyAlignment="1">
      <alignment horizontal="center" vertical="center"/>
    </xf>
    <xf numFmtId="176" fontId="40" fillId="0" borderId="3" xfId="0" applyNumberFormat="1" applyFont="1" applyBorder="1">
      <alignment vertical="center"/>
    </xf>
    <xf numFmtId="176" fontId="40" fillId="0" borderId="34" xfId="0" applyNumberFormat="1" applyFont="1" applyBorder="1">
      <alignment vertical="center"/>
    </xf>
    <xf numFmtId="176" fontId="13" fillId="0" borderId="159" xfId="0" applyNumberFormat="1" applyFont="1" applyBorder="1">
      <alignment vertical="center"/>
    </xf>
    <xf numFmtId="0" fontId="23" fillId="0" borderId="16" xfId="0" applyFont="1" applyBorder="1">
      <alignment vertical="center"/>
    </xf>
    <xf numFmtId="0" fontId="0" fillId="0" borderId="114" xfId="0" applyBorder="1">
      <alignment vertical="center"/>
    </xf>
    <xf numFmtId="0" fontId="0" fillId="0" borderId="25" xfId="0" applyBorder="1">
      <alignment vertical="center"/>
    </xf>
    <xf numFmtId="0" fontId="0" fillId="0" borderId="100" xfId="0" applyBorder="1">
      <alignment vertical="center"/>
    </xf>
    <xf numFmtId="0" fontId="0" fillId="0" borderId="61" xfId="0" applyBorder="1">
      <alignment vertical="center"/>
    </xf>
    <xf numFmtId="0" fontId="0" fillId="0" borderId="103" xfId="0" applyBorder="1">
      <alignment vertical="center"/>
    </xf>
    <xf numFmtId="0" fontId="0" fillId="0" borderId="69" xfId="0" applyBorder="1">
      <alignment vertical="center"/>
    </xf>
    <xf numFmtId="0" fontId="0" fillId="0" borderId="172" xfId="0" applyBorder="1">
      <alignment vertical="center"/>
    </xf>
    <xf numFmtId="0" fontId="0" fillId="0" borderId="101" xfId="0" applyBorder="1">
      <alignment vertical="center"/>
    </xf>
    <xf numFmtId="0" fontId="0" fillId="0" borderId="77" xfId="0" applyBorder="1">
      <alignment vertical="center"/>
    </xf>
    <xf numFmtId="0" fontId="7" fillId="0" borderId="136" xfId="0" applyFont="1" applyBorder="1" applyAlignment="1">
      <alignment horizontal="center" vertical="center"/>
    </xf>
    <xf numFmtId="0" fontId="6" fillId="0" borderId="105" xfId="0" applyFont="1" applyBorder="1" applyAlignment="1">
      <alignment horizontal="right" vertical="center"/>
    </xf>
    <xf numFmtId="0" fontId="6" fillId="0" borderId="138" xfId="0" applyFont="1" applyBorder="1" applyAlignment="1">
      <alignment horizontal="center" vertical="center"/>
    </xf>
    <xf numFmtId="0" fontId="20" fillId="0" borderId="138" xfId="0" applyFont="1" applyBorder="1" applyAlignment="1">
      <alignment horizontal="center" vertical="center"/>
    </xf>
    <xf numFmtId="0" fontId="6" fillId="0" borderId="28" xfId="0" applyFont="1" applyBorder="1" applyAlignment="1">
      <alignment horizontal="centerContinuous" vertical="center"/>
    </xf>
    <xf numFmtId="0" fontId="6" fillId="0" borderId="23" xfId="0" applyFont="1" applyBorder="1" applyAlignment="1">
      <alignment horizontal="center" vertical="center"/>
    </xf>
    <xf numFmtId="0" fontId="25" fillId="0" borderId="129" xfId="0" applyFont="1" applyBorder="1">
      <alignment vertical="center"/>
    </xf>
    <xf numFmtId="0" fontId="3" fillId="0" borderId="0" xfId="0" applyFont="1">
      <alignment vertical="center"/>
    </xf>
    <xf numFmtId="0" fontId="30" fillId="0" borderId="113" xfId="0" applyFont="1" applyBorder="1">
      <alignment vertical="center"/>
    </xf>
    <xf numFmtId="0" fontId="6" fillId="3" borderId="113" xfId="0" applyFont="1" applyFill="1" applyBorder="1">
      <alignment vertical="center"/>
    </xf>
    <xf numFmtId="0" fontId="44" fillId="0" borderId="113" xfId="0" applyFont="1" applyBorder="1">
      <alignment vertical="center"/>
    </xf>
    <xf numFmtId="0" fontId="9" fillId="0" borderId="0" xfId="0" applyFont="1">
      <alignment vertical="center"/>
    </xf>
    <xf numFmtId="0" fontId="6" fillId="0" borderId="161" xfId="0" applyFont="1" applyBorder="1">
      <alignment vertical="center"/>
    </xf>
    <xf numFmtId="0" fontId="2" fillId="0" borderId="107" xfId="0" applyFont="1" applyBorder="1">
      <alignment vertical="center"/>
    </xf>
    <xf numFmtId="0" fontId="45" fillId="0" borderId="0" xfId="0" applyFont="1">
      <alignment vertical="center"/>
    </xf>
    <xf numFmtId="0" fontId="0" fillId="0" borderId="158" xfId="0" applyBorder="1">
      <alignment vertical="center"/>
    </xf>
    <xf numFmtId="177" fontId="0" fillId="0" borderId="173" xfId="0" applyNumberFormat="1" applyBorder="1">
      <alignment vertical="center"/>
    </xf>
    <xf numFmtId="177" fontId="0" fillId="0" borderId="95" xfId="0" applyNumberFormat="1" applyBorder="1">
      <alignment vertical="center"/>
    </xf>
    <xf numFmtId="0" fontId="0" fillId="0" borderId="7" xfId="0" applyBorder="1">
      <alignment vertical="center"/>
    </xf>
    <xf numFmtId="0" fontId="0" fillId="0" borderId="136" xfId="0" applyBorder="1">
      <alignment vertical="center"/>
    </xf>
    <xf numFmtId="0" fontId="0" fillId="0" borderId="108" xfId="0" applyBorder="1">
      <alignment vertical="center"/>
    </xf>
    <xf numFmtId="177" fontId="0" fillId="8" borderId="173" xfId="0" applyNumberFormat="1" applyFill="1" applyBorder="1">
      <alignment vertical="center"/>
    </xf>
    <xf numFmtId="0" fontId="0" fillId="8" borderId="136" xfId="0" applyFill="1" applyBorder="1">
      <alignment vertical="center"/>
    </xf>
    <xf numFmtId="0" fontId="0" fillId="8" borderId="0" xfId="0" applyFill="1">
      <alignment vertical="center"/>
    </xf>
    <xf numFmtId="0" fontId="52" fillId="0" borderId="0" xfId="0" applyFont="1">
      <alignment vertical="center"/>
    </xf>
    <xf numFmtId="0" fontId="52" fillId="8" borderId="136" xfId="0" applyFont="1" applyFill="1" applyBorder="1">
      <alignment vertical="center"/>
    </xf>
    <xf numFmtId="0" fontId="52" fillId="0" borderId="136" xfId="0" applyFont="1" applyBorder="1">
      <alignment vertical="center"/>
    </xf>
    <xf numFmtId="178" fontId="0" fillId="0" borderId="158" xfId="0" applyNumberFormat="1" applyBorder="1">
      <alignment vertical="center"/>
    </xf>
    <xf numFmtId="0" fontId="0" fillId="8" borderId="7" xfId="0" applyFill="1" applyBorder="1">
      <alignment vertical="center"/>
    </xf>
    <xf numFmtId="0" fontId="53" fillId="0" borderId="0" xfId="0" applyFont="1">
      <alignment vertical="center"/>
    </xf>
    <xf numFmtId="0" fontId="0" fillId="0" borderId="174" xfId="0" applyBorder="1">
      <alignment vertical="center"/>
    </xf>
    <xf numFmtId="0" fontId="0" fillId="0" borderId="115" xfId="0" applyBorder="1">
      <alignment vertical="center"/>
    </xf>
    <xf numFmtId="0" fontId="0" fillId="0" borderId="175" xfId="0" applyBorder="1">
      <alignment vertical="center"/>
    </xf>
    <xf numFmtId="178" fontId="0" fillId="0" borderId="0" xfId="0" applyNumberFormat="1">
      <alignment vertical="center"/>
    </xf>
    <xf numFmtId="177" fontId="0" fillId="0" borderId="0" xfId="0" applyNumberFormat="1">
      <alignment vertical="center"/>
    </xf>
    <xf numFmtId="0" fontId="52" fillId="0" borderId="108" xfId="0" applyFont="1" applyBorder="1">
      <alignment vertical="center"/>
    </xf>
    <xf numFmtId="0" fontId="2" fillId="0" borderId="145" xfId="0" applyFont="1" applyBorder="1" applyAlignment="1">
      <alignment horizontal="right" vertical="center"/>
    </xf>
    <xf numFmtId="0" fontId="6" fillId="0" borderId="149" xfId="0" applyFont="1" applyBorder="1" applyAlignment="1">
      <alignment horizontal="right" vertical="center"/>
    </xf>
    <xf numFmtId="0" fontId="6" fillId="0" borderId="145" xfId="0" applyFont="1" applyBorder="1" applyAlignment="1">
      <alignment horizontal="right" vertical="center"/>
    </xf>
    <xf numFmtId="0" fontId="2" fillId="0" borderId="162" xfId="0" applyFont="1" applyBorder="1">
      <alignment vertical="center"/>
    </xf>
    <xf numFmtId="0" fontId="30" fillId="0" borderId="0" xfId="0" applyFont="1" applyAlignment="1">
      <alignment horizontal="left" vertical="center"/>
    </xf>
    <xf numFmtId="0" fontId="44" fillId="0" borderId="0" xfId="0" applyFont="1">
      <alignment vertical="center"/>
    </xf>
    <xf numFmtId="0" fontId="24" fillId="0" borderId="0" xfId="0" applyFont="1" applyAlignment="1">
      <alignment horizontal="left" vertical="center"/>
    </xf>
    <xf numFmtId="0" fontId="22" fillId="0" borderId="145" xfId="0" applyFont="1" applyBorder="1">
      <alignment vertical="center"/>
    </xf>
    <xf numFmtId="0" fontId="41" fillId="0" borderId="15" xfId="0" applyFont="1" applyBorder="1" applyAlignment="1">
      <alignment horizontal="center" vertical="center"/>
    </xf>
    <xf numFmtId="0" fontId="41" fillId="0" borderId="134" xfId="0" applyFont="1" applyBorder="1" applyAlignment="1">
      <alignment horizontal="center" vertical="center"/>
    </xf>
    <xf numFmtId="0" fontId="41" fillId="0" borderId="34" xfId="0" applyFont="1" applyBorder="1" applyAlignment="1">
      <alignment horizontal="center" vertical="center"/>
    </xf>
    <xf numFmtId="0" fontId="19" fillId="0" borderId="60" xfId="0" applyFont="1" applyBorder="1" applyAlignment="1">
      <alignment horizontal="center" vertical="center"/>
    </xf>
    <xf numFmtId="0" fontId="19" fillId="0" borderId="62" xfId="0" applyFont="1" applyBorder="1" applyAlignment="1">
      <alignment horizontal="center" vertical="center"/>
    </xf>
    <xf numFmtId="0" fontId="19" fillId="0" borderId="79" xfId="0" applyFont="1" applyBorder="1" applyAlignment="1">
      <alignment horizontal="center" vertical="center"/>
    </xf>
    <xf numFmtId="0" fontId="19" fillId="0" borderId="0" xfId="0" applyFont="1" applyAlignment="1">
      <alignment horizontal="center" vertical="center"/>
    </xf>
    <xf numFmtId="0" fontId="29" fillId="0" borderId="20" xfId="0" applyFont="1" applyBorder="1" applyAlignment="1">
      <alignment horizontal="center" vertical="center"/>
    </xf>
    <xf numFmtId="0" fontId="19" fillId="0" borderId="21" xfId="0" applyFont="1" applyBorder="1" applyAlignment="1">
      <alignment horizontal="center" vertical="center"/>
    </xf>
    <xf numFmtId="0" fontId="19" fillId="0" borderId="42" xfId="0" applyFont="1" applyBorder="1" applyAlignment="1">
      <alignment horizontal="center" vertical="center"/>
    </xf>
    <xf numFmtId="0" fontId="19" fillId="0" borderId="49" xfId="0" applyFont="1" applyBorder="1" applyAlignment="1">
      <alignment horizontal="center" vertical="center"/>
    </xf>
    <xf numFmtId="0" fontId="40" fillId="0" borderId="176" xfId="0" applyFont="1" applyBorder="1" applyAlignment="1">
      <alignment horizontal="center" vertical="center"/>
    </xf>
    <xf numFmtId="0" fontId="40" fillId="0" borderId="177" xfId="0" applyFont="1" applyBorder="1" applyAlignment="1">
      <alignment horizontal="center" vertical="center"/>
    </xf>
    <xf numFmtId="0" fontId="35" fillId="0" borderId="178" xfId="0" applyFont="1" applyBorder="1" applyAlignment="1">
      <alignment horizontal="left" vertical="center"/>
    </xf>
    <xf numFmtId="0" fontId="29" fillId="0" borderId="179" xfId="0" applyFont="1" applyBorder="1" applyAlignment="1">
      <alignment horizontal="center" vertical="center"/>
    </xf>
    <xf numFmtId="0" fontId="19" fillId="0" borderId="180" xfId="0" applyFont="1" applyBorder="1" applyAlignment="1">
      <alignment horizontal="center" vertical="center"/>
    </xf>
    <xf numFmtId="0" fontId="19" fillId="0" borderId="181" xfId="0" applyFont="1" applyBorder="1" applyAlignment="1">
      <alignment horizontal="center" vertical="center"/>
    </xf>
    <xf numFmtId="0" fontId="35" fillId="0" borderId="59" xfId="0" applyFont="1" applyBorder="1" applyAlignment="1">
      <alignment horizontal="left" vertical="center"/>
    </xf>
    <xf numFmtId="0" fontId="29" fillId="0" borderId="58" xfId="0" applyFont="1" applyBorder="1" applyAlignment="1">
      <alignment horizontal="center" vertical="center"/>
    </xf>
    <xf numFmtId="0" fontId="35" fillId="0" borderId="2" xfId="0" applyFont="1" applyBorder="1" applyAlignment="1">
      <alignment horizontal="left" vertical="center"/>
    </xf>
    <xf numFmtId="0" fontId="29" fillId="0" borderId="73" xfId="0" applyFont="1" applyBorder="1" applyAlignment="1">
      <alignment horizontal="center" vertical="center"/>
    </xf>
    <xf numFmtId="0" fontId="19" fillId="0" borderId="67" xfId="0" applyFont="1" applyBorder="1" applyAlignment="1">
      <alignment horizontal="center" vertical="center"/>
    </xf>
    <xf numFmtId="0" fontId="19" fillId="0" borderId="70" xfId="0" applyFont="1" applyBorder="1" applyAlignment="1">
      <alignment horizontal="center" vertical="center"/>
    </xf>
    <xf numFmtId="0" fontId="41" fillId="0" borderId="157" xfId="0" applyFont="1" applyBorder="1" applyAlignment="1">
      <alignment horizontal="center" vertical="center"/>
    </xf>
    <xf numFmtId="0" fontId="10" fillId="0" borderId="0" xfId="0" applyFont="1" applyAlignment="1">
      <alignment horizontal="center" vertical="center"/>
    </xf>
    <xf numFmtId="0" fontId="19" fillId="0" borderId="55" xfId="0" applyFont="1" applyBorder="1" applyAlignment="1">
      <alignment horizontal="center" vertical="center"/>
    </xf>
    <xf numFmtId="0" fontId="6" fillId="0" borderId="69" xfId="0" applyFont="1" applyBorder="1" applyAlignment="1">
      <alignment horizontal="right" vertical="center"/>
    </xf>
    <xf numFmtId="0" fontId="2" fillId="0" borderId="146" xfId="0" applyFont="1" applyBorder="1" applyAlignment="1">
      <alignment horizontal="right" vertical="center"/>
    </xf>
    <xf numFmtId="0" fontId="6" fillId="0" borderId="146" xfId="0" applyFont="1" applyBorder="1" applyAlignment="1">
      <alignment horizontal="right" vertical="center"/>
    </xf>
    <xf numFmtId="0" fontId="2" fillId="0" borderId="147" xfId="0" applyFont="1" applyBorder="1" applyAlignment="1">
      <alignment horizontal="right" vertical="center"/>
    </xf>
    <xf numFmtId="0" fontId="24" fillId="0" borderId="113" xfId="0" applyFont="1" applyBorder="1" applyAlignment="1">
      <alignment horizontal="left" vertical="center"/>
    </xf>
    <xf numFmtId="0" fontId="30" fillId="0" borderId="30" xfId="0" applyFont="1" applyBorder="1" applyAlignment="1">
      <alignment horizontal="center" vertical="center"/>
    </xf>
    <xf numFmtId="0" fontId="35" fillId="0" borderId="187" xfId="0" applyFont="1" applyBorder="1" applyAlignment="1">
      <alignment horizontal="left" vertical="center"/>
    </xf>
    <xf numFmtId="0" fontId="29" fillId="0" borderId="188" xfId="0" applyFont="1" applyBorder="1" applyAlignment="1">
      <alignment horizontal="center" vertical="center"/>
    </xf>
    <xf numFmtId="0" fontId="19" fillId="0" borderId="189" xfId="0" applyFont="1" applyBorder="1" applyAlignment="1">
      <alignment horizontal="center" vertical="center"/>
    </xf>
    <xf numFmtId="0" fontId="19" fillId="0" borderId="190" xfId="0" applyFont="1" applyBorder="1" applyAlignment="1">
      <alignment horizontal="center" vertical="center"/>
    </xf>
    <xf numFmtId="0" fontId="19" fillId="0" borderId="191" xfId="0" applyFont="1" applyBorder="1" applyAlignment="1">
      <alignment horizontal="center" vertical="center"/>
    </xf>
    <xf numFmtId="0" fontId="19" fillId="0" borderId="192" xfId="0" applyFont="1" applyBorder="1" applyAlignment="1">
      <alignment horizontal="center" vertical="center"/>
    </xf>
    <xf numFmtId="0" fontId="19" fillId="0" borderId="193" xfId="0" applyFont="1" applyBorder="1" applyAlignment="1">
      <alignment horizontal="center" vertical="center"/>
    </xf>
    <xf numFmtId="0" fontId="19" fillId="0" borderId="194" xfId="0" applyFont="1" applyBorder="1" applyAlignment="1">
      <alignment horizontal="center" vertical="center"/>
    </xf>
    <xf numFmtId="0" fontId="13" fillId="0" borderId="180" xfId="0" applyFont="1" applyBorder="1">
      <alignment vertical="center"/>
    </xf>
    <xf numFmtId="0" fontId="13" fillId="0" borderId="181" xfId="0" applyFont="1" applyBorder="1">
      <alignment vertical="center"/>
    </xf>
    <xf numFmtId="0" fontId="40" fillId="0" borderId="129" xfId="0" applyFont="1" applyBorder="1">
      <alignment vertical="center"/>
    </xf>
    <xf numFmtId="0" fontId="40" fillId="0" borderId="80" xfId="0" applyFont="1" applyBorder="1">
      <alignment vertical="center"/>
    </xf>
    <xf numFmtId="0" fontId="13" fillId="0" borderId="196" xfId="0" applyFont="1" applyBorder="1">
      <alignment vertical="center"/>
    </xf>
    <xf numFmtId="0" fontId="13" fillId="0" borderId="194" xfId="0" applyFont="1" applyBorder="1">
      <alignment vertical="center"/>
    </xf>
    <xf numFmtId="0" fontId="19" fillId="0" borderId="187" xfId="0" applyFont="1" applyBorder="1" applyAlignment="1">
      <alignment horizontal="center" vertical="center"/>
    </xf>
    <xf numFmtId="0" fontId="13" fillId="0" borderId="193" xfId="0" applyFont="1" applyBorder="1">
      <alignment vertical="center"/>
    </xf>
    <xf numFmtId="0" fontId="13" fillId="0" borderId="182" xfId="0" applyFont="1" applyBorder="1">
      <alignment vertical="center"/>
    </xf>
    <xf numFmtId="0" fontId="13" fillId="0" borderId="195" xfId="0" applyFont="1" applyBorder="1">
      <alignment vertical="center"/>
    </xf>
    <xf numFmtId="0" fontId="19" fillId="0" borderId="111" xfId="0" applyFont="1" applyBorder="1" applyAlignment="1">
      <alignment horizontal="center" vertical="center"/>
    </xf>
    <xf numFmtId="0" fontId="19" fillId="0" borderId="112" xfId="0" applyFont="1" applyBorder="1" applyAlignment="1">
      <alignment horizontal="center" vertical="center"/>
    </xf>
    <xf numFmtId="0" fontId="19" fillId="0" borderId="39" xfId="0" applyFont="1" applyBorder="1" applyAlignment="1">
      <alignment horizontal="center" vertical="center"/>
    </xf>
    <xf numFmtId="0" fontId="19" fillId="0" borderId="43" xfId="0" applyFont="1" applyBorder="1" applyAlignment="1">
      <alignment horizontal="center" vertical="center"/>
    </xf>
    <xf numFmtId="0" fontId="19" fillId="0" borderId="66" xfId="0" applyFont="1" applyBorder="1" applyAlignment="1">
      <alignment horizontal="center" vertical="center"/>
    </xf>
    <xf numFmtId="0" fontId="19" fillId="0" borderId="50" xfId="0" applyFont="1" applyBorder="1" applyAlignment="1">
      <alignment horizontal="center" vertical="center"/>
    </xf>
    <xf numFmtId="0" fontId="19" fillId="0" borderId="52" xfId="0" applyFont="1" applyBorder="1" applyAlignment="1">
      <alignment horizontal="center" vertical="center"/>
    </xf>
    <xf numFmtId="0" fontId="19" fillId="0" borderId="92" xfId="0" applyFont="1" applyBorder="1" applyAlignment="1">
      <alignment horizontal="center" vertical="center"/>
    </xf>
    <xf numFmtId="0" fontId="19" fillId="0" borderId="185" xfId="0" applyFont="1" applyBorder="1" applyAlignment="1">
      <alignment horizontal="center" vertical="center"/>
    </xf>
    <xf numFmtId="0" fontId="19" fillId="0" borderId="35" xfId="0" applyFont="1" applyBorder="1" applyAlignment="1">
      <alignment horizontal="center" vertical="center"/>
    </xf>
    <xf numFmtId="0" fontId="41" fillId="0" borderId="129" xfId="0" applyFont="1" applyBorder="1" applyAlignment="1">
      <alignment horizontal="center" vertical="center"/>
    </xf>
    <xf numFmtId="0" fontId="41" fillId="0" borderId="80" xfId="0" applyFont="1" applyBorder="1" applyAlignment="1">
      <alignment horizontal="center" vertical="center"/>
    </xf>
    <xf numFmtId="0" fontId="19" fillId="0" borderId="4" xfId="0" applyFont="1" applyBorder="1" applyAlignment="1">
      <alignment horizontal="center" vertical="center"/>
    </xf>
    <xf numFmtId="0" fontId="35" fillId="0" borderId="198" xfId="0" applyFont="1" applyBorder="1" applyAlignment="1">
      <alignment horizontal="left" vertical="center"/>
    </xf>
    <xf numFmtId="0" fontId="29" fillId="0" borderId="199" xfId="0" applyFont="1" applyBorder="1" applyAlignment="1">
      <alignment horizontal="center" vertical="center"/>
    </xf>
    <xf numFmtId="0" fontId="19" fillId="0" borderId="200" xfId="0" applyFont="1" applyBorder="1" applyAlignment="1">
      <alignment horizontal="center" vertical="center"/>
    </xf>
    <xf numFmtId="0" fontId="19" fillId="0" borderId="201" xfId="0" applyFont="1" applyBorder="1" applyAlignment="1">
      <alignment horizontal="center" vertical="center"/>
    </xf>
    <xf numFmtId="0" fontId="19" fillId="0" borderId="202" xfId="0" applyFont="1" applyBorder="1" applyAlignment="1">
      <alignment horizontal="center" vertical="center"/>
    </xf>
    <xf numFmtId="0" fontId="19" fillId="0" borderId="203" xfId="0" applyFont="1" applyBorder="1" applyAlignment="1">
      <alignment horizontal="center" vertical="center"/>
    </xf>
    <xf numFmtId="0" fontId="19" fillId="0" borderId="204" xfId="0" applyFont="1" applyBorder="1" applyAlignment="1">
      <alignment horizontal="center" vertical="center"/>
    </xf>
    <xf numFmtId="0" fontId="13" fillId="0" borderId="201" xfId="0" applyFont="1" applyBorder="1">
      <alignment vertical="center"/>
    </xf>
    <xf numFmtId="0" fontId="13" fillId="0" borderId="200" xfId="0" applyFont="1" applyBorder="1">
      <alignment vertical="center"/>
    </xf>
    <xf numFmtId="0" fontId="13" fillId="0" borderId="202" xfId="0" applyFont="1" applyBorder="1">
      <alignment vertical="center"/>
    </xf>
    <xf numFmtId="0" fontId="13" fillId="0" borderId="203" xfId="0" applyFont="1" applyBorder="1">
      <alignment vertical="center"/>
    </xf>
    <xf numFmtId="0" fontId="29" fillId="0" borderId="10" xfId="0" applyFont="1" applyBorder="1" applyAlignment="1">
      <alignment horizontal="center" vertical="center"/>
    </xf>
    <xf numFmtId="0" fontId="19" fillId="0" borderId="206" xfId="0" applyFont="1" applyBorder="1" applyAlignment="1">
      <alignment horizontal="center" vertical="center"/>
    </xf>
    <xf numFmtId="0" fontId="35" fillId="0" borderId="208" xfId="0" applyFont="1" applyBorder="1" applyAlignment="1">
      <alignment horizontal="left" vertical="center"/>
    </xf>
    <xf numFmtId="0" fontId="29" fillId="0" borderId="209" xfId="0" applyFont="1" applyBorder="1" applyAlignment="1">
      <alignment horizontal="center" vertical="center"/>
    </xf>
    <xf numFmtId="0" fontId="19" fillId="0" borderId="210" xfId="0" applyFont="1" applyBorder="1" applyAlignment="1">
      <alignment horizontal="center" vertical="center"/>
    </xf>
    <xf numFmtId="0" fontId="19" fillId="0" borderId="211" xfId="0" applyFont="1" applyBorder="1" applyAlignment="1">
      <alignment horizontal="center" vertical="center"/>
    </xf>
    <xf numFmtId="0" fontId="19" fillId="0" borderId="212" xfId="0" applyFont="1" applyBorder="1" applyAlignment="1">
      <alignment horizontal="center" vertical="center"/>
    </xf>
    <xf numFmtId="0" fontId="19" fillId="0" borderId="208" xfId="0" applyFont="1" applyBorder="1" applyAlignment="1">
      <alignment horizontal="center" vertical="center"/>
    </xf>
    <xf numFmtId="0" fontId="19" fillId="0" borderId="213" xfId="0" applyFont="1" applyBorder="1" applyAlignment="1">
      <alignment horizontal="center" vertical="center"/>
    </xf>
    <xf numFmtId="0" fontId="19" fillId="0" borderId="214" xfId="0" applyFont="1" applyBorder="1" applyAlignment="1">
      <alignment horizontal="center" vertical="center"/>
    </xf>
    <xf numFmtId="0" fontId="19" fillId="0" borderId="215" xfId="0" applyFont="1" applyBorder="1" applyAlignment="1">
      <alignment horizontal="center" vertical="center"/>
    </xf>
    <xf numFmtId="0" fontId="35" fillId="0" borderId="198" xfId="0" applyFont="1" applyBorder="1">
      <alignment vertical="center"/>
    </xf>
    <xf numFmtId="0" fontId="35" fillId="0" borderId="187" xfId="0" applyFont="1" applyBorder="1">
      <alignment vertical="center"/>
    </xf>
    <xf numFmtId="0" fontId="29" fillId="0" borderId="199" xfId="0" applyFont="1" applyBorder="1">
      <alignment vertical="center"/>
    </xf>
    <xf numFmtId="0" fontId="35" fillId="0" borderId="208" xfId="0" applyFont="1" applyBorder="1">
      <alignment vertical="center"/>
    </xf>
    <xf numFmtId="0" fontId="29" fillId="0" borderId="209" xfId="0" applyFont="1" applyBorder="1">
      <alignment vertical="center"/>
    </xf>
    <xf numFmtId="0" fontId="13" fillId="0" borderId="210" xfId="0" applyFont="1" applyBorder="1">
      <alignment vertical="center"/>
    </xf>
    <xf numFmtId="0" fontId="19" fillId="0" borderId="38" xfId="0" applyFont="1" applyBorder="1" applyAlignment="1">
      <alignment horizontal="center" vertical="center"/>
    </xf>
    <xf numFmtId="0" fontId="13" fillId="0" borderId="211" xfId="0" applyFont="1" applyBorder="1">
      <alignment vertical="center"/>
    </xf>
    <xf numFmtId="0" fontId="18" fillId="0" borderId="21" xfId="0" applyFont="1" applyBorder="1">
      <alignment vertical="center"/>
    </xf>
    <xf numFmtId="0" fontId="25" fillId="0" borderId="216" xfId="0" applyFont="1" applyBorder="1">
      <alignment vertical="center"/>
    </xf>
    <xf numFmtId="0" fontId="2" fillId="0" borderId="130" xfId="0" applyFont="1" applyBorder="1">
      <alignment vertical="center"/>
    </xf>
    <xf numFmtId="0" fontId="0" fillId="0" borderId="189" xfId="0" applyBorder="1">
      <alignment vertical="center"/>
    </xf>
    <xf numFmtId="0" fontId="2" fillId="0" borderId="15" xfId="0" applyFont="1" applyBorder="1">
      <alignment vertical="center"/>
    </xf>
    <xf numFmtId="0" fontId="25" fillId="0" borderId="198" xfId="0" applyFont="1" applyBorder="1">
      <alignment vertical="center"/>
    </xf>
    <xf numFmtId="0" fontId="25" fillId="0" borderId="187" xfId="0" applyFont="1" applyBorder="1">
      <alignment vertical="center"/>
    </xf>
    <xf numFmtId="0" fontId="45" fillId="0" borderId="187" xfId="0" applyFont="1" applyBorder="1">
      <alignment vertical="center"/>
    </xf>
    <xf numFmtId="0" fontId="24" fillId="0" borderId="15" xfId="0" applyFont="1" applyBorder="1">
      <alignment vertical="center"/>
    </xf>
    <xf numFmtId="0" fontId="0" fillId="0" borderId="205" xfId="0" applyBorder="1">
      <alignment vertical="center"/>
    </xf>
    <xf numFmtId="0" fontId="35" fillId="0" borderId="217" xfId="0" applyFont="1" applyBorder="1" applyAlignment="1">
      <alignment horizontal="left" vertical="center"/>
    </xf>
    <xf numFmtId="0" fontId="29" fillId="0" borderId="218" xfId="0" applyFont="1" applyBorder="1" applyAlignment="1">
      <alignment horizontal="center" vertical="center"/>
    </xf>
    <xf numFmtId="0" fontId="19" fillId="0" borderId="219" xfId="0" applyFont="1" applyBorder="1" applyAlignment="1">
      <alignment horizontal="center" vertical="center"/>
    </xf>
    <xf numFmtId="0" fontId="19" fillId="0" borderId="220" xfId="0" applyFont="1" applyBorder="1" applyAlignment="1">
      <alignment horizontal="center" vertical="center"/>
    </xf>
    <xf numFmtId="0" fontId="19" fillId="0" borderId="221" xfId="0" applyFont="1" applyBorder="1" applyAlignment="1">
      <alignment horizontal="center" vertical="center"/>
    </xf>
    <xf numFmtId="0" fontId="19" fillId="0" borderId="222" xfId="0" applyFont="1" applyBorder="1" applyAlignment="1">
      <alignment horizontal="center" vertical="center"/>
    </xf>
    <xf numFmtId="0" fontId="19" fillId="0" borderId="223" xfId="0" applyFont="1" applyBorder="1" applyAlignment="1">
      <alignment horizontal="center" vertical="center"/>
    </xf>
    <xf numFmtId="0" fontId="19" fillId="0" borderId="14" xfId="0" applyFont="1" applyBorder="1" applyAlignment="1">
      <alignment horizontal="center" vertical="center"/>
    </xf>
    <xf numFmtId="0" fontId="19" fillId="0" borderId="224" xfId="0" applyFont="1" applyBorder="1" applyAlignment="1">
      <alignment horizontal="center" vertical="center"/>
    </xf>
    <xf numFmtId="0" fontId="19" fillId="0" borderId="225" xfId="0" applyFont="1" applyBorder="1" applyAlignment="1">
      <alignment horizontal="center" vertical="center"/>
    </xf>
    <xf numFmtId="0" fontId="19" fillId="0" borderId="28" xfId="0" applyFont="1" applyBorder="1" applyAlignment="1">
      <alignment horizontal="center" vertical="center"/>
    </xf>
    <xf numFmtId="0" fontId="29" fillId="0" borderId="218" xfId="0" applyFont="1" applyBorder="1">
      <alignment vertical="center"/>
    </xf>
    <xf numFmtId="0" fontId="13" fillId="0" borderId="219" xfId="0" applyFont="1" applyBorder="1">
      <alignment vertical="center"/>
    </xf>
    <xf numFmtId="0" fontId="13" fillId="0" borderId="220" xfId="0" applyFont="1" applyBorder="1">
      <alignment vertical="center"/>
    </xf>
    <xf numFmtId="0" fontId="13" fillId="0" borderId="221" xfId="0" applyFont="1" applyBorder="1">
      <alignment vertical="center"/>
    </xf>
    <xf numFmtId="0" fontId="35" fillId="0" borderId="113" xfId="0" applyFont="1" applyBorder="1">
      <alignment vertical="center"/>
    </xf>
    <xf numFmtId="0" fontId="35" fillId="0" borderId="113" xfId="0" applyFont="1" applyBorder="1" applyAlignment="1">
      <alignment horizontal="left" vertical="center"/>
    </xf>
    <xf numFmtId="0" fontId="36" fillId="0" borderId="113" xfId="0" applyFont="1" applyBorder="1">
      <alignment vertical="center"/>
    </xf>
    <xf numFmtId="0" fontId="12" fillId="0" borderId="113" xfId="0" applyFont="1" applyBorder="1">
      <alignment vertical="center"/>
    </xf>
    <xf numFmtId="0" fontId="25" fillId="0" borderId="139" xfId="0" applyFont="1" applyBorder="1">
      <alignment vertical="center"/>
    </xf>
    <xf numFmtId="0" fontId="13" fillId="0" borderId="212" xfId="0" applyFont="1" applyBorder="1">
      <alignment vertical="center"/>
    </xf>
    <xf numFmtId="0" fontId="13" fillId="0" borderId="204" xfId="0" applyFont="1" applyBorder="1">
      <alignment vertical="center"/>
    </xf>
    <xf numFmtId="0" fontId="13" fillId="0" borderId="214" xfId="0" applyFont="1" applyBorder="1">
      <alignment vertical="center"/>
    </xf>
    <xf numFmtId="0" fontId="13" fillId="0" borderId="206" xfId="0" applyFont="1" applyBorder="1">
      <alignment vertical="center"/>
    </xf>
    <xf numFmtId="176" fontId="13" fillId="0" borderId="212" xfId="0" applyNumberFormat="1" applyFont="1" applyBorder="1">
      <alignment vertical="center"/>
    </xf>
    <xf numFmtId="176" fontId="13" fillId="0" borderId="221" xfId="0" applyNumberFormat="1" applyFont="1" applyBorder="1">
      <alignment vertical="center"/>
    </xf>
    <xf numFmtId="176" fontId="13" fillId="0" borderId="214" xfId="0" applyNumberFormat="1" applyFont="1" applyBorder="1">
      <alignment vertical="center"/>
    </xf>
    <xf numFmtId="176" fontId="13" fillId="0" borderId="211" xfId="0" applyNumberFormat="1" applyFont="1" applyBorder="1">
      <alignment vertical="center"/>
    </xf>
    <xf numFmtId="176" fontId="13" fillId="0" borderId="206" xfId="0" applyNumberFormat="1" applyFont="1" applyBorder="1">
      <alignment vertical="center"/>
    </xf>
    <xf numFmtId="176" fontId="13" fillId="0" borderId="204" xfId="0" applyNumberFormat="1" applyFont="1" applyBorder="1">
      <alignment vertical="center"/>
    </xf>
    <xf numFmtId="176" fontId="13" fillId="0" borderId="223" xfId="0" applyNumberFormat="1" applyFont="1" applyBorder="1">
      <alignment vertical="center"/>
    </xf>
    <xf numFmtId="176" fontId="13" fillId="0" borderId="220" xfId="0" applyNumberFormat="1" applyFont="1" applyBorder="1">
      <alignment vertical="center"/>
    </xf>
    <xf numFmtId="0" fontId="13" fillId="0" borderId="223" xfId="0" applyFont="1" applyBorder="1">
      <alignment vertical="center"/>
    </xf>
    <xf numFmtId="0" fontId="6" fillId="3" borderId="0" xfId="0" applyFont="1" applyFill="1">
      <alignment vertical="center"/>
    </xf>
    <xf numFmtId="0" fontId="24" fillId="0" borderId="113" xfId="0" applyFont="1" applyBorder="1">
      <alignment vertical="center"/>
    </xf>
    <xf numFmtId="0" fontId="45" fillId="0" borderId="208" xfId="0" applyFont="1" applyBorder="1">
      <alignment vertical="center"/>
    </xf>
    <xf numFmtId="0" fontId="25" fillId="0" borderId="208" xfId="0" applyFont="1" applyBorder="1">
      <alignment vertical="center"/>
    </xf>
    <xf numFmtId="0" fontId="25" fillId="0" borderId="219" xfId="0" applyFont="1" applyBorder="1" applyAlignment="1">
      <alignment horizontal="center" vertical="center"/>
    </xf>
    <xf numFmtId="0" fontId="45" fillId="0" borderId="217" xfId="0" applyFont="1" applyBorder="1">
      <alignment vertical="center"/>
    </xf>
    <xf numFmtId="0" fontId="25" fillId="0" borderId="210" xfId="0" applyFont="1" applyBorder="1">
      <alignment vertical="center"/>
    </xf>
    <xf numFmtId="0" fontId="25" fillId="0" borderId="210" xfId="0" applyFont="1" applyBorder="1" applyAlignment="1">
      <alignment horizontal="center" vertical="center"/>
    </xf>
    <xf numFmtId="0" fontId="24" fillId="0" borderId="208" xfId="0" applyFont="1" applyBorder="1">
      <alignment vertical="center"/>
    </xf>
    <xf numFmtId="0" fontId="25" fillId="0" borderId="217" xfId="0" applyFont="1" applyBorder="1">
      <alignment vertical="center"/>
    </xf>
    <xf numFmtId="0" fontId="25" fillId="0" borderId="208" xfId="0" applyFont="1" applyBorder="1" applyAlignment="1">
      <alignment horizontal="left" vertical="center"/>
    </xf>
    <xf numFmtId="0" fontId="6" fillId="0" borderId="66" xfId="0" applyFont="1" applyBorder="1">
      <alignment vertical="center"/>
    </xf>
    <xf numFmtId="0" fontId="34" fillId="0" borderId="217" xfId="0" applyFont="1" applyBorder="1" applyAlignment="1">
      <alignment horizontal="center" vertical="center"/>
    </xf>
    <xf numFmtId="176" fontId="13" fillId="0" borderId="219" xfId="0" applyNumberFormat="1" applyFont="1" applyBorder="1">
      <alignment vertical="center"/>
    </xf>
    <xf numFmtId="0" fontId="40" fillId="0" borderId="222" xfId="0" applyFont="1" applyBorder="1">
      <alignment vertical="center"/>
    </xf>
    <xf numFmtId="176" fontId="13" fillId="0" borderId="226" xfId="0" applyNumberFormat="1" applyFont="1" applyBorder="1">
      <alignment vertical="center"/>
    </xf>
    <xf numFmtId="176" fontId="13" fillId="0" borderId="207" xfId="0" applyNumberFormat="1" applyFont="1" applyBorder="1">
      <alignment vertical="center"/>
    </xf>
    <xf numFmtId="176" fontId="13" fillId="0" borderId="222" xfId="0" applyNumberFormat="1" applyFont="1" applyBorder="1">
      <alignment vertical="center"/>
    </xf>
    <xf numFmtId="176" fontId="19" fillId="0" borderId="208" xfId="0" applyNumberFormat="1" applyFont="1" applyBorder="1" applyAlignment="1">
      <alignment horizontal="center" vertical="center"/>
    </xf>
    <xf numFmtId="0" fontId="35" fillId="0" borderId="4" xfId="0" applyFont="1" applyBorder="1" applyAlignment="1">
      <alignment horizontal="left" vertical="center"/>
    </xf>
    <xf numFmtId="0" fontId="29" fillId="0" borderId="22" xfId="0" applyFont="1" applyBorder="1" applyAlignment="1">
      <alignment horizontal="center" vertical="center"/>
    </xf>
    <xf numFmtId="176" fontId="13" fillId="0" borderId="215" xfId="0" applyNumberFormat="1" applyFont="1" applyBorder="1">
      <alignment vertical="center"/>
    </xf>
    <xf numFmtId="176" fontId="13" fillId="0" borderId="213" xfId="0" applyNumberFormat="1" applyFont="1" applyBorder="1">
      <alignment vertical="center"/>
    </xf>
    <xf numFmtId="176" fontId="13" fillId="0" borderId="111" xfId="0" applyNumberFormat="1" applyFont="1" applyBorder="1">
      <alignment vertical="center"/>
    </xf>
    <xf numFmtId="176" fontId="13" fillId="0" borderId="97" xfId="0" applyNumberFormat="1" applyFont="1" applyBorder="1">
      <alignment vertical="center"/>
    </xf>
    <xf numFmtId="0" fontId="2" fillId="0" borderId="114" xfId="0" applyFont="1" applyBorder="1">
      <alignment vertical="center"/>
    </xf>
    <xf numFmtId="0" fontId="2" fillId="0" borderId="168" xfId="0" applyFont="1" applyBorder="1">
      <alignment vertical="center"/>
    </xf>
    <xf numFmtId="0" fontId="6" fillId="0" borderId="204" xfId="0" applyFont="1" applyBorder="1">
      <alignment vertical="center"/>
    </xf>
    <xf numFmtId="0" fontId="2" fillId="0" borderId="204" xfId="0" applyFont="1" applyBorder="1">
      <alignment vertical="center"/>
    </xf>
    <xf numFmtId="0" fontId="7" fillId="0" borderId="217" xfId="0" applyFont="1" applyBorder="1">
      <alignment vertical="center"/>
    </xf>
    <xf numFmtId="0" fontId="6" fillId="0" borderId="210" xfId="0" applyFont="1" applyBorder="1">
      <alignment vertical="center"/>
    </xf>
    <xf numFmtId="0" fontId="6" fillId="0" borderId="217" xfId="0" applyFont="1" applyBorder="1">
      <alignment vertical="center"/>
    </xf>
    <xf numFmtId="0" fontId="6" fillId="0" borderId="223" xfId="0" applyFont="1" applyBorder="1">
      <alignment vertical="center"/>
    </xf>
    <xf numFmtId="0" fontId="6" fillId="0" borderId="168" xfId="0" applyFont="1" applyBorder="1">
      <alignment vertical="center"/>
    </xf>
    <xf numFmtId="0" fontId="7" fillId="0" borderId="208" xfId="0" applyFont="1" applyBorder="1">
      <alignment vertical="center"/>
    </xf>
    <xf numFmtId="0" fontId="6" fillId="0" borderId="208" xfId="0" applyFont="1" applyBorder="1">
      <alignment vertical="center"/>
    </xf>
    <xf numFmtId="0" fontId="2" fillId="0" borderId="208" xfId="0" applyFont="1" applyBorder="1">
      <alignment vertical="center"/>
    </xf>
    <xf numFmtId="0" fontId="6" fillId="0" borderId="0" xfId="0" applyFont="1" applyAlignment="1">
      <alignment horizontal="right" vertical="center"/>
    </xf>
    <xf numFmtId="0" fontId="2" fillId="0" borderId="0" xfId="0" applyFont="1" applyAlignment="1">
      <alignment horizontal="right" vertical="center"/>
    </xf>
    <xf numFmtId="0" fontId="6" fillId="0" borderId="116" xfId="0" applyFont="1" applyBorder="1" applyAlignment="1">
      <alignment horizontal="right" vertical="center"/>
    </xf>
    <xf numFmtId="0" fontId="9" fillId="0" borderId="0" xfId="0" applyFont="1" applyAlignment="1">
      <alignment horizontal="left" vertical="center"/>
    </xf>
    <xf numFmtId="0" fontId="2" fillId="0" borderId="0" xfId="0" applyFont="1" applyAlignment="1">
      <alignment horizontal="left" vertical="center"/>
    </xf>
    <xf numFmtId="0" fontId="6" fillId="3" borderId="146" xfId="0" applyFont="1" applyFill="1" applyBorder="1">
      <alignment vertical="center"/>
    </xf>
    <xf numFmtId="0" fontId="0" fillId="0" borderId="219" xfId="0" applyBorder="1">
      <alignment vertical="center"/>
    </xf>
    <xf numFmtId="0" fontId="2" fillId="0" borderId="161" xfId="0" applyFont="1" applyBorder="1" applyAlignment="1">
      <alignment horizontal="center" vertical="center"/>
    </xf>
    <xf numFmtId="0" fontId="6" fillId="0" borderId="216" xfId="0" applyFont="1" applyBorder="1">
      <alignment vertical="center"/>
    </xf>
    <xf numFmtId="0" fontId="19" fillId="0" borderId="103" xfId="0" applyFont="1" applyBorder="1" applyAlignment="1">
      <alignment horizontal="center" vertical="center"/>
    </xf>
    <xf numFmtId="0" fontId="19" fillId="0" borderId="207" xfId="0" applyFont="1" applyBorder="1" applyAlignment="1">
      <alignment horizontal="center" vertical="center"/>
    </xf>
    <xf numFmtId="0" fontId="35" fillId="0" borderId="227" xfId="0" applyFont="1" applyBorder="1" applyAlignment="1">
      <alignment horizontal="left" vertical="center"/>
    </xf>
    <xf numFmtId="0" fontId="29" fillId="0" borderId="228" xfId="0" applyFont="1" applyBorder="1" applyAlignment="1">
      <alignment horizontal="center" vertical="center"/>
    </xf>
    <xf numFmtId="0" fontId="19" fillId="0" borderId="229" xfId="0" applyFont="1" applyBorder="1" applyAlignment="1">
      <alignment horizontal="center" vertical="center"/>
    </xf>
    <xf numFmtId="0" fontId="19" fillId="0" borderId="230" xfId="0" applyFont="1" applyBorder="1" applyAlignment="1">
      <alignment horizontal="center" vertical="center"/>
    </xf>
    <xf numFmtId="0" fontId="19" fillId="0" borderId="231" xfId="0" applyFont="1" applyBorder="1" applyAlignment="1">
      <alignment horizontal="center" vertical="center"/>
    </xf>
    <xf numFmtId="0" fontId="55" fillId="0" borderId="219" xfId="0" applyFont="1" applyBorder="1" applyAlignment="1">
      <alignment horizontal="left" vertical="center"/>
    </xf>
    <xf numFmtId="0" fontId="25" fillId="0" borderId="216" xfId="0" applyFont="1" applyBorder="1" applyAlignment="1">
      <alignment horizontal="center" vertical="center"/>
    </xf>
    <xf numFmtId="0" fontId="54" fillId="0" borderId="0" xfId="0" applyFont="1" applyAlignment="1">
      <alignment horizontal="left" vertical="center"/>
    </xf>
    <xf numFmtId="0" fontId="19" fillId="0" borderId="74" xfId="0" applyFont="1" applyBorder="1" applyAlignment="1">
      <alignment horizontal="center" vertical="center"/>
    </xf>
    <xf numFmtId="0" fontId="19" fillId="0" borderId="71" xfId="0" applyFont="1" applyBorder="1" applyAlignment="1">
      <alignment horizontal="center" vertical="center"/>
    </xf>
    <xf numFmtId="0" fontId="19" fillId="0" borderId="2" xfId="0" applyFont="1" applyBorder="1" applyAlignment="1">
      <alignment horizontal="center" vertical="center"/>
    </xf>
    <xf numFmtId="0" fontId="19" fillId="0" borderId="210" xfId="0" applyFont="1" applyBorder="1">
      <alignment vertical="center"/>
    </xf>
    <xf numFmtId="0" fontId="19" fillId="0" borderId="223" xfId="0" applyFont="1" applyBorder="1">
      <alignment vertical="center"/>
    </xf>
    <xf numFmtId="0" fontId="19" fillId="0" borderId="220" xfId="0" applyFont="1" applyBorder="1">
      <alignment vertical="center"/>
    </xf>
    <xf numFmtId="0" fontId="19" fillId="0" borderId="211" xfId="0" applyFont="1" applyBorder="1">
      <alignment vertical="center"/>
    </xf>
    <xf numFmtId="0" fontId="56" fillId="0" borderId="0" xfId="0" applyFont="1">
      <alignment vertical="center"/>
    </xf>
    <xf numFmtId="0" fontId="49" fillId="0" borderId="113" xfId="0" applyFont="1" applyBorder="1">
      <alignment vertical="center"/>
    </xf>
    <xf numFmtId="0" fontId="7" fillId="0" borderId="12" xfId="0" applyFont="1" applyBorder="1" applyAlignment="1">
      <alignment horizontal="centerContinuous" vertical="top"/>
    </xf>
    <xf numFmtId="0" fontId="7" fillId="0" borderId="99" xfId="0" applyFont="1" applyBorder="1" applyAlignment="1">
      <alignment horizontal="centerContinuous" vertical="top"/>
    </xf>
    <xf numFmtId="0" fontId="6" fillId="0" borderId="24" xfId="0" applyFont="1" applyBorder="1" applyAlignment="1">
      <alignment horizontal="right" vertical="center"/>
    </xf>
    <xf numFmtId="0" fontId="7" fillId="0" borderId="158" xfId="0" applyFont="1" applyBorder="1">
      <alignment vertical="center"/>
    </xf>
    <xf numFmtId="0" fontId="6" fillId="0" borderId="173" xfId="0" applyFont="1" applyBorder="1">
      <alignment vertical="center"/>
    </xf>
    <xf numFmtId="0" fontId="2" fillId="0" borderId="95" xfId="0" applyFont="1" applyBorder="1">
      <alignment vertical="center"/>
    </xf>
    <xf numFmtId="0" fontId="2" fillId="0" borderId="161" xfId="0" applyFont="1" applyBorder="1">
      <alignment vertical="center"/>
    </xf>
    <xf numFmtId="0" fontId="6" fillId="3" borderId="208" xfId="0" applyFont="1" applyFill="1" applyBorder="1">
      <alignment vertical="center"/>
    </xf>
    <xf numFmtId="0" fontId="0" fillId="9" borderId="0" xfId="0" applyFill="1">
      <alignment vertical="center"/>
    </xf>
    <xf numFmtId="0" fontId="0" fillId="9" borderId="171" xfId="0" applyFill="1" applyBorder="1">
      <alignment vertical="center"/>
    </xf>
    <xf numFmtId="0" fontId="25" fillId="9" borderId="171" xfId="0" applyFont="1" applyFill="1" applyBorder="1" applyAlignment="1">
      <alignment horizontal="center" vertical="center"/>
    </xf>
    <xf numFmtId="0" fontId="0" fillId="10" borderId="0" xfId="0" applyFill="1">
      <alignment vertical="center"/>
    </xf>
    <xf numFmtId="0" fontId="0" fillId="10" borderId="171" xfId="0" applyFill="1" applyBorder="1">
      <alignment vertical="center"/>
    </xf>
    <xf numFmtId="49" fontId="0" fillId="10" borderId="171" xfId="0" applyNumberFormat="1" applyFill="1" applyBorder="1">
      <alignment vertical="center"/>
    </xf>
    <xf numFmtId="49" fontId="13" fillId="0" borderId="23" xfId="0" applyNumberFormat="1" applyFont="1" applyBorder="1" applyAlignment="1">
      <alignment horizontal="centerContinuous" vertical="center"/>
    </xf>
    <xf numFmtId="49" fontId="13" fillId="0" borderId="28" xfId="0" applyNumberFormat="1" applyFont="1" applyBorder="1" applyAlignment="1">
      <alignment horizontal="centerContinuous" vertical="center"/>
    </xf>
    <xf numFmtId="49" fontId="13" fillId="0" borderId="99" xfId="0" applyNumberFormat="1" applyFont="1" applyBorder="1" applyAlignment="1">
      <alignment horizontal="centerContinuous" vertical="center"/>
    </xf>
    <xf numFmtId="0" fontId="18" fillId="4" borderId="67" xfId="0" applyFont="1" applyFill="1" applyBorder="1" applyAlignment="1">
      <alignment horizontal="centerContinuous" vertical="center"/>
    </xf>
    <xf numFmtId="0" fontId="18" fillId="4" borderId="77" xfId="0" applyFont="1" applyFill="1" applyBorder="1" applyAlignment="1">
      <alignment horizontal="centerContinuous" vertical="center"/>
    </xf>
    <xf numFmtId="0" fontId="18" fillId="4" borderId="100" xfId="0" applyFont="1" applyFill="1" applyBorder="1" applyAlignment="1">
      <alignment horizontal="centerContinuous" vertical="center"/>
    </xf>
    <xf numFmtId="0" fontId="18" fillId="4" borderId="69" xfId="0" applyFont="1" applyFill="1" applyBorder="1" applyAlignment="1">
      <alignment horizontal="centerContinuous" vertical="center"/>
    </xf>
    <xf numFmtId="177" fontId="0" fillId="10" borderId="171" xfId="0" applyNumberFormat="1" applyFill="1" applyBorder="1">
      <alignment vertical="center"/>
    </xf>
    <xf numFmtId="0" fontId="0" fillId="0" borderId="67" xfId="0" applyBorder="1">
      <alignment vertical="center"/>
    </xf>
    <xf numFmtId="0" fontId="35" fillId="0" borderId="119" xfId="0" applyFont="1" applyBorder="1">
      <alignment vertical="center"/>
    </xf>
    <xf numFmtId="176" fontId="19" fillId="0" borderId="213" xfId="0" applyNumberFormat="1" applyFont="1" applyBorder="1" applyAlignment="1">
      <alignment horizontal="center" vertical="center"/>
    </xf>
    <xf numFmtId="0" fontId="29" fillId="2" borderId="209" xfId="0" applyFont="1" applyFill="1" applyBorder="1" applyAlignment="1">
      <alignment horizontal="center" vertical="center"/>
    </xf>
    <xf numFmtId="176" fontId="13" fillId="0" borderId="103" xfId="0" applyNumberFormat="1" applyFont="1" applyBorder="1">
      <alignment vertical="center"/>
    </xf>
    <xf numFmtId="0" fontId="43" fillId="0" borderId="129" xfId="0" applyFont="1" applyBorder="1">
      <alignment vertical="center"/>
    </xf>
    <xf numFmtId="0" fontId="43" fillId="0" borderId="80" xfId="0" applyFont="1" applyBorder="1">
      <alignment vertical="center"/>
    </xf>
    <xf numFmtId="0" fontId="57" fillId="9" borderId="0" xfId="0" applyFont="1" applyFill="1" applyAlignment="1">
      <alignment horizontal="center" vertical="center"/>
    </xf>
    <xf numFmtId="0" fontId="0" fillId="9" borderId="171" xfId="0" applyFill="1" applyBorder="1" applyAlignment="1">
      <alignment horizontal="center" vertical="center"/>
    </xf>
    <xf numFmtId="0" fontId="25" fillId="9" borderId="0" xfId="0" applyFont="1" applyFill="1" applyAlignment="1">
      <alignment horizontal="center" vertical="center"/>
    </xf>
    <xf numFmtId="14" fontId="0" fillId="0" borderId="0" xfId="0" applyNumberFormat="1">
      <alignment vertical="center"/>
    </xf>
    <xf numFmtId="0" fontId="58" fillId="10" borderId="0" xfId="0" applyFont="1" applyFill="1" applyAlignment="1">
      <alignment horizontal="center" vertical="center"/>
    </xf>
    <xf numFmtId="0" fontId="57" fillId="10" borderId="0" xfId="0" applyFont="1" applyFill="1" applyAlignment="1">
      <alignment horizontal="center" vertical="center"/>
    </xf>
    <xf numFmtId="0" fontId="25" fillId="0" borderId="4" xfId="0" applyFont="1" applyBorder="1" applyAlignment="1">
      <alignment horizontal="left" vertical="center"/>
    </xf>
    <xf numFmtId="0" fontId="25" fillId="0" borderId="127" xfId="0" applyFont="1" applyBorder="1" applyAlignment="1">
      <alignment horizontal="left" vertical="center"/>
    </xf>
    <xf numFmtId="0" fontId="7" fillId="0" borderId="1" xfId="0" applyFont="1" applyBorder="1" applyAlignment="1">
      <alignment horizontal="center" vertical="center"/>
    </xf>
    <xf numFmtId="0" fontId="7" fillId="0" borderId="125" xfId="0" applyFont="1" applyBorder="1" applyAlignment="1">
      <alignment horizontal="center" vertical="center"/>
    </xf>
    <xf numFmtId="0" fontId="25" fillId="0" borderId="17" xfId="0" applyFont="1" applyBorder="1" applyAlignment="1">
      <alignment horizontal="left" vertical="center"/>
    </xf>
    <xf numFmtId="0" fontId="25" fillId="0" borderId="124" xfId="0" applyFont="1" applyBorder="1" applyAlignment="1">
      <alignment horizontal="left" vertical="center"/>
    </xf>
    <xf numFmtId="0" fontId="19" fillId="0" borderId="131" xfId="0" applyFont="1" applyBorder="1" applyAlignment="1">
      <alignment horizontal="center" vertical="center"/>
    </xf>
    <xf numFmtId="0" fontId="19" fillId="0" borderId="122" xfId="0" applyFont="1" applyBorder="1" applyAlignment="1">
      <alignment horizontal="center" vertical="center"/>
    </xf>
    <xf numFmtId="0" fontId="6" fillId="0" borderId="0" xfId="0" applyFont="1" applyAlignment="1">
      <alignment horizontal="left" vertical="center"/>
    </xf>
    <xf numFmtId="0" fontId="15" fillId="0" borderId="0" xfId="0" applyFont="1" applyAlignment="1">
      <alignment horizontal="center" vertical="center"/>
    </xf>
    <xf numFmtId="0" fontId="25" fillId="0" borderId="68" xfId="0" applyFont="1" applyBorder="1" applyAlignment="1">
      <alignment horizontal="left" vertical="center"/>
    </xf>
    <xf numFmtId="0" fontId="25" fillId="0" borderId="128" xfId="0" applyFont="1" applyBorder="1" applyAlignment="1">
      <alignment horizontal="left" vertical="center"/>
    </xf>
    <xf numFmtId="14" fontId="15" fillId="0" borderId="0" xfId="0" applyNumberFormat="1" applyFont="1" applyAlignment="1">
      <alignment horizontal="center" vertical="center"/>
    </xf>
    <xf numFmtId="0" fontId="15" fillId="0" borderId="65" xfId="0" applyFont="1" applyBorder="1" applyAlignment="1">
      <alignment horizontal="center" vertical="center"/>
    </xf>
    <xf numFmtId="0" fontId="17" fillId="0" borderId="12" xfId="0" applyFont="1" applyBorder="1" applyAlignment="1">
      <alignment horizontal="center" vertical="distributed"/>
    </xf>
    <xf numFmtId="0" fontId="17" fillId="0" borderId="14" xfId="0" applyFont="1" applyBorder="1" applyAlignment="1">
      <alignment horizontal="center" vertical="distributed"/>
    </xf>
    <xf numFmtId="0" fontId="17" fillId="0" borderId="129" xfId="0" applyFont="1" applyBorder="1" applyAlignment="1">
      <alignment horizontal="center" vertical="distributed"/>
    </xf>
    <xf numFmtId="0" fontId="17" fillId="0" borderId="65" xfId="0" applyFont="1" applyBorder="1" applyAlignment="1">
      <alignment horizontal="center" vertical="distributed"/>
    </xf>
    <xf numFmtId="0" fontId="15" fillId="0" borderId="131" xfId="0" applyFont="1" applyBorder="1" applyAlignment="1">
      <alignment horizontal="center" vertical="center"/>
    </xf>
    <xf numFmtId="0" fontId="15" fillId="0" borderId="122" xfId="0" applyFont="1" applyBorder="1" applyAlignment="1">
      <alignment horizontal="center" vertical="center"/>
    </xf>
    <xf numFmtId="0" fontId="17" fillId="0" borderId="12" xfId="0" applyFont="1" applyBorder="1" applyAlignment="1">
      <alignment horizontal="center" vertical="center"/>
    </xf>
    <xf numFmtId="0" fontId="17" fillId="0" borderId="14" xfId="0" applyFont="1" applyBorder="1" applyAlignment="1">
      <alignment horizontal="center" vertical="center"/>
    </xf>
    <xf numFmtId="0" fontId="17" fillId="0" borderId="129" xfId="0" applyFont="1" applyBorder="1" applyAlignment="1">
      <alignment horizontal="center" vertical="center"/>
    </xf>
    <xf numFmtId="0" fontId="17" fillId="0" borderId="65" xfId="0" applyFont="1" applyBorder="1" applyAlignment="1">
      <alignment horizontal="center" vertical="center"/>
    </xf>
    <xf numFmtId="0" fontId="13" fillId="0" borderId="28" xfId="0" applyFont="1" applyBorder="1" applyAlignment="1">
      <alignment horizontal="center" vertical="center"/>
    </xf>
    <xf numFmtId="0" fontId="13" fillId="0" borderId="99" xfId="0" applyFont="1" applyBorder="1" applyAlignment="1">
      <alignment horizontal="center" vertical="center"/>
    </xf>
    <xf numFmtId="0" fontId="18" fillId="0" borderId="69" xfId="0" applyFont="1" applyBorder="1" applyAlignment="1">
      <alignment horizontal="center" vertical="center"/>
    </xf>
    <xf numFmtId="0" fontId="18" fillId="0" borderId="77" xfId="0" applyFont="1" applyBorder="1" applyAlignment="1">
      <alignment horizontal="center" vertical="center"/>
    </xf>
    <xf numFmtId="0" fontId="13" fillId="0" borderId="23" xfId="0" applyFont="1" applyBorder="1" applyAlignment="1">
      <alignment horizontal="center" vertical="center"/>
    </xf>
    <xf numFmtId="0" fontId="13" fillId="0" borderId="14" xfId="0" applyFont="1" applyBorder="1" applyAlignment="1">
      <alignment horizontal="center" vertical="center"/>
    </xf>
    <xf numFmtId="0" fontId="21" fillId="2" borderId="12" xfId="0" applyFont="1" applyFill="1" applyBorder="1" applyAlignment="1">
      <alignment horizontal="center" vertical="center"/>
    </xf>
    <xf numFmtId="0" fontId="21" fillId="2" borderId="15"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horizontal="center" vertical="center"/>
    </xf>
    <xf numFmtId="0" fontId="29" fillId="2" borderId="10" xfId="0" applyFont="1" applyFill="1" applyBorder="1" applyAlignment="1">
      <alignment horizontal="center" vertical="center"/>
    </xf>
    <xf numFmtId="0" fontId="21" fillId="2" borderId="56" xfId="0" applyFont="1" applyFill="1" applyBorder="1" applyAlignment="1">
      <alignment horizontal="center" vertical="center"/>
    </xf>
    <xf numFmtId="0" fontId="29" fillId="2" borderId="13" xfId="0" applyFont="1" applyFill="1" applyBorder="1" applyAlignment="1">
      <alignment horizontal="center" vertical="center"/>
    </xf>
    <xf numFmtId="0" fontId="29" fillId="2" borderId="57" xfId="0" applyFont="1" applyFill="1" applyBorder="1" applyAlignment="1">
      <alignment horizontal="center" vertical="center"/>
    </xf>
    <xf numFmtId="0" fontId="13" fillId="0" borderId="102" xfId="0" applyFont="1" applyBorder="1" applyAlignment="1">
      <alignment horizontal="center" vertical="center"/>
    </xf>
    <xf numFmtId="0" fontId="18" fillId="0" borderId="74" xfId="0" applyFont="1" applyBorder="1" applyAlignment="1">
      <alignment horizontal="center" vertical="center"/>
    </xf>
    <xf numFmtId="0" fontId="13" fillId="0" borderId="0" xfId="0" applyFont="1" applyAlignment="1">
      <alignment horizontal="center" vertical="center"/>
    </xf>
    <xf numFmtId="0" fontId="18" fillId="0" borderId="0" xfId="0" applyFont="1" applyAlignment="1">
      <alignment horizontal="center" vertical="center"/>
    </xf>
    <xf numFmtId="0" fontId="21" fillId="2" borderId="0" xfId="0" applyFont="1" applyFill="1" applyAlignment="1">
      <alignment horizontal="center" vertical="center"/>
    </xf>
    <xf numFmtId="0" fontId="18" fillId="0" borderId="67" xfId="0" applyFont="1" applyBorder="1" applyAlignment="1">
      <alignment horizontal="center" vertical="center"/>
    </xf>
    <xf numFmtId="0" fontId="21" fillId="2" borderId="129" xfId="0" applyFont="1" applyFill="1" applyBorder="1" applyAlignment="1">
      <alignment horizontal="center" vertical="center"/>
    </xf>
    <xf numFmtId="0" fontId="29" fillId="2" borderId="197" xfId="0" applyFont="1" applyFill="1" applyBorder="1" applyAlignment="1">
      <alignment horizontal="center" vertical="center"/>
    </xf>
    <xf numFmtId="0" fontId="10" fillId="2" borderId="0" xfId="0" applyFont="1" applyFill="1" applyAlignment="1">
      <alignment horizontal="center" vertical="center"/>
    </xf>
    <xf numFmtId="0" fontId="13" fillId="0" borderId="24" xfId="0" applyFont="1" applyBorder="1" applyAlignment="1">
      <alignment horizontal="center" vertical="center"/>
    </xf>
    <xf numFmtId="0" fontId="13" fillId="0" borderId="101" xfId="0" applyFont="1" applyBorder="1" applyAlignment="1">
      <alignment horizontal="center" vertical="center"/>
    </xf>
    <xf numFmtId="0" fontId="13" fillId="0" borderId="26" xfId="0" applyFont="1" applyBorder="1" applyAlignment="1">
      <alignment horizontal="center" vertical="center"/>
    </xf>
    <xf numFmtId="0" fontId="39" fillId="0" borderId="12" xfId="0" applyFont="1" applyBorder="1" applyAlignment="1">
      <alignment horizontal="center" vertical="center"/>
    </xf>
    <xf numFmtId="0" fontId="39" fillId="0" borderId="131" xfId="0" applyFont="1" applyBorder="1" applyAlignment="1">
      <alignment horizontal="center" vertical="center"/>
    </xf>
    <xf numFmtId="0" fontId="39" fillId="0" borderId="2" xfId="0" applyFont="1" applyBorder="1" applyAlignment="1">
      <alignment horizontal="center" vertical="center"/>
    </xf>
    <xf numFmtId="0" fontId="39" fillId="0" borderId="132" xfId="0" applyFont="1" applyBorder="1" applyAlignment="1">
      <alignment horizontal="center" vertical="center"/>
    </xf>
    <xf numFmtId="0" fontId="13" fillId="0" borderId="67" xfId="0" applyFont="1" applyBorder="1" applyAlignment="1">
      <alignment horizontal="center" vertical="center"/>
    </xf>
    <xf numFmtId="0" fontId="13" fillId="0" borderId="69" xfId="0" applyFont="1" applyBorder="1" applyAlignment="1">
      <alignment horizontal="center" vertical="center"/>
    </xf>
    <xf numFmtId="0" fontId="13" fillId="0" borderId="77" xfId="0" applyFont="1" applyBorder="1" applyAlignment="1">
      <alignment horizontal="center" vertical="center"/>
    </xf>
    <xf numFmtId="0" fontId="13" fillId="0" borderId="100" xfId="0" applyFont="1" applyBorder="1" applyAlignment="1">
      <alignment horizontal="center" vertical="center"/>
    </xf>
    <xf numFmtId="0" fontId="40" fillId="0" borderId="12" xfId="0" applyFont="1" applyBorder="1" applyAlignment="1">
      <alignment horizontal="center" vertical="center"/>
    </xf>
    <xf numFmtId="0" fontId="40" fillId="0" borderId="154" xfId="0" applyFont="1" applyBorder="1" applyAlignment="1">
      <alignment horizontal="center" vertical="center"/>
    </xf>
    <xf numFmtId="0" fontId="40" fillId="0" borderId="155" xfId="0" applyFont="1" applyBorder="1" applyAlignment="1">
      <alignment horizontal="center" vertical="center"/>
    </xf>
    <xf numFmtId="0" fontId="40" fillId="0" borderId="156" xfId="0" applyFont="1" applyBorder="1" applyAlignment="1">
      <alignment horizontal="center" vertical="center"/>
    </xf>
    <xf numFmtId="0" fontId="13" fillId="0" borderId="103" xfId="0" applyFont="1" applyBorder="1" applyAlignment="1">
      <alignment horizontal="center" vertical="center"/>
    </xf>
    <xf numFmtId="0" fontId="40" fillId="0" borderId="131" xfId="0" applyFont="1" applyBorder="1" applyAlignment="1">
      <alignment horizontal="center" vertical="center"/>
    </xf>
    <xf numFmtId="0" fontId="40" fillId="0" borderId="183" xfId="0" applyFont="1" applyBorder="1" applyAlignment="1">
      <alignment horizontal="center" vertical="center"/>
    </xf>
    <xf numFmtId="0" fontId="40" fillId="0" borderId="184" xfId="0" applyFont="1" applyBorder="1" applyAlignment="1">
      <alignment horizontal="center" vertical="center"/>
    </xf>
    <xf numFmtId="0" fontId="40" fillId="0" borderId="169" xfId="0" applyFont="1" applyBorder="1" applyAlignment="1">
      <alignment horizontal="center" vertical="center"/>
    </xf>
    <xf numFmtId="0" fontId="40" fillId="0" borderId="170" xfId="0" applyFont="1" applyBorder="1" applyAlignment="1">
      <alignment horizontal="center" vertical="center"/>
    </xf>
    <xf numFmtId="0" fontId="40" fillId="0" borderId="157" xfId="0" applyFont="1" applyBorder="1" applyAlignment="1">
      <alignment horizontal="center" vertical="center"/>
    </xf>
    <xf numFmtId="0" fontId="40" fillId="0" borderId="34" xfId="0" applyFont="1" applyBorder="1" applyAlignment="1">
      <alignment horizontal="center" vertical="center"/>
    </xf>
    <xf numFmtId="0" fontId="25" fillId="0" borderId="0" xfId="0" applyFont="1" applyAlignment="1">
      <alignment horizontal="left" vertical="center"/>
    </xf>
    <xf numFmtId="0" fontId="13" fillId="0" borderId="13" xfId="0" applyFont="1" applyBorder="1" applyAlignment="1">
      <alignment horizontal="center" vertical="center"/>
    </xf>
    <xf numFmtId="0" fontId="18" fillId="4" borderId="100" xfId="0" applyFont="1" applyFill="1" applyBorder="1" applyAlignment="1">
      <alignment horizontal="center" vertical="center"/>
    </xf>
    <xf numFmtId="0" fontId="13" fillId="0" borderId="74" xfId="0" applyFont="1" applyBorder="1" applyAlignment="1">
      <alignment horizontal="center" vertical="center"/>
    </xf>
    <xf numFmtId="0" fontId="13" fillId="0" borderId="97" xfId="0" applyFont="1" applyBorder="1" applyAlignment="1">
      <alignment horizontal="center" vertical="center"/>
    </xf>
    <xf numFmtId="0" fontId="0" fillId="0" borderId="131" xfId="0" applyBorder="1" applyAlignment="1">
      <alignment horizontal="center" vertical="center"/>
    </xf>
    <xf numFmtId="0" fontId="0" fillId="0" borderId="2" xfId="0" applyBorder="1" applyAlignment="1">
      <alignment horizontal="center" vertical="center"/>
    </xf>
    <xf numFmtId="0" fontId="0" fillId="0" borderId="132" xfId="0" applyBorder="1" applyAlignment="1">
      <alignment horizontal="center" vertical="center"/>
    </xf>
    <xf numFmtId="0" fontId="13" fillId="0" borderId="150" xfId="0" applyFont="1" applyBorder="1" applyAlignment="1">
      <alignment horizontal="center" vertical="center"/>
    </xf>
    <xf numFmtId="0" fontId="13" fillId="0" borderId="160" xfId="0" applyFont="1" applyBorder="1" applyAlignment="1">
      <alignment horizontal="center" vertical="center"/>
    </xf>
    <xf numFmtId="0" fontId="40" fillId="0" borderId="186" xfId="0" applyFont="1" applyBorder="1" applyAlignment="1">
      <alignment horizontal="center" vertical="center"/>
    </xf>
    <xf numFmtId="0" fontId="18" fillId="4" borderId="69" xfId="0" applyFont="1" applyFill="1" applyBorder="1" applyAlignment="1">
      <alignment horizontal="center" vertical="center"/>
    </xf>
    <xf numFmtId="0" fontId="18" fillId="4" borderId="77" xfId="0" applyFont="1" applyFill="1" applyBorder="1" applyAlignment="1">
      <alignment horizontal="center" vertical="center"/>
    </xf>
    <xf numFmtId="0" fontId="18" fillId="4" borderId="73" xfId="0" applyFont="1" applyFill="1" applyBorder="1" applyAlignment="1">
      <alignment horizontal="center" vertical="center"/>
    </xf>
    <xf numFmtId="0" fontId="18" fillId="4" borderId="74" xfId="0" applyFont="1" applyFill="1" applyBorder="1" applyAlignment="1">
      <alignment horizontal="center" vertical="center"/>
    </xf>
    <xf numFmtId="0" fontId="6" fillId="0" borderId="17" xfId="0" applyFont="1" applyBorder="1" applyAlignment="1">
      <alignment horizontal="left" vertical="center"/>
    </xf>
    <xf numFmtId="0" fontId="6" fillId="0" borderId="124" xfId="0" applyFont="1" applyBorder="1" applyAlignment="1">
      <alignment horizontal="left" vertical="center"/>
    </xf>
    <xf numFmtId="0" fontId="6" fillId="0" borderId="208" xfId="0" applyFont="1" applyBorder="1" applyAlignment="1">
      <alignment horizontal="left" vertical="center"/>
    </xf>
    <xf numFmtId="0" fontId="6" fillId="0" borderId="126" xfId="0" applyFont="1" applyBorder="1" applyAlignment="1">
      <alignment horizontal="left" vertical="center"/>
    </xf>
    <xf numFmtId="0" fontId="6" fillId="0" borderId="4" xfId="0" applyFont="1" applyBorder="1" applyAlignment="1">
      <alignment horizontal="left" vertical="center"/>
    </xf>
    <xf numFmtId="0" fontId="6" fillId="0" borderId="127" xfId="0" applyFont="1" applyBorder="1" applyAlignment="1">
      <alignment horizontal="left" vertical="center"/>
    </xf>
    <xf numFmtId="0" fontId="6" fillId="0" borderId="68" xfId="0" applyFont="1" applyBorder="1" applyAlignment="1">
      <alignment horizontal="left" vertical="center"/>
    </xf>
    <xf numFmtId="0" fontId="6" fillId="0" borderId="128" xfId="0" applyFont="1" applyBorder="1" applyAlignment="1">
      <alignment horizontal="left" vertical="center"/>
    </xf>
  </cellXfs>
  <cellStyles count="3">
    <cellStyle name="パーセント 2" xfId="2" xr:uid="{00000000-0005-0000-0000-000000000000}"/>
    <cellStyle name="標準" xfId="0" builtinId="0"/>
    <cellStyle name="標準 2" xfId="1" xr:uid="{00000000-0005-0000-0000-000002000000}"/>
  </cellStyles>
  <dxfs count="15">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val="0"/>
        <strike val="0"/>
        <condense val="0"/>
        <extend val="0"/>
        <outline val="0"/>
        <shadow val="0"/>
        <u val="none"/>
        <vertAlign val="baseline"/>
        <sz val="10"/>
        <color theme="1"/>
        <name val="ＭＳ Ｐゴシック"/>
        <family val="3"/>
        <charset val="128"/>
        <scheme val="major"/>
      </font>
    </dxf>
  </dxfs>
  <tableStyles count="0" defaultTableStyle="TableStyleMedium9" defaultPivotStyle="PivotStyleLight16"/>
  <colors>
    <mruColors>
      <color rgb="FFFF0000"/>
      <color rgb="FF3399FF"/>
      <color rgb="FF00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累計件数比較</a:t>
            </a:r>
            <a:endParaRPr lang="en-US" altLang="ja-JP"/>
          </a:p>
        </c:rich>
      </c:tx>
      <c:layout>
        <c:manualLayout>
          <c:xMode val="edge"/>
          <c:yMode val="edge"/>
          <c:x val="0.43723849372384943"/>
          <c:y val="8.01603206412825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3.7000186692144652E-2"/>
          <c:y val="6.46626586506346E-2"/>
          <c:w val="0.9508413226589354"/>
          <c:h val="0.86032495437068357"/>
        </c:manualLayout>
      </c:layout>
      <c:lineChart>
        <c:grouping val="standard"/>
        <c:varyColors val="0"/>
        <c:ser>
          <c:idx val="0"/>
          <c:order val="0"/>
          <c:tx>
            <c:v>2024.01-03</c:v>
          </c:tx>
          <c:spPr>
            <a:ln w="28575" cap="rnd">
              <a:solidFill>
                <a:schemeClr val="accent1"/>
              </a:solidFill>
              <a:round/>
            </a:ln>
            <a:effectLst/>
          </c:spPr>
          <c:marker>
            <c:symbol val="none"/>
          </c:marker>
          <c:val>
            <c:numRef>
              <c:f>グラフ!$B$37:$CN$37</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76B9-4FCF-9BA5-FEFD93EEA543}"/>
            </c:ext>
          </c:extLst>
        </c:ser>
        <c:ser>
          <c:idx val="1"/>
          <c:order val="1"/>
          <c:tx>
            <c:v>2024.07-09</c:v>
          </c:tx>
          <c:spPr>
            <a:ln w="28575" cap="rnd">
              <a:solidFill>
                <a:schemeClr val="accent2"/>
              </a:solidFill>
              <a:round/>
            </a:ln>
            <a:effectLst/>
          </c:spPr>
          <c:marker>
            <c:symbol val="none"/>
          </c:marker>
          <c:val>
            <c:numRef>
              <c:f>グラフ!$B$51:$CO$51</c:f>
              <c:numCache>
                <c:formatCode>General</c:formatCode>
                <c:ptCount val="92"/>
                <c:pt idx="0">
                  <c:v>0</c:v>
                </c:pt>
                <c:pt idx="1">
                  <c:v>0</c:v>
                </c:pt>
                <c:pt idx="2">
                  <c:v>17</c:v>
                </c:pt>
                <c:pt idx="3">
                  <c:v>19</c:v>
                </c:pt>
                <c:pt idx="4">
                  <c:v>19</c:v>
                </c:pt>
                <c:pt idx="5">
                  <c:v>23</c:v>
                </c:pt>
                <c:pt idx="6">
                  <c:v>24</c:v>
                </c:pt>
                <c:pt idx="7">
                  <c:v>32</c:v>
                </c:pt>
                <c:pt idx="8">
                  <c:v>39</c:v>
                </c:pt>
                <c:pt idx="9">
                  <c:v>46</c:v>
                </c:pt>
                <c:pt idx="10">
                  <c:v>52</c:v>
                </c:pt>
                <c:pt idx="11">
                  <c:v>52</c:v>
                </c:pt>
                <c:pt idx="12">
                  <c:v>52</c:v>
                </c:pt>
                <c:pt idx="13">
                  <c:v>71</c:v>
                </c:pt>
                <c:pt idx="14">
                  <c:v>78</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78</c:v>
                </c:pt>
                <c:pt idx="32">
                  <c:v>78</c:v>
                </c:pt>
                <c:pt idx="33">
                  <c:v>78</c:v>
                </c:pt>
                <c:pt idx="34">
                  <c:v>78</c:v>
                </c:pt>
                <c:pt idx="35">
                  <c:v>78</c:v>
                </c:pt>
                <c:pt idx="36">
                  <c:v>78</c:v>
                </c:pt>
                <c:pt idx="37">
                  <c:v>78</c:v>
                </c:pt>
                <c:pt idx="38">
                  <c:v>78</c:v>
                </c:pt>
                <c:pt idx="39">
                  <c:v>78</c:v>
                </c:pt>
                <c:pt idx="40">
                  <c:v>78</c:v>
                </c:pt>
                <c:pt idx="41">
                  <c:v>78</c:v>
                </c:pt>
                <c:pt idx="42">
                  <c:v>78</c:v>
                </c:pt>
                <c:pt idx="43">
                  <c:v>78</c:v>
                </c:pt>
                <c:pt idx="44">
                  <c:v>78</c:v>
                </c:pt>
                <c:pt idx="45">
                  <c:v>78</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78</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76B9-4FCF-9BA5-FEFD93EEA543}"/>
            </c:ext>
          </c:extLst>
        </c:ser>
        <c:dLbls>
          <c:showLegendKey val="0"/>
          <c:showVal val="0"/>
          <c:showCatName val="0"/>
          <c:showSerName val="0"/>
          <c:showPercent val="0"/>
          <c:showBubbleSize val="0"/>
        </c:dLbls>
        <c:smooth val="0"/>
        <c:axId val="718223520"/>
        <c:axId val="718224960"/>
      </c:lineChart>
      <c:catAx>
        <c:axId val="718223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4960"/>
        <c:crosses val="autoZero"/>
        <c:auto val="1"/>
        <c:lblAlgn val="ctr"/>
        <c:lblOffset val="100"/>
        <c:noMultiLvlLbl val="0"/>
      </c:catAx>
      <c:valAx>
        <c:axId val="718224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3520"/>
        <c:crosses val="autoZero"/>
        <c:crossBetween val="between"/>
      </c:valAx>
      <c:spPr>
        <a:noFill/>
        <a:ln>
          <a:noFill/>
        </a:ln>
        <a:effectLst/>
      </c:spPr>
    </c:plotArea>
    <c:legend>
      <c:legendPos val="b"/>
      <c:layout>
        <c:manualLayout>
          <c:xMode val="edge"/>
          <c:yMode val="edge"/>
          <c:x val="0.10305988425087033"/>
          <c:y val="9.185005180965608E-2"/>
          <c:w val="0.21926366421770502"/>
          <c:h val="4.509049595253499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累計口数比較</a:t>
            </a:r>
            <a:endParaRPr lang="en-US" altLang="ja-JP"/>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4.6026633473951098E-2"/>
          <c:y val="9.1081929449651933E-2"/>
          <c:w val="0.93830923947891465"/>
          <c:h val="0.83596632725692077"/>
        </c:manualLayout>
      </c:layout>
      <c:lineChart>
        <c:grouping val="standard"/>
        <c:varyColors val="0"/>
        <c:ser>
          <c:idx val="0"/>
          <c:order val="0"/>
          <c:tx>
            <c:v>2024.01-03</c:v>
          </c:tx>
          <c:spPr>
            <a:ln w="28575" cap="rnd">
              <a:solidFill>
                <a:schemeClr val="accent1"/>
              </a:solidFill>
              <a:round/>
            </a:ln>
            <a:effectLst/>
          </c:spPr>
          <c:marker>
            <c:symbol val="none"/>
          </c:marker>
          <c:val>
            <c:numRef>
              <c:f>グラフ!$B$40:$CN$40</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D794-434F-A7B5-599C86D8DA20}"/>
            </c:ext>
          </c:extLst>
        </c:ser>
        <c:ser>
          <c:idx val="1"/>
          <c:order val="1"/>
          <c:tx>
            <c:v>2024.07-09</c:v>
          </c:tx>
          <c:spPr>
            <a:ln w="28575" cap="rnd">
              <a:solidFill>
                <a:schemeClr val="accent2"/>
              </a:solidFill>
              <a:round/>
            </a:ln>
            <a:effectLst/>
          </c:spPr>
          <c:marker>
            <c:symbol val="none"/>
          </c:marker>
          <c:val>
            <c:numRef>
              <c:f>グラフ!$B$54:$CO$54</c:f>
              <c:numCache>
                <c:formatCode>General</c:formatCode>
                <c:ptCount val="92"/>
                <c:pt idx="0">
                  <c:v>0</c:v>
                </c:pt>
                <c:pt idx="1">
                  <c:v>0</c:v>
                </c:pt>
                <c:pt idx="2">
                  <c:v>28</c:v>
                </c:pt>
                <c:pt idx="3">
                  <c:v>31</c:v>
                </c:pt>
                <c:pt idx="4">
                  <c:v>31</c:v>
                </c:pt>
                <c:pt idx="5">
                  <c:v>38</c:v>
                </c:pt>
                <c:pt idx="6">
                  <c:v>39</c:v>
                </c:pt>
                <c:pt idx="7">
                  <c:v>52</c:v>
                </c:pt>
                <c:pt idx="8">
                  <c:v>62</c:v>
                </c:pt>
                <c:pt idx="9">
                  <c:v>71</c:v>
                </c:pt>
                <c:pt idx="10">
                  <c:v>81</c:v>
                </c:pt>
                <c:pt idx="11">
                  <c:v>81</c:v>
                </c:pt>
                <c:pt idx="12">
                  <c:v>81</c:v>
                </c:pt>
                <c:pt idx="13">
                  <c:v>104</c:v>
                </c:pt>
                <c:pt idx="14">
                  <c:v>112</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112</c:v>
                </c:pt>
                <c:pt idx="32">
                  <c:v>112</c:v>
                </c:pt>
                <c:pt idx="33">
                  <c:v>112</c:v>
                </c:pt>
                <c:pt idx="34">
                  <c:v>112</c:v>
                </c:pt>
                <c:pt idx="35">
                  <c:v>112</c:v>
                </c:pt>
                <c:pt idx="36">
                  <c:v>112</c:v>
                </c:pt>
                <c:pt idx="37">
                  <c:v>112</c:v>
                </c:pt>
                <c:pt idx="38">
                  <c:v>112</c:v>
                </c:pt>
                <c:pt idx="39">
                  <c:v>112</c:v>
                </c:pt>
                <c:pt idx="40">
                  <c:v>112</c:v>
                </c:pt>
                <c:pt idx="41">
                  <c:v>112</c:v>
                </c:pt>
                <c:pt idx="42">
                  <c:v>112</c:v>
                </c:pt>
                <c:pt idx="43">
                  <c:v>112</c:v>
                </c:pt>
                <c:pt idx="44">
                  <c:v>112</c:v>
                </c:pt>
                <c:pt idx="45">
                  <c:v>112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112</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D794-434F-A7B5-599C86D8DA20}"/>
            </c:ext>
          </c:extLst>
        </c:ser>
        <c:dLbls>
          <c:showLegendKey val="0"/>
          <c:showVal val="0"/>
          <c:showCatName val="0"/>
          <c:showSerName val="0"/>
          <c:showPercent val="0"/>
          <c:showBubbleSize val="0"/>
        </c:dLbls>
        <c:smooth val="0"/>
        <c:axId val="677503352"/>
        <c:axId val="677501552"/>
      </c:lineChart>
      <c:catAx>
        <c:axId val="677503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1552"/>
        <c:crosses val="autoZero"/>
        <c:auto val="1"/>
        <c:lblAlgn val="ctr"/>
        <c:lblOffset val="100"/>
        <c:noMultiLvlLbl val="0"/>
      </c:catAx>
      <c:valAx>
        <c:axId val="67750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3352"/>
        <c:crosses val="autoZero"/>
        <c:crossBetween val="between"/>
      </c:valAx>
      <c:spPr>
        <a:noFill/>
        <a:ln>
          <a:noFill/>
        </a:ln>
        <a:effectLst/>
      </c:spPr>
    </c:plotArea>
    <c:legend>
      <c:legendPos val="b"/>
      <c:layout>
        <c:manualLayout>
          <c:xMode val="edge"/>
          <c:yMode val="edge"/>
          <c:x val="9.6770063114791957E-2"/>
          <c:y val="0.1115492498863154"/>
          <c:w val="0.25513756509787711"/>
          <c:h val="4.3859947125918335E-2"/>
        </c:manualLayout>
      </c:layout>
      <c:overlay val="0"/>
      <c:spPr>
        <a:noFill/>
        <a:ln>
          <a:solidFill>
            <a:schemeClr val="tx1">
              <a:alpha val="88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7</xdr:row>
          <xdr:rowOff>19050</xdr:rowOff>
        </xdr:from>
        <xdr:to>
          <xdr:col>1</xdr:col>
          <xdr:colOff>762000</xdr:colOff>
          <xdr:row>7</xdr:row>
          <xdr:rowOff>238125</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ja-JP" altLang="en-US" sz="1100" b="0" i="0" u="none" strike="noStrike" baseline="0">
                  <a:solidFill>
                    <a:srgbClr val="000000"/>
                  </a:solidFill>
                  <a:latin typeface="ＭＳ Ｐゴシック"/>
                  <a:ea typeface="ＭＳ Ｐゴシック"/>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1352550</xdr:colOff>
          <xdr:row>7</xdr:row>
          <xdr:rowOff>19050</xdr:rowOff>
        </xdr:from>
        <xdr:to>
          <xdr:col>1</xdr:col>
          <xdr:colOff>1885950</xdr:colOff>
          <xdr:row>7</xdr:row>
          <xdr:rowOff>238125</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000-0000025802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ja-JP" altLang="en-US" sz="1100" b="0" i="0" u="none" strike="noStrike" baseline="0">
                  <a:solidFill>
                    <a:srgbClr val="000000"/>
                  </a:solidFill>
                  <a:latin typeface="ＭＳ Ｐゴシック"/>
                  <a:ea typeface="ＭＳ Ｐゴシック"/>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0</xdr:row>
          <xdr:rowOff>304800</xdr:rowOff>
        </xdr:from>
        <xdr:to>
          <xdr:col>4</xdr:col>
          <xdr:colOff>923925</xdr:colOff>
          <xdr:row>1</xdr:row>
          <xdr:rowOff>9525</xdr:rowOff>
        </xdr:to>
        <xdr:sp macro="" textlink="">
          <xdr:nvSpPr>
            <xdr:cNvPr id="153609" name="Button 9" hidden="1">
              <a:extLst>
                <a:ext uri="{63B3BB69-23CF-44E3-9099-C40C66FF867C}">
                  <a14:compatExt spid="_x0000_s153609"/>
                </a:ext>
                <a:ext uri="{FF2B5EF4-FFF2-40B4-BE49-F238E27FC236}">
                  <a16:creationId xmlns:a16="http://schemas.microsoft.com/office/drawing/2014/main" id="{00000000-0008-0000-0000-0000095802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ja-JP" altLang="en-US" sz="1100" b="0" i="0" u="none" strike="noStrike" baseline="0">
                  <a:solidFill>
                    <a:srgbClr val="000000"/>
                  </a:solidFill>
                  <a:latin typeface="ＭＳ Ｐゴシック"/>
                  <a:ea typeface="ＭＳ Ｐゴシック"/>
                </a:rPr>
                <a:t>加入登録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3</xdr:row>
          <xdr:rowOff>38100</xdr:rowOff>
        </xdr:from>
        <xdr:to>
          <xdr:col>3</xdr:col>
          <xdr:colOff>514350</xdr:colOff>
          <xdr:row>7</xdr:row>
          <xdr:rowOff>19050</xdr:rowOff>
        </xdr:to>
        <xdr:sp macro="" textlink="">
          <xdr:nvSpPr>
            <xdr:cNvPr id="133121" name="Button 1" hidden="1">
              <a:extLst>
                <a:ext uri="{63B3BB69-23CF-44E3-9099-C40C66FF867C}">
                  <a14:compatExt spid="_x0000_s133121"/>
                </a:ext>
                <a:ext uri="{FF2B5EF4-FFF2-40B4-BE49-F238E27FC236}">
                  <a16:creationId xmlns:a16="http://schemas.microsoft.com/office/drawing/2014/main" id="{00000000-0008-0000-0200-000001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99CC00"/>
                  </a:solidFill>
                  <a:latin typeface="UD デジタル 教科書体 N-B"/>
                  <a:ea typeface="UD デジタル 教科書体 N-B"/>
                </a:rPr>
                <a:t>グループ作成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33122" name="Button 2" hidden="1">
              <a:extLst>
                <a:ext uri="{63B3BB69-23CF-44E3-9099-C40C66FF867C}">
                  <a14:compatExt spid="_x0000_s133122"/>
                </a:ext>
                <a:ext uri="{FF2B5EF4-FFF2-40B4-BE49-F238E27FC236}">
                  <a16:creationId xmlns:a16="http://schemas.microsoft.com/office/drawing/2014/main" id="{00000000-0008-0000-0200-000002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0000FF"/>
                  </a:solidFill>
                  <a:latin typeface="UD デジタル 教科書体 N-B"/>
                  <a:ea typeface="UD デジタル 教科書体 N-B"/>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152400</xdr:rowOff>
        </xdr:from>
        <xdr:to>
          <xdr:col>3</xdr:col>
          <xdr:colOff>95250</xdr:colOff>
          <xdr:row>17</xdr:row>
          <xdr:rowOff>28575</xdr:rowOff>
        </xdr:to>
        <xdr:sp macro="" textlink="">
          <xdr:nvSpPr>
            <xdr:cNvPr id="133124" name="Button 4" hidden="1">
              <a:extLst>
                <a:ext uri="{63B3BB69-23CF-44E3-9099-C40C66FF867C}">
                  <a14:compatExt spid="_x0000_s133124"/>
                </a:ext>
                <a:ext uri="{FF2B5EF4-FFF2-40B4-BE49-F238E27FC236}">
                  <a16:creationId xmlns:a16="http://schemas.microsoft.com/office/drawing/2014/main" id="{00000000-0008-0000-0200-0000040802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144262</xdr:rowOff>
    </xdr:to>
    <xdr:pic>
      <xdr:nvPicPr>
        <xdr:cNvPr id="2" name="図 1" descr="諏訪ハウス01_000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4375903" y="3226299"/>
          <a:ext cx="1071221" cy="1597279"/>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52178</xdr:colOff>
          <xdr:row>57</xdr:row>
          <xdr:rowOff>87795</xdr:rowOff>
        </xdr:from>
        <xdr:to>
          <xdr:col>14</xdr:col>
          <xdr:colOff>286157</xdr:colOff>
          <xdr:row>62</xdr:row>
          <xdr:rowOff>129209</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T$56:$X$60" spid="_x0000_s246813"/>
                </a:ext>
              </a:extLst>
            </xdr:cNvPicPr>
          </xdr:nvPicPr>
          <xdr:blipFill>
            <a:blip xmlns:r="http://schemas.openxmlformats.org/officeDocument/2006/relationships" r:embed="rId2"/>
            <a:srcRect/>
            <a:stretch>
              <a:fillRect/>
            </a:stretch>
          </xdr:blipFill>
          <xdr:spPr bwMode="auto">
            <a:xfrm>
              <a:off x="3043028" y="10489095"/>
              <a:ext cx="3777279" cy="927239"/>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28575</xdr:rowOff>
        </xdr:from>
        <xdr:to>
          <xdr:col>3</xdr:col>
          <xdr:colOff>121747</xdr:colOff>
          <xdr:row>60</xdr:row>
          <xdr:rowOff>47625</xdr:rowOff>
        </xdr:to>
        <xdr:pic>
          <xdr:nvPicPr>
            <xdr:cNvPr id="3" name="図 2">
              <a:extLst>
                <a:ext uri="{FF2B5EF4-FFF2-40B4-BE49-F238E27FC236}">
                  <a16:creationId xmlns:a16="http://schemas.microsoft.com/office/drawing/2014/main" id="{00000000-0008-0000-0400-000003000000}"/>
                </a:ext>
              </a:extLst>
            </xdr:cNvPr>
            <xdr:cNvPicPr>
              <a:picLocks noChangeAspect="1" noChangeArrowheads="1"/>
              <a:extLst>
                <a:ext uri="{84589F7E-364E-4C9E-8A38-B11213B215E9}">
                  <a14:cameraTool cellRange="$A$81:$C$83" spid="_x0000_s246814"/>
                </a:ext>
              </a:extLst>
            </xdr:cNvPicPr>
          </xdr:nvPicPr>
          <xdr:blipFill>
            <a:blip xmlns:r="http://schemas.openxmlformats.org/officeDocument/2006/relationships" r:embed="rId3"/>
            <a:srcRect/>
            <a:stretch>
              <a:fillRect/>
            </a:stretch>
          </xdr:blipFill>
          <xdr:spPr bwMode="auto">
            <a:xfrm>
              <a:off x="0" y="10420350"/>
              <a:ext cx="1655272" cy="561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600-000003000000}"/>
                </a:ext>
              </a:extLst>
            </xdr:cNvPr>
            <xdr:cNvPicPr>
              <a:picLocks noChangeAspect="1" noChangeArrowheads="1"/>
              <a:extLst>
                <a:ext uri="{84589F7E-364E-4C9E-8A38-B11213B215E9}">
                  <a14:cameraTool cellRange="$T$56:$X$60" spid="_x0000_s233941"/>
                </a:ext>
              </a:extLst>
            </xdr:cNvPicPr>
          </xdr:nvPicPr>
          <xdr:blipFill>
            <a:blip xmlns:r="http://schemas.openxmlformats.org/officeDocument/2006/relationships" r:embed="rId2"/>
            <a:srcRect/>
            <a:stretch>
              <a:fillRect/>
            </a:stretch>
          </xdr:blipFill>
          <xdr:spPr bwMode="auto">
            <a:xfrm>
              <a:off x="2898907" y="10295281"/>
              <a:ext cx="3851413" cy="91108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5" name="図 4">
              <a:extLst>
                <a:ext uri="{FF2B5EF4-FFF2-40B4-BE49-F238E27FC236}">
                  <a16:creationId xmlns:a16="http://schemas.microsoft.com/office/drawing/2014/main" id="{00000000-0008-0000-0600-000005000000}"/>
                </a:ext>
              </a:extLst>
            </xdr:cNvPr>
            <xdr:cNvPicPr>
              <a:picLocks noChangeAspect="1" noChangeArrowheads="1"/>
              <a:extLst>
                <a:ext uri="{84589F7E-364E-4C9E-8A38-B11213B215E9}">
                  <a14:cameraTool cellRange="$A$80:$C$83" spid="_x0000_s233942"/>
                </a:ext>
              </a:extLst>
            </xdr:cNvPicPr>
          </xdr:nvPicPr>
          <xdr:blipFill>
            <a:blip xmlns:r="http://schemas.openxmlformats.org/officeDocument/2006/relationships" r:embed="rId3"/>
            <a:srcRect/>
            <a:stretch>
              <a:fillRect/>
            </a:stretch>
          </xdr:blipFill>
          <xdr:spPr bwMode="auto">
            <a:xfrm>
              <a:off x="74544" y="10494065"/>
              <a:ext cx="1532283" cy="69573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800-000003000000}"/>
                </a:ext>
              </a:extLst>
            </xdr:cNvPr>
            <xdr:cNvPicPr>
              <a:picLocks noChangeAspect="1" noChangeArrowheads="1"/>
              <a:extLst>
                <a:ext uri="{84589F7E-364E-4C9E-8A38-B11213B215E9}">
                  <a14:cameraTool cellRange="$T$56:$X$60" spid="_x0000_s223717"/>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800-000004000000}"/>
                </a:ext>
              </a:extLst>
            </xdr:cNvPr>
            <xdr:cNvPicPr>
              <a:picLocks noChangeAspect="1" noChangeArrowheads="1"/>
              <a:extLst>
                <a:ext uri="{84589F7E-364E-4C9E-8A38-B11213B215E9}">
                  <a14:cameraTool cellRange="$A$80:$C$83" spid="_x0000_s223718"/>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A00-000003000000}"/>
                </a:ext>
              </a:extLst>
            </xdr:cNvPr>
            <xdr:cNvPicPr>
              <a:picLocks noChangeAspect="1" noChangeArrowheads="1"/>
              <a:extLst>
                <a:ext uri="{84589F7E-364E-4C9E-8A38-B11213B215E9}">
                  <a14:cameraTool cellRange="$T$56:$X$60" spid="_x0000_s226785"/>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A00-000004000000}"/>
                </a:ext>
              </a:extLst>
            </xdr:cNvPr>
            <xdr:cNvPicPr>
              <a:picLocks noChangeAspect="1" noChangeArrowheads="1"/>
              <a:extLst>
                <a:ext uri="{84589F7E-364E-4C9E-8A38-B11213B215E9}">
                  <a14:cameraTool cellRange="$A$80:$C$83" spid="_x0000_s226786"/>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27</xdr:col>
      <xdr:colOff>0</xdr:colOff>
      <xdr:row>18</xdr:row>
      <xdr:rowOff>107953</xdr:rowOff>
    </xdr:from>
    <xdr:to>
      <xdr:col>29</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115950</xdr:colOff>
          <xdr:row>56</xdr:row>
          <xdr:rowOff>16564</xdr:rowOff>
        </xdr:from>
        <xdr:to>
          <xdr:col>17</xdr:col>
          <xdr:colOff>341375</xdr:colOff>
          <xdr:row>61</xdr:row>
          <xdr:rowOff>16564</xdr:rowOff>
        </xdr:to>
        <xdr:pic>
          <xdr:nvPicPr>
            <xdr:cNvPr id="3" name="図 2">
              <a:extLst>
                <a:ext uri="{FF2B5EF4-FFF2-40B4-BE49-F238E27FC236}">
                  <a16:creationId xmlns:a16="http://schemas.microsoft.com/office/drawing/2014/main" id="{00000000-0008-0000-0B00-000003000000}"/>
                </a:ext>
              </a:extLst>
            </xdr:cNvPr>
            <xdr:cNvPicPr>
              <a:picLocks noChangeAspect="1" noChangeArrowheads="1"/>
              <a:extLst>
                <a:ext uri="{84589F7E-364E-4C9E-8A38-B11213B215E9}">
                  <a14:cameraTool cellRange="$W$56:$AB$60" spid="_x0000_s215372"/>
                </a:ext>
              </a:extLst>
            </xdr:cNvPicPr>
          </xdr:nvPicPr>
          <xdr:blipFill>
            <a:blip xmlns:r="http://schemas.openxmlformats.org/officeDocument/2006/relationships" r:embed="rId2"/>
            <a:srcRect/>
            <a:stretch>
              <a:fillRect/>
            </a:stretch>
          </xdr:blipFill>
          <xdr:spPr bwMode="auto">
            <a:xfrm>
              <a:off x="3084575" y="10224189"/>
              <a:ext cx="4524375" cy="8731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76200</xdr:colOff>
      <xdr:row>54</xdr:row>
      <xdr:rowOff>104775</xdr:rowOff>
    </xdr:from>
    <xdr:to>
      <xdr:col>24</xdr:col>
      <xdr:colOff>238125</xdr:colOff>
      <xdr:row>82</xdr:row>
      <xdr:rowOff>57150</xdr:rowOff>
    </xdr:to>
    <xdr:graphicFrame macro="">
      <xdr:nvGraphicFramePr>
        <xdr:cNvPr id="3" name="グラフ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80961</xdr:colOff>
      <xdr:row>82</xdr:row>
      <xdr:rowOff>123824</xdr:rowOff>
    </xdr:from>
    <xdr:to>
      <xdr:col>24</xdr:col>
      <xdr:colOff>266700</xdr:colOff>
      <xdr:row>111</xdr:row>
      <xdr:rowOff>38100</xdr:rowOff>
    </xdr:to>
    <xdr:graphicFrame macro="">
      <xdr:nvGraphicFramePr>
        <xdr:cNvPr id="2" name="グラフ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2</xdr:row>
          <xdr:rowOff>152400</xdr:rowOff>
        </xdr:from>
        <xdr:to>
          <xdr:col>3</xdr:col>
          <xdr:colOff>447675</xdr:colOff>
          <xdr:row>6</xdr:row>
          <xdr:rowOff>57150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D00-0000012802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ja-JP" altLang="en-US" sz="1100" b="0" i="0" u="none" strike="noStrike" baseline="0">
                  <a:solidFill>
                    <a:srgbClr val="000000"/>
                  </a:solidFill>
                  <a:latin typeface="ＭＳ Ｐゴシック"/>
                  <a:ea typeface="ＭＳ Ｐゴシック"/>
                </a:rPr>
                <a:t>グループ生成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41314" name="Button 2" hidden="1">
              <a:extLst>
                <a:ext uri="{63B3BB69-23CF-44E3-9099-C40C66FF867C}">
                  <a14:compatExt spid="_x0000_s141314"/>
                </a:ext>
                <a:ext uri="{FF2B5EF4-FFF2-40B4-BE49-F238E27FC236}">
                  <a16:creationId xmlns:a16="http://schemas.microsoft.com/office/drawing/2014/main" id="{00000000-0008-0000-0D00-0000022802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ja-JP" altLang="en-US" sz="1100" b="0" i="0" u="none" strike="noStrike" baseline="0">
                  <a:solidFill>
                    <a:srgbClr val="000000"/>
                  </a:solidFill>
                  <a:latin typeface="ＭＳ Ｐゴシック"/>
                  <a:ea typeface="ＭＳ Ｐゴシック"/>
                </a:rPr>
                <a:t>リセット</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007A2F-3358-4D60-819A-51C90E4EF0E9}" name="加入情報一覧" displayName="加入情報一覧" ref="A1:G72" totalsRowShown="0">
  <autoFilter ref="A1:G72" xr:uid="{EC007A2F-3358-4D60-819A-51C90E4EF0E9}"/>
  <tableColumns count="7">
    <tableColumn id="1" xr3:uid="{E6DC7E1E-53D3-484D-A6F2-93881B483B91}" name="部署"/>
    <tableColumn id="2" xr3:uid="{EFDDD566-854C-4855-8B9C-4A20ACD00A7A}" name="名前" dataDxfId="14"/>
    <tableColumn id="3" xr3:uid="{70ED35BA-89CA-4D1A-AF08-4CE0696526A4}" name="受付日"/>
    <tableColumn id="4" xr3:uid="{7CF05288-1318-4BDF-A7A9-B2889BF7A6BC}" name="件数"/>
    <tableColumn id="5" xr3:uid="{E75BFAE2-FCF7-44E4-8B46-C952DBFB4CEB}" name="口数"/>
    <tableColumn id="6" xr3:uid="{3D0263C6-9EB6-4FF0-93AA-8808BBD0A8A4}" name="加入契機"/>
    <tableColumn id="7" xr3:uid="{08C55EB5-DFFB-4B4F-A999-31DF4D11A890}" name="備考"/>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4EB3-6119-44CB-9D4B-F5A7EB45A419}">
  <sheetPr codeName="Sheet21">
    <tabColor rgb="FFC00000"/>
  </sheetPr>
  <dimension ref="A1:L93"/>
  <sheetViews>
    <sheetView tabSelected="1" workbookViewId="0">
      <selection activeCell="F8" sqref="F8"/>
    </sheetView>
  </sheetViews>
  <sheetFormatPr defaultRowHeight="13.5"/>
  <cols>
    <col min="1" max="1" width="4.875" customWidth="1"/>
    <col min="2" max="2" width="29.625" customWidth="1"/>
    <col min="5" max="5" width="16.125" bestFit="1" customWidth="1"/>
    <col min="6" max="6" width="12.375" bestFit="1" customWidth="1"/>
    <col min="7" max="7" width="7.125" bestFit="1" customWidth="1"/>
    <col min="8" max="9" width="5.25" bestFit="1" customWidth="1"/>
    <col min="10" max="10" width="17.875" bestFit="1" customWidth="1"/>
    <col min="11" max="11" width="13" bestFit="1" customWidth="1"/>
  </cols>
  <sheetData>
    <row r="1" spans="1:12" ht="41.25" customHeight="1">
      <c r="A1" s="686"/>
      <c r="B1" s="707" t="s">
        <v>536</v>
      </c>
      <c r="C1" s="686"/>
      <c r="D1" s="689"/>
      <c r="E1" s="711" t="s">
        <v>547</v>
      </c>
      <c r="F1" s="712"/>
      <c r="G1" s="712"/>
      <c r="H1" s="712"/>
      <c r="I1" s="712"/>
      <c r="J1" s="712"/>
      <c r="K1" s="712"/>
      <c r="L1" s="689"/>
    </row>
    <row r="2" spans="1:12" ht="14.25" thickBot="1">
      <c r="A2" s="686"/>
      <c r="B2" s="686"/>
      <c r="C2" s="686"/>
      <c r="D2" s="689"/>
      <c r="E2" s="689"/>
      <c r="F2" s="689"/>
      <c r="G2" s="689"/>
      <c r="H2" s="689"/>
      <c r="I2" s="689"/>
      <c r="J2" s="689"/>
      <c r="K2" s="689"/>
      <c r="L2" s="689"/>
    </row>
    <row r="3" spans="1:12" ht="14.25" thickBot="1">
      <c r="A3" s="686"/>
      <c r="B3" s="686"/>
      <c r="C3" s="686"/>
      <c r="D3" s="689"/>
      <c r="E3" s="690" t="s">
        <v>537</v>
      </c>
      <c r="F3" s="690" t="s">
        <v>538</v>
      </c>
      <c r="G3" s="690" t="s">
        <v>539</v>
      </c>
      <c r="H3" s="690" t="s">
        <v>540</v>
      </c>
      <c r="I3" s="690" t="s">
        <v>541</v>
      </c>
      <c r="J3" s="690" t="s">
        <v>528</v>
      </c>
      <c r="K3" s="690" t="s">
        <v>527</v>
      </c>
      <c r="L3" s="689"/>
    </row>
    <row r="4" spans="1:12" ht="30" customHeight="1" thickBot="1">
      <c r="A4" s="687" t="s">
        <v>461</v>
      </c>
      <c r="B4" s="708" t="s">
        <v>545</v>
      </c>
      <c r="C4" s="686"/>
      <c r="D4" s="689"/>
      <c r="E4" s="690"/>
      <c r="F4" s="691"/>
      <c r="G4" s="699"/>
      <c r="H4" s="690"/>
      <c r="I4" s="690"/>
      <c r="J4" s="690"/>
      <c r="K4" s="690"/>
      <c r="L4" s="689"/>
    </row>
    <row r="5" spans="1:12" ht="30" customHeight="1" thickBot="1">
      <c r="A5" s="687" t="s">
        <v>460</v>
      </c>
      <c r="B5" s="688" t="s">
        <v>601</v>
      </c>
      <c r="C5" s="686"/>
      <c r="D5" s="689"/>
      <c r="E5" s="690"/>
      <c r="F5" s="691"/>
      <c r="G5" s="699"/>
      <c r="H5" s="690"/>
      <c r="I5" s="690"/>
      <c r="J5" s="690"/>
      <c r="K5" s="690"/>
      <c r="L5" s="689"/>
    </row>
    <row r="6" spans="1:12" ht="30" customHeight="1" thickBot="1">
      <c r="A6" s="686"/>
      <c r="B6" s="709"/>
      <c r="C6" s="686"/>
      <c r="D6" s="689"/>
      <c r="E6" s="690"/>
      <c r="F6" s="691"/>
      <c r="G6" s="699"/>
      <c r="H6" s="690"/>
      <c r="I6" s="690"/>
      <c r="J6" s="690"/>
      <c r="K6" s="690"/>
      <c r="L6" s="689"/>
    </row>
    <row r="7" spans="1:12" ht="30" customHeight="1" thickBot="1">
      <c r="A7" s="686"/>
      <c r="B7" s="686"/>
      <c r="C7" s="686"/>
      <c r="D7" s="689"/>
      <c r="E7" s="690"/>
      <c r="F7" s="691"/>
      <c r="G7" s="699"/>
      <c r="H7" s="690"/>
      <c r="I7" s="690"/>
      <c r="J7" s="690"/>
      <c r="K7" s="690"/>
      <c r="L7" s="689"/>
    </row>
    <row r="8" spans="1:12" ht="30" customHeight="1" thickBot="1">
      <c r="A8" s="686"/>
      <c r="B8" s="686"/>
      <c r="C8" s="686"/>
      <c r="D8" s="689"/>
      <c r="E8" s="690"/>
      <c r="F8" s="691"/>
      <c r="G8" s="699"/>
      <c r="H8" s="690"/>
      <c r="I8" s="690"/>
      <c r="J8" s="690"/>
      <c r="K8" s="690"/>
      <c r="L8" s="689"/>
    </row>
    <row r="9" spans="1:12" ht="30" customHeight="1" thickBot="1">
      <c r="A9" s="686"/>
      <c r="B9" s="686"/>
      <c r="C9" s="686"/>
      <c r="D9" s="689"/>
      <c r="E9" s="690"/>
      <c r="F9" s="691"/>
      <c r="G9" s="699"/>
      <c r="H9" s="690"/>
      <c r="I9" s="690"/>
      <c r="J9" s="690"/>
      <c r="K9" s="690"/>
      <c r="L9" s="689"/>
    </row>
    <row r="10" spans="1:12" ht="30" customHeight="1" thickBot="1">
      <c r="A10" s="686"/>
      <c r="B10" s="686"/>
      <c r="C10" s="686"/>
      <c r="D10" s="689"/>
      <c r="E10" s="690"/>
      <c r="F10" s="691"/>
      <c r="G10" s="699"/>
      <c r="H10" s="690"/>
      <c r="I10" s="690"/>
      <c r="J10" s="690"/>
      <c r="K10" s="690"/>
      <c r="L10" s="689"/>
    </row>
    <row r="11" spans="1:12" ht="30" customHeight="1" thickBot="1">
      <c r="A11" s="686"/>
      <c r="B11" s="686"/>
      <c r="C11" s="686"/>
      <c r="D11" s="689"/>
      <c r="E11" s="690"/>
      <c r="F11" s="691"/>
      <c r="G11" s="699"/>
      <c r="H11" s="690"/>
      <c r="I11" s="690"/>
      <c r="J11" s="690"/>
      <c r="K11" s="690"/>
      <c r="L11" s="689"/>
    </row>
    <row r="12" spans="1:12" ht="30" customHeight="1" thickBot="1">
      <c r="A12" s="686"/>
      <c r="B12" s="686"/>
      <c r="C12" s="686"/>
      <c r="D12" s="689"/>
      <c r="E12" s="690"/>
      <c r="F12" s="691"/>
      <c r="G12" s="699"/>
      <c r="H12" s="690"/>
      <c r="I12" s="690"/>
      <c r="J12" s="690"/>
      <c r="K12" s="690"/>
      <c r="L12" s="689"/>
    </row>
    <row r="13" spans="1:12" ht="30" customHeight="1" thickBot="1">
      <c r="A13" s="686"/>
      <c r="B13" s="686"/>
      <c r="C13" s="686"/>
      <c r="D13" s="689"/>
      <c r="E13" s="690"/>
      <c r="F13" s="691"/>
      <c r="G13" s="699"/>
      <c r="H13" s="690"/>
      <c r="I13" s="690"/>
      <c r="J13" s="690"/>
      <c r="K13" s="690"/>
      <c r="L13" s="689"/>
    </row>
    <row r="14" spans="1:12" ht="30" customHeight="1" thickBot="1">
      <c r="A14" s="686"/>
      <c r="B14" s="686"/>
      <c r="C14" s="686"/>
      <c r="D14" s="689"/>
      <c r="E14" s="690"/>
      <c r="F14" s="691"/>
      <c r="G14" s="699"/>
      <c r="H14" s="690"/>
      <c r="I14" s="690"/>
      <c r="J14" s="690"/>
      <c r="K14" s="690"/>
      <c r="L14" s="689"/>
    </row>
    <row r="15" spans="1:12" ht="30" customHeight="1" thickBot="1">
      <c r="A15" s="686"/>
      <c r="B15" s="686"/>
      <c r="C15" s="686"/>
      <c r="D15" s="689"/>
      <c r="E15" s="690"/>
      <c r="F15" s="691"/>
      <c r="G15" s="699"/>
      <c r="H15" s="690"/>
      <c r="I15" s="690"/>
      <c r="J15" s="690"/>
      <c r="K15" s="690"/>
      <c r="L15" s="689"/>
    </row>
    <row r="16" spans="1:12" ht="30" customHeight="1" thickBot="1">
      <c r="A16" s="686"/>
      <c r="B16" s="686"/>
      <c r="C16" s="686"/>
      <c r="D16" s="689"/>
      <c r="E16" s="690"/>
      <c r="F16" s="691"/>
      <c r="G16" s="699"/>
      <c r="H16" s="690"/>
      <c r="I16" s="690"/>
      <c r="J16" s="690"/>
      <c r="K16" s="690"/>
      <c r="L16" s="689"/>
    </row>
    <row r="17" spans="4:12" ht="30" customHeight="1" thickBot="1">
      <c r="D17" s="689"/>
      <c r="E17" s="690"/>
      <c r="F17" s="691"/>
      <c r="G17" s="699"/>
      <c r="H17" s="690"/>
      <c r="I17" s="690"/>
      <c r="J17" s="690"/>
      <c r="K17" s="690"/>
      <c r="L17" s="689"/>
    </row>
    <row r="18" spans="4:12" ht="30" customHeight="1" thickBot="1">
      <c r="D18" s="689"/>
      <c r="E18" s="690"/>
      <c r="F18" s="691"/>
      <c r="G18" s="699"/>
      <c r="H18" s="690"/>
      <c r="I18" s="690"/>
      <c r="J18" s="690"/>
      <c r="K18" s="690"/>
      <c r="L18" s="689"/>
    </row>
    <row r="19" spans="4:12" ht="30" customHeight="1" thickBot="1">
      <c r="D19" s="689"/>
      <c r="E19" s="690"/>
      <c r="F19" s="691"/>
      <c r="G19" s="699"/>
      <c r="H19" s="690"/>
      <c r="I19" s="690"/>
      <c r="J19" s="690"/>
      <c r="K19" s="690"/>
      <c r="L19" s="689"/>
    </row>
    <row r="20" spans="4:12" ht="30" customHeight="1" thickBot="1">
      <c r="D20" s="689"/>
      <c r="E20" s="690"/>
      <c r="F20" s="691"/>
      <c r="G20" s="699"/>
      <c r="H20" s="690"/>
      <c r="I20" s="690"/>
      <c r="J20" s="690"/>
      <c r="K20" s="690"/>
      <c r="L20" s="689"/>
    </row>
    <row r="21" spans="4:12" ht="30" customHeight="1" thickBot="1">
      <c r="D21" s="689"/>
      <c r="E21" s="690"/>
      <c r="F21" s="691"/>
      <c r="G21" s="699"/>
      <c r="H21" s="690"/>
      <c r="I21" s="690"/>
      <c r="J21" s="690"/>
      <c r="K21" s="690"/>
      <c r="L21" s="689"/>
    </row>
    <row r="22" spans="4:12" ht="30" customHeight="1" thickBot="1">
      <c r="D22" s="689"/>
      <c r="E22" s="690"/>
      <c r="F22" s="691"/>
      <c r="G22" s="699"/>
      <c r="H22" s="690"/>
      <c r="I22" s="690"/>
      <c r="J22" s="690"/>
      <c r="K22" s="690"/>
      <c r="L22" s="689"/>
    </row>
    <row r="23" spans="4:12" ht="30" customHeight="1" thickBot="1">
      <c r="D23" s="689"/>
      <c r="E23" s="690"/>
      <c r="F23" s="691"/>
      <c r="G23" s="699"/>
      <c r="H23" s="690"/>
      <c r="I23" s="690"/>
      <c r="J23" s="690"/>
      <c r="K23" s="690"/>
      <c r="L23" s="689"/>
    </row>
    <row r="24" spans="4:12">
      <c r="D24" s="689"/>
      <c r="E24" s="689"/>
      <c r="F24" s="689"/>
      <c r="G24" s="689"/>
      <c r="H24" s="689"/>
      <c r="I24" s="689"/>
      <c r="J24" s="689"/>
      <c r="K24" s="689"/>
      <c r="L24" s="689"/>
    </row>
    <row r="93" ht="6" customHeight="1"/>
  </sheetData>
  <mergeCells count="1">
    <mergeCell ref="E1:K1"/>
  </mergeCells>
  <phoneticPr fontId="1"/>
  <dataValidations count="3">
    <dataValidation type="date" allowBlank="1" showInputMessage="1" showErrorMessage="1" sqref="G4:G23" xr:uid="{890BB686-531D-4681-B0B4-50C651C6E32F}">
      <formula1>45658</formula1>
      <formula2>45747</formula2>
    </dataValidation>
    <dataValidation type="whole" allowBlank="1" showInputMessage="1" showErrorMessage="1" sqref="H4:I23" xr:uid="{FB8FC66E-66F6-431F-8F06-29774EE31E88}">
      <formula1>1</formula1>
      <formula2>100</formula2>
    </dataValidation>
    <dataValidation type="list" allowBlank="1" showInputMessage="1" showErrorMessage="1" sqref="F4:F23" xr:uid="{5179FEE4-0302-4DDC-9A5F-5BF96652D832}">
      <formula1>INDIRECT($E4)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新規登録">
                <anchor moveWithCells="1">
                  <from>
                    <xdr:col>1</xdr:col>
                    <xdr:colOff>228600</xdr:colOff>
                    <xdr:row>7</xdr:row>
                    <xdr:rowOff>19050</xdr:rowOff>
                  </from>
                  <to>
                    <xdr:col>1</xdr:col>
                    <xdr:colOff>762000</xdr:colOff>
                    <xdr:row>7</xdr:row>
                    <xdr:rowOff>238125</xdr:rowOff>
                  </to>
                </anchor>
              </controlPr>
            </control>
          </mc:Choice>
        </mc:AlternateContent>
        <mc:AlternateContent xmlns:mc="http://schemas.openxmlformats.org/markup-compatibility/2006">
          <mc:Choice Requires="x14">
            <control shapeId="153602" r:id="rId4" name="Button 2">
              <controlPr defaultSize="0" print="0" autoFill="0" autoPict="0" macro="[0]!削除">
                <anchor moveWithCells="1">
                  <from>
                    <xdr:col>1</xdr:col>
                    <xdr:colOff>1352550</xdr:colOff>
                    <xdr:row>7</xdr:row>
                    <xdr:rowOff>19050</xdr:rowOff>
                  </from>
                  <to>
                    <xdr:col>1</xdr:col>
                    <xdr:colOff>1885950</xdr:colOff>
                    <xdr:row>7</xdr:row>
                    <xdr:rowOff>238125</xdr:rowOff>
                  </to>
                </anchor>
              </controlPr>
            </control>
          </mc:Choice>
        </mc:AlternateContent>
        <mc:AlternateContent xmlns:mc="http://schemas.openxmlformats.org/markup-compatibility/2006">
          <mc:Choice Requires="x14">
            <control shapeId="153609" r:id="rId5" name="Button 9">
              <controlPr defaultSize="0" print="0" autoFill="0" autoPict="0" macro="[0]!Module2.新規加入登録">
                <anchor moveWithCells="1">
                  <from>
                    <xdr:col>4</xdr:col>
                    <xdr:colOff>190500</xdr:colOff>
                    <xdr:row>0</xdr:row>
                    <xdr:rowOff>304800</xdr:rowOff>
                  </from>
                  <to>
                    <xdr:col>4</xdr:col>
                    <xdr:colOff>923925</xdr:colOff>
                    <xdr:row>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E52A683-6322-4CDB-A1E3-6CB4CB4B37C4}">
          <x14:formula1>
            <xm:f>従業員マスタ!$1:$1</xm:f>
          </x14:formula1>
          <xm:sqref>B4 E4:E23</xm:sqref>
        </x14:dataValidation>
        <x14:dataValidation type="list" allowBlank="1" showInputMessage="1" showErrorMessage="1" xr:uid="{7D8200FB-BE2A-470C-9338-FD0F1C77813C}">
          <x14:formula1>
            <xm:f>加入契機マスタ!$A$2:$A$10</xm:f>
          </x14:formula1>
          <xm:sqref>J4:J23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98CB8-C865-4610-BA1D-C5B7EBFBA490}">
  <sheetPr codeName="Sheet1"/>
  <dimension ref="A1:S37"/>
  <sheetViews>
    <sheetView workbookViewId="0">
      <selection activeCell="A9" sqref="A9"/>
    </sheetView>
  </sheetViews>
  <sheetFormatPr defaultRowHeight="13.5"/>
  <cols>
    <col min="1" max="1" width="18.25" customWidth="1"/>
  </cols>
  <sheetData>
    <row r="1" spans="1:19">
      <c r="A1" s="326" t="s">
        <v>329</v>
      </c>
      <c r="C1" s="332" t="s">
        <v>365</v>
      </c>
      <c r="D1" s="333"/>
      <c r="E1" s="333"/>
      <c r="F1" s="333"/>
      <c r="G1" s="333"/>
      <c r="H1" s="333"/>
      <c r="I1" s="333"/>
      <c r="J1" s="334"/>
      <c r="L1" s="332" t="s">
        <v>334</v>
      </c>
      <c r="M1" s="333"/>
      <c r="N1" s="333"/>
      <c r="O1" s="333"/>
      <c r="P1" s="333"/>
      <c r="Q1" s="333"/>
      <c r="R1" s="334"/>
    </row>
    <row r="2" spans="1:19">
      <c r="A2" s="327"/>
      <c r="C2" s="105"/>
      <c r="J2" s="335"/>
      <c r="L2" s="105"/>
      <c r="R2" s="335"/>
    </row>
    <row r="3" spans="1:19">
      <c r="A3" s="327" t="s">
        <v>330</v>
      </c>
      <c r="C3" s="105" t="s">
        <v>356</v>
      </c>
      <c r="J3" s="335"/>
      <c r="L3" s="105" t="s">
        <v>335</v>
      </c>
      <c r="R3" s="335"/>
    </row>
    <row r="4" spans="1:19">
      <c r="A4" s="328" t="s">
        <v>596</v>
      </c>
      <c r="C4" s="105" t="s">
        <v>357</v>
      </c>
      <c r="J4" s="335"/>
      <c r="L4" s="105" t="s">
        <v>345</v>
      </c>
      <c r="R4" s="335"/>
    </row>
    <row r="5" spans="1:19">
      <c r="A5" s="328" t="s">
        <v>331</v>
      </c>
      <c r="C5" s="105" t="s">
        <v>358</v>
      </c>
      <c r="J5" s="335"/>
      <c r="L5" s="105" t="s">
        <v>346</v>
      </c>
      <c r="R5" s="335"/>
    </row>
    <row r="6" spans="1:19">
      <c r="A6" s="329" t="s">
        <v>597</v>
      </c>
      <c r="C6" s="105" t="s">
        <v>359</v>
      </c>
      <c r="J6" s="335"/>
      <c r="L6" s="105" t="s">
        <v>364</v>
      </c>
      <c r="R6" s="335"/>
    </row>
    <row r="7" spans="1:19" ht="14.25" thickBot="1">
      <c r="A7" s="329" t="s">
        <v>332</v>
      </c>
      <c r="C7" s="105" t="s">
        <v>360</v>
      </c>
      <c r="J7" s="335"/>
      <c r="L7" s="336"/>
      <c r="M7" s="337"/>
      <c r="N7" s="337"/>
      <c r="O7" s="337"/>
      <c r="P7" s="337"/>
      <c r="Q7" s="337"/>
      <c r="R7" s="338"/>
    </row>
    <row r="8" spans="1:19">
      <c r="A8" s="330" t="s">
        <v>598</v>
      </c>
      <c r="C8" s="105" t="s">
        <v>361</v>
      </c>
      <c r="J8" s="335"/>
    </row>
    <row r="9" spans="1:19" ht="14.25" thickBot="1">
      <c r="A9" s="331" t="s">
        <v>333</v>
      </c>
      <c r="C9" s="105"/>
      <c r="J9" s="335"/>
    </row>
    <row r="10" spans="1:19" ht="14.25" thickBot="1">
      <c r="C10" s="105" t="s">
        <v>362</v>
      </c>
      <c r="J10" s="335"/>
    </row>
    <row r="11" spans="1:19">
      <c r="C11" s="105" t="s">
        <v>363</v>
      </c>
      <c r="J11" s="335"/>
      <c r="L11" s="332" t="s">
        <v>336</v>
      </c>
      <c r="M11" s="333"/>
      <c r="N11" s="333"/>
      <c r="O11" s="333"/>
      <c r="P11" s="333"/>
      <c r="Q11" s="333"/>
      <c r="R11" s="333"/>
      <c r="S11" s="334"/>
    </row>
    <row r="12" spans="1:19">
      <c r="C12" s="105"/>
      <c r="J12" s="335"/>
      <c r="L12" s="105"/>
      <c r="S12" s="335"/>
    </row>
    <row r="13" spans="1:19" ht="14.25" thickBot="1">
      <c r="C13" s="336"/>
      <c r="D13" s="337"/>
      <c r="E13" s="337"/>
      <c r="F13" s="337"/>
      <c r="G13" s="337"/>
      <c r="H13" s="337"/>
      <c r="I13" s="337"/>
      <c r="J13" s="338"/>
      <c r="L13" s="105" t="s">
        <v>337</v>
      </c>
      <c r="S13" s="335"/>
    </row>
    <row r="14" spans="1:19">
      <c r="L14" s="105" t="s">
        <v>338</v>
      </c>
      <c r="S14" s="335"/>
    </row>
    <row r="15" spans="1:19" ht="14.25" thickBot="1">
      <c r="L15" s="336"/>
      <c r="M15" s="337"/>
      <c r="N15" s="337"/>
      <c r="O15" s="337"/>
      <c r="P15" s="337"/>
      <c r="Q15" s="337"/>
      <c r="R15" s="337"/>
      <c r="S15" s="338"/>
    </row>
    <row r="16" spans="1:19">
      <c r="A16" s="332" t="s">
        <v>453</v>
      </c>
      <c r="B16" s="333"/>
      <c r="C16" s="333"/>
      <c r="D16" s="333"/>
      <c r="E16" s="333"/>
      <c r="F16" s="333"/>
      <c r="G16" s="333"/>
      <c r="H16" s="333"/>
      <c r="I16" s="333"/>
      <c r="J16" s="333"/>
      <c r="K16" s="334"/>
    </row>
    <row r="17" spans="1:11">
      <c r="A17" s="105" t="s">
        <v>459</v>
      </c>
      <c r="C17" t="s">
        <v>454</v>
      </c>
      <c r="K17" s="335"/>
    </row>
    <row r="18" spans="1:11">
      <c r="A18" s="105"/>
      <c r="C18" t="s">
        <v>455</v>
      </c>
      <c r="K18" s="335"/>
    </row>
    <row r="19" spans="1:11">
      <c r="A19" s="105"/>
      <c r="C19" t="s">
        <v>456</v>
      </c>
      <c r="K19" s="335"/>
    </row>
    <row r="20" spans="1:11">
      <c r="A20" s="105"/>
      <c r="C20" t="s">
        <v>458</v>
      </c>
      <c r="K20" s="335"/>
    </row>
    <row r="21" spans="1:11">
      <c r="A21" s="105"/>
      <c r="C21" t="s">
        <v>457</v>
      </c>
      <c r="K21" s="335"/>
    </row>
    <row r="22" spans="1:11" ht="14.25" thickBot="1">
      <c r="A22" s="336"/>
      <c r="B22" s="337"/>
      <c r="C22" s="337"/>
      <c r="D22" s="337"/>
      <c r="E22" s="337"/>
      <c r="F22" s="337"/>
      <c r="G22" s="337"/>
      <c r="H22" s="337"/>
      <c r="I22" s="337"/>
      <c r="J22" s="337"/>
      <c r="K22" s="338"/>
    </row>
    <row r="23" spans="1:11">
      <c r="A23" s="332" t="s">
        <v>463</v>
      </c>
      <c r="B23" s="333"/>
      <c r="C23" s="333" t="s">
        <v>464</v>
      </c>
      <c r="D23" s="333"/>
      <c r="E23" s="333"/>
      <c r="F23" s="333"/>
      <c r="G23" s="333"/>
      <c r="H23" s="333"/>
      <c r="I23" s="333"/>
      <c r="J23" s="333"/>
      <c r="K23" s="334"/>
    </row>
    <row r="24" spans="1:11">
      <c r="A24" s="105"/>
      <c r="C24" t="s">
        <v>465</v>
      </c>
      <c r="D24" s="217"/>
      <c r="K24" s="335"/>
    </row>
    <row r="25" spans="1:11">
      <c r="A25" s="105"/>
      <c r="C25" t="s">
        <v>466</v>
      </c>
      <c r="K25" s="335"/>
    </row>
    <row r="26" spans="1:11" ht="14.25" thickBot="1">
      <c r="A26" s="336"/>
      <c r="B26" s="337"/>
      <c r="C26" s="337" t="s">
        <v>483</v>
      </c>
      <c r="D26" s="337"/>
      <c r="E26" s="337"/>
      <c r="F26" s="337"/>
      <c r="G26" s="337"/>
      <c r="H26" s="337"/>
      <c r="I26" s="337"/>
      <c r="J26" s="337"/>
      <c r="K26" s="338"/>
    </row>
    <row r="31" spans="1:11">
      <c r="A31" t="s">
        <v>342</v>
      </c>
      <c r="D31" s="217"/>
    </row>
    <row r="32" spans="1:11">
      <c r="A32" t="str" cm="1">
        <f t="array" ref="A32">_xlfn.IFS(_xlfn.IFNA(VLOOKUP(B4,'集計表(1～3月) '!A$3:A$77,1,FALSE)=B4,FALSE),"A",_xlfn.IFNA(VLOOKUP(B4,'集計表(1～3月) '!E$3:E$71,1,FALSE)=B4,FALSE),"E",_xlfn.IFNA(VLOOKUP(B4,'集計表(1～3月) '!I$3:I$91,1,FALSE)=B4,FALSE),"I",_xlfn.IFNA(VLOOKUP(B4,'集計表(1～3月) '!M$3:M$40,1,FALSE)=B4,FALSE),"M",TRUE,"未入力")</f>
        <v>未入力</v>
      </c>
      <c r="B32" t="s">
        <v>343</v>
      </c>
      <c r="D32" s="217"/>
    </row>
    <row r="33" spans="1:4">
      <c r="A33">
        <f>COUNTA(E28:E37)*3+COUNTIF(F28:F37,"=●")*2</f>
        <v>0</v>
      </c>
      <c r="B33" t="s">
        <v>344</v>
      </c>
      <c r="D33" s="217"/>
    </row>
    <row r="34" spans="1:4">
      <c r="A34" t="str">
        <f>CONCATENATE("グループI  ",_xlfn.VALUETOTEXT(COUNTA(M14:M25)*3+COUNTIF(N14:N25,"=●")*2),"件")</f>
        <v>グループI  0件</v>
      </c>
      <c r="B34" t="s">
        <v>347</v>
      </c>
      <c r="D34" s="217"/>
    </row>
    <row r="35" spans="1:4">
      <c r="D35" s="217"/>
    </row>
    <row r="36" spans="1:4">
      <c r="A36">
        <f>COUNTA('集計表(1～3月) '!A3:A13)*3+COUNTIF('集計表(1～3月) '!B3:B13,"=●")*2+COUNTA('集計表(1～3月) '!A17:A28)*3+COUNTIF('集計表(1～3月) '!B17:B28,"=●")*2+COUNTA('集計表(1～3月) '!A31:A39)*3+COUNTIF('集計表(1～3月) '!B31:B42,"=●")*2+COUNTA('集計表(1～3月) '!A46:A56)*3+COUNTIF('集計表(1～3月) '!B46:B56,"=●")*2</f>
        <v>146</v>
      </c>
      <c r="B36">
        <f>COUNTA('集計表(1～3月) '!E3:E12)*3+COUNTIF('集計表(1～3月) '!F3:F12,"=●")*2+COUNTA('集計表(1～3月) '!E17:E28)*3+COUNTIF('集計表(1～3月) '!F17:F28,"=●")*2+COUNTA('集計表(1～3月) '!E31:E42)*3+COUNTIF('集計表(1～3月) '!F31:F42,"=●")*2+COUNTA('集計表(1～3月) '!E46:E56)*3+COUNTIF('集計表(1～3月) '!F46:F56,"=●")*2</f>
        <v>131</v>
      </c>
      <c r="C36">
        <f>COUNTA('集計表(1～3月) '!I3:I13)*3+COUNTIF('集計表(1～3月) '!J3:J13,"=●")*2+COUNTA('集計表(1～3月) '!I17:I27)*3+COUNTIF('集計表(1～3月) '!J17:J27,"=●")*2+COUNTA('集計表(1～3月) '!I31:I40)*3+COUNTIF('集計表(1～3月) '!J31:J41,"=●")*2</f>
        <v>114</v>
      </c>
      <c r="D36">
        <f>COUNTA('集計表(1～3月) '!M3:M12)*3+COUNTIF('集計表(1～3月) '!N3:N13,"=●")*2+COUNTA('集計表(1～3月) '!M17:M27)*3+COUNTIF('集計表(1～3月) '!N17:N28,"=●")*2+COUNTA('集計表(1～3月) '!M31:M41)*3+COUNTIF('集計表(1～3月) '!N31:N41,"=●")*2</f>
        <v>106</v>
      </c>
    </row>
    <row r="37" spans="1:4">
      <c r="A37">
        <f>SUM(A36:D36)+SUM('集計表(1～3月) '!U57:U59)*5+COUNTA('集計表(1～3月) '!I46:I54)*10</f>
        <v>742</v>
      </c>
      <c r="B37" t="s">
        <v>348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45A46-082B-47AA-A6FC-EEB1E85E2C46}">
  <sheetPr codeName="Sheet9"/>
  <dimension ref="A1:N240"/>
  <sheetViews>
    <sheetView topLeftCell="A109" workbookViewId="0">
      <selection activeCell="B126" sqref="B126"/>
    </sheetView>
  </sheetViews>
  <sheetFormatPr defaultRowHeight="13.5"/>
  <cols>
    <col min="2" max="2" width="13.25" style="418" customWidth="1"/>
  </cols>
  <sheetData>
    <row r="1" spans="1:2">
      <c r="A1">
        <f t="shared" ref="A1:A32" ca="1" si="0">RAND()</f>
        <v>0.24855829540262653</v>
      </c>
      <c r="B1" s="134" t="s">
        <v>237</v>
      </c>
    </row>
    <row r="2" spans="1:2">
      <c r="A2">
        <f t="shared" ca="1" si="0"/>
        <v>8.0579010642706672E-2</v>
      </c>
      <c r="B2" s="134" t="s">
        <v>124</v>
      </c>
    </row>
    <row r="3" spans="1:2">
      <c r="A3">
        <f t="shared" ca="1" si="0"/>
        <v>0.15553596251370938</v>
      </c>
      <c r="B3" s="134" t="s">
        <v>29</v>
      </c>
    </row>
    <row r="4" spans="1:2">
      <c r="A4">
        <f t="shared" ca="1" si="0"/>
        <v>0.52277898296002689</v>
      </c>
      <c r="B4" s="134" t="s">
        <v>283</v>
      </c>
    </row>
    <row r="5" spans="1:2">
      <c r="A5">
        <f t="shared" ca="1" si="0"/>
        <v>0.79402086206864186</v>
      </c>
      <c r="B5" s="134" t="s">
        <v>103</v>
      </c>
    </row>
    <row r="6" spans="1:2">
      <c r="A6">
        <f t="shared" ca="1" si="0"/>
        <v>0.2949142972054023</v>
      </c>
      <c r="B6" s="134" t="s">
        <v>350</v>
      </c>
    </row>
    <row r="7" spans="1:2">
      <c r="A7">
        <f t="shared" ca="1" si="0"/>
        <v>0.33043962558145534</v>
      </c>
      <c r="B7" s="134" t="s">
        <v>280</v>
      </c>
    </row>
    <row r="8" spans="1:2">
      <c r="A8">
        <f t="shared" ca="1" si="0"/>
        <v>0.35977747569926177</v>
      </c>
      <c r="B8" s="134" t="s">
        <v>281</v>
      </c>
    </row>
    <row r="9" spans="1:2">
      <c r="A9">
        <f t="shared" ca="1" si="0"/>
        <v>0.66571920345214308</v>
      </c>
      <c r="B9" s="134" t="s">
        <v>282</v>
      </c>
    </row>
    <row r="10" spans="1:2">
      <c r="A10">
        <f t="shared" ca="1" si="0"/>
        <v>0.21023750296619259</v>
      </c>
      <c r="B10" s="134" t="s">
        <v>139</v>
      </c>
    </row>
    <row r="11" spans="1:2">
      <c r="A11">
        <f t="shared" ca="1" si="0"/>
        <v>0.2356172860925706</v>
      </c>
      <c r="B11" s="134" t="s">
        <v>275</v>
      </c>
    </row>
    <row r="12" spans="1:2">
      <c r="A12">
        <f t="shared" ca="1" si="0"/>
        <v>2.2623404437738248E-2</v>
      </c>
      <c r="B12" s="134" t="s">
        <v>9</v>
      </c>
    </row>
    <row r="13" spans="1:2">
      <c r="A13">
        <f t="shared" ca="1" si="0"/>
        <v>0.55471442685752492</v>
      </c>
      <c r="B13" s="134" t="s">
        <v>231</v>
      </c>
    </row>
    <row r="14" spans="1:2">
      <c r="A14">
        <f t="shared" ca="1" si="0"/>
        <v>0.51899415813192007</v>
      </c>
      <c r="B14" s="134" t="s">
        <v>130</v>
      </c>
    </row>
    <row r="15" spans="1:2">
      <c r="A15">
        <f t="shared" ca="1" si="0"/>
        <v>0.99492446590300054</v>
      </c>
      <c r="B15" s="134" t="s">
        <v>239</v>
      </c>
    </row>
    <row r="16" spans="1:2">
      <c r="A16">
        <f t="shared" ca="1" si="0"/>
        <v>0.33957764658944589</v>
      </c>
      <c r="B16" s="134" t="s">
        <v>284</v>
      </c>
    </row>
    <row r="17" spans="1:14">
      <c r="A17">
        <f t="shared" ca="1" si="0"/>
        <v>0.94655108996804893</v>
      </c>
      <c r="B17" s="134" t="s">
        <v>285</v>
      </c>
    </row>
    <row r="18" spans="1:14">
      <c r="A18">
        <f t="shared" ca="1" si="0"/>
        <v>7.7077356608095449E-2</v>
      </c>
      <c r="B18" s="134" t="s">
        <v>190</v>
      </c>
    </row>
    <row r="19" spans="1:14">
      <c r="A19">
        <f t="shared" ca="1" si="0"/>
        <v>0.24657542139155353</v>
      </c>
      <c r="B19" s="134" t="s">
        <v>35</v>
      </c>
    </row>
    <row r="20" spans="1:14">
      <c r="A20">
        <f t="shared" ca="1" si="0"/>
        <v>0.43034487138465627</v>
      </c>
      <c r="B20" s="134" t="s">
        <v>30</v>
      </c>
    </row>
    <row r="21" spans="1:14">
      <c r="A21">
        <f t="shared" ca="1" si="0"/>
        <v>0.33232721259869036</v>
      </c>
      <c r="B21" s="134" t="s">
        <v>2</v>
      </c>
    </row>
    <row r="22" spans="1:14">
      <c r="A22">
        <f t="shared" ca="1" si="0"/>
        <v>0.3846796264529021</v>
      </c>
      <c r="B22" s="275" t="s">
        <v>186</v>
      </c>
    </row>
    <row r="23" spans="1:14">
      <c r="A23">
        <f t="shared" ca="1" si="0"/>
        <v>0.71685036463843665</v>
      </c>
      <c r="B23" s="135" t="s">
        <v>25</v>
      </c>
    </row>
    <row r="24" spans="1:14">
      <c r="A24">
        <f t="shared" ca="1" si="0"/>
        <v>0.2389936504697564</v>
      </c>
      <c r="B24" s="417" t="s">
        <v>0</v>
      </c>
      <c r="N24" s="275"/>
    </row>
    <row r="25" spans="1:14">
      <c r="A25">
        <f t="shared" ca="1" si="0"/>
        <v>2.2601034542883758E-2</v>
      </c>
      <c r="B25" s="134" t="s">
        <v>31</v>
      </c>
    </row>
    <row r="26" spans="1:14">
      <c r="A26">
        <f t="shared" ca="1" si="0"/>
        <v>0.72985885464615852</v>
      </c>
      <c r="B26" s="134" t="s">
        <v>225</v>
      </c>
    </row>
    <row r="27" spans="1:14">
      <c r="A27">
        <f t="shared" ca="1" si="0"/>
        <v>0.97821614720745487</v>
      </c>
      <c r="B27" s="134" t="s">
        <v>286</v>
      </c>
    </row>
    <row r="28" spans="1:14">
      <c r="A28">
        <f t="shared" ca="1" si="0"/>
        <v>0.30001735325151702</v>
      </c>
      <c r="B28" s="134" t="s">
        <v>7</v>
      </c>
    </row>
    <row r="29" spans="1:14">
      <c r="A29">
        <f t="shared" ca="1" si="0"/>
        <v>0.1260755012708592</v>
      </c>
      <c r="B29" s="124" t="s">
        <v>235</v>
      </c>
    </row>
    <row r="30" spans="1:14">
      <c r="A30">
        <f t="shared" ca="1" si="0"/>
        <v>4.768730924689335E-2</v>
      </c>
      <c r="B30" s="124" t="s">
        <v>107</v>
      </c>
    </row>
    <row r="31" spans="1:14">
      <c r="A31">
        <f t="shared" ca="1" si="0"/>
        <v>0.74648335179772218</v>
      </c>
      <c r="B31" s="134" t="s">
        <v>287</v>
      </c>
    </row>
    <row r="32" spans="1:14">
      <c r="A32">
        <f t="shared" ca="1" si="0"/>
        <v>0.88752800455945591</v>
      </c>
      <c r="B32" s="134" t="s">
        <v>288</v>
      </c>
    </row>
    <row r="33" spans="1:2">
      <c r="A33">
        <f t="shared" ref="A33:A64" ca="1" si="1">RAND()</f>
        <v>0.79537268271747164</v>
      </c>
      <c r="B33" s="134" t="s">
        <v>289</v>
      </c>
    </row>
    <row r="34" spans="1:2">
      <c r="A34">
        <f t="shared" ca="1" si="1"/>
        <v>0.10905150719917278</v>
      </c>
      <c r="B34" s="134" t="s">
        <v>290</v>
      </c>
    </row>
    <row r="35" spans="1:2">
      <c r="A35">
        <f t="shared" ca="1" si="1"/>
        <v>0.9521097126327458</v>
      </c>
      <c r="B35" s="134" t="s">
        <v>18</v>
      </c>
    </row>
    <row r="36" spans="1:2">
      <c r="A36">
        <f t="shared" ca="1" si="1"/>
        <v>0.25853653544441213</v>
      </c>
      <c r="B36" s="134" t="s">
        <v>16</v>
      </c>
    </row>
    <row r="37" spans="1:2">
      <c r="A37">
        <f t="shared" ca="1" si="1"/>
        <v>0.98138734787011639</v>
      </c>
      <c r="B37" s="134" t="s">
        <v>292</v>
      </c>
    </row>
    <row r="38" spans="1:2">
      <c r="A38">
        <f t="shared" ca="1" si="1"/>
        <v>7.3435224694076595E-2</v>
      </c>
      <c r="B38" s="134" t="s">
        <v>168</v>
      </c>
    </row>
    <row r="39" spans="1:2">
      <c r="A39">
        <f t="shared" ca="1" si="1"/>
        <v>0.65093308361629121</v>
      </c>
      <c r="B39" s="134" t="s">
        <v>293</v>
      </c>
    </row>
    <row r="40" spans="1:2">
      <c r="A40">
        <f t="shared" ca="1" si="1"/>
        <v>0.28926725840470058</v>
      </c>
      <c r="B40" s="134" t="s">
        <v>261</v>
      </c>
    </row>
    <row r="41" spans="1:2">
      <c r="A41">
        <f t="shared" ca="1" si="1"/>
        <v>0.12456108909071228</v>
      </c>
      <c r="B41" s="134" t="s">
        <v>242</v>
      </c>
    </row>
    <row r="42" spans="1:2">
      <c r="A42">
        <f t="shared" ca="1" si="1"/>
        <v>0.95371408051411521</v>
      </c>
      <c r="B42" s="134" t="s">
        <v>291</v>
      </c>
    </row>
    <row r="43" spans="1:2">
      <c r="A43">
        <f t="shared" ca="1" si="1"/>
        <v>0.12869211899023769</v>
      </c>
      <c r="B43" s="134" t="s">
        <v>176</v>
      </c>
    </row>
    <row r="44" spans="1:2">
      <c r="A44">
        <f t="shared" ca="1" si="1"/>
        <v>0.26806386578784025</v>
      </c>
      <c r="B44" s="134" t="s">
        <v>28</v>
      </c>
    </row>
    <row r="45" spans="1:2">
      <c r="A45">
        <f t="shared" ca="1" si="1"/>
        <v>0.83366781636331133</v>
      </c>
      <c r="B45" s="134" t="s">
        <v>23</v>
      </c>
    </row>
    <row r="46" spans="1:2">
      <c r="A46">
        <f t="shared" ca="1" si="1"/>
        <v>0.63470718588073882</v>
      </c>
      <c r="B46" s="134" t="s">
        <v>160</v>
      </c>
    </row>
    <row r="47" spans="1:2">
      <c r="A47">
        <f t="shared" ca="1" si="1"/>
        <v>0.40670203465335841</v>
      </c>
      <c r="B47" s="134" t="s">
        <v>27</v>
      </c>
    </row>
    <row r="48" spans="1:2">
      <c r="A48">
        <f t="shared" ca="1" si="1"/>
        <v>0.18586708236485927</v>
      </c>
      <c r="B48" s="134" t="s">
        <v>104</v>
      </c>
    </row>
    <row r="49" spans="1:5">
      <c r="A49">
        <f t="shared" ca="1" si="1"/>
        <v>0.99398304134588855</v>
      </c>
      <c r="B49" s="134" t="s">
        <v>64</v>
      </c>
    </row>
    <row r="50" spans="1:5">
      <c r="A50">
        <f t="shared" ca="1" si="1"/>
        <v>0.80766307934583026</v>
      </c>
      <c r="B50" s="134" t="s">
        <v>154</v>
      </c>
      <c r="E50" s="275"/>
    </row>
    <row r="51" spans="1:5">
      <c r="A51">
        <f t="shared" ca="1" si="1"/>
        <v>0.45862017283006884</v>
      </c>
      <c r="B51" s="134" t="s">
        <v>44</v>
      </c>
    </row>
    <row r="52" spans="1:5">
      <c r="A52">
        <f t="shared" ca="1" si="1"/>
        <v>0.73350348532099929</v>
      </c>
      <c r="B52" s="134" t="s">
        <v>294</v>
      </c>
    </row>
    <row r="53" spans="1:5">
      <c r="A53">
        <f t="shared" ca="1" si="1"/>
        <v>0.42533949757833811</v>
      </c>
      <c r="B53" s="134" t="s">
        <v>277</v>
      </c>
    </row>
    <row r="54" spans="1:5">
      <c r="A54">
        <f t="shared" ca="1" si="1"/>
        <v>7.9113663843251247E-2</v>
      </c>
      <c r="B54" s="134" t="s">
        <v>257</v>
      </c>
    </row>
    <row r="55" spans="1:5">
      <c r="A55">
        <f t="shared" ca="1" si="1"/>
        <v>0.33328690751490564</v>
      </c>
      <c r="B55" s="134" t="s">
        <v>319</v>
      </c>
    </row>
    <row r="56" spans="1:5">
      <c r="A56">
        <f t="shared" ca="1" si="1"/>
        <v>0.28553182554118395</v>
      </c>
      <c r="B56" s="275" t="s">
        <v>406</v>
      </c>
    </row>
    <row r="57" spans="1:5">
      <c r="A57">
        <f t="shared" ca="1" si="1"/>
        <v>0.13579347620623894</v>
      </c>
      <c r="B57" s="238" t="s">
        <v>394</v>
      </c>
    </row>
    <row r="58" spans="1:5">
      <c r="A58">
        <f t="shared" ca="1" si="1"/>
        <v>0.47476789030279754</v>
      </c>
      <c r="B58" s="275" t="s">
        <v>370</v>
      </c>
    </row>
    <row r="59" spans="1:5">
      <c r="A59">
        <f t="shared" ca="1" si="1"/>
        <v>0.40240816730521467</v>
      </c>
      <c r="B59" s="275" t="s">
        <v>410</v>
      </c>
    </row>
    <row r="60" spans="1:5">
      <c r="A60">
        <f t="shared" ca="1" si="1"/>
        <v>0.20722682074852294</v>
      </c>
      <c r="B60" s="275" t="s">
        <v>404</v>
      </c>
    </row>
    <row r="61" spans="1:5">
      <c r="A61">
        <f t="shared" ca="1" si="1"/>
        <v>1.8356870830988359E-2</v>
      </c>
      <c r="B61" s="275" t="s">
        <v>397</v>
      </c>
    </row>
    <row r="62" spans="1:5">
      <c r="A62">
        <f t="shared" ca="1" si="1"/>
        <v>0.88161935494791221</v>
      </c>
      <c r="B62" s="275" t="s">
        <v>390</v>
      </c>
    </row>
    <row r="63" spans="1:5">
      <c r="A63">
        <f t="shared" ca="1" si="1"/>
        <v>0.22544821882485355</v>
      </c>
      <c r="B63" s="275" t="s">
        <v>425</v>
      </c>
    </row>
    <row r="64" spans="1:5">
      <c r="A64">
        <f t="shared" ca="1" si="1"/>
        <v>0.61844754566874061</v>
      </c>
      <c r="B64" s="275" t="s">
        <v>399</v>
      </c>
    </row>
    <row r="65" spans="1:2">
      <c r="A65">
        <f t="shared" ref="A65:A96" ca="1" si="2">RAND()</f>
        <v>0.54328527592566966</v>
      </c>
      <c r="B65" s="275" t="s">
        <v>386</v>
      </c>
    </row>
    <row r="66" spans="1:2">
      <c r="A66">
        <f t="shared" ca="1" si="2"/>
        <v>0.39141674680773841</v>
      </c>
      <c r="B66" s="473" t="s">
        <v>445</v>
      </c>
    </row>
    <row r="67" spans="1:2">
      <c r="A67">
        <f t="shared" ca="1" si="2"/>
        <v>0.84349235133402112</v>
      </c>
      <c r="B67" s="238" t="s">
        <v>371</v>
      </c>
    </row>
    <row r="68" spans="1:2">
      <c r="A68">
        <f t="shared" ca="1" si="2"/>
        <v>0.23233044157361449</v>
      </c>
      <c r="B68" s="275" t="s">
        <v>378</v>
      </c>
    </row>
    <row r="69" spans="1:2">
      <c r="A69">
        <f t="shared" ca="1" si="2"/>
        <v>0.24872491982251432</v>
      </c>
      <c r="B69" s="275" t="s">
        <v>416</v>
      </c>
    </row>
    <row r="70" spans="1:2">
      <c r="A70">
        <f t="shared" ca="1" si="2"/>
        <v>0.7432154452253138</v>
      </c>
      <c r="B70" s="238" t="s">
        <v>441</v>
      </c>
    </row>
    <row r="71" spans="1:2">
      <c r="A71">
        <f t="shared" ca="1" si="2"/>
        <v>0.54620920755172342</v>
      </c>
      <c r="B71" s="275" t="s">
        <v>398</v>
      </c>
    </row>
    <row r="72" spans="1:2">
      <c r="A72">
        <f t="shared" ca="1" si="2"/>
        <v>0.15729760682338056</v>
      </c>
      <c r="B72" s="275" t="s">
        <v>401</v>
      </c>
    </row>
    <row r="73" spans="1:2">
      <c r="A73">
        <f t="shared" ca="1" si="2"/>
        <v>0.37581793769857674</v>
      </c>
      <c r="B73" s="238" t="s">
        <v>411</v>
      </c>
    </row>
    <row r="74" spans="1:2">
      <c r="A74">
        <f t="shared" ca="1" si="2"/>
        <v>0.46209598995603884</v>
      </c>
      <c r="B74" s="238" t="s">
        <v>375</v>
      </c>
    </row>
    <row r="75" spans="1:2">
      <c r="A75">
        <f t="shared" ca="1" si="2"/>
        <v>0.59890467147495308</v>
      </c>
      <c r="B75" s="474" t="s">
        <v>421</v>
      </c>
    </row>
    <row r="76" spans="1:2">
      <c r="A76">
        <f t="shared" ca="1" si="2"/>
        <v>0.49930903006554173</v>
      </c>
      <c r="B76" s="474" t="s">
        <v>376</v>
      </c>
    </row>
    <row r="77" spans="1:2">
      <c r="A77">
        <f t="shared" ca="1" si="2"/>
        <v>0.73225195128500997</v>
      </c>
      <c r="B77" s="275" t="s">
        <v>385</v>
      </c>
    </row>
    <row r="78" spans="1:2">
      <c r="A78">
        <f t="shared" ca="1" si="2"/>
        <v>0.3067358906384352</v>
      </c>
      <c r="B78" s="275" t="s">
        <v>412</v>
      </c>
    </row>
    <row r="79" spans="1:2">
      <c r="A79">
        <f t="shared" ca="1" si="2"/>
        <v>0.81297691647800385</v>
      </c>
      <c r="B79" s="275" t="s">
        <v>372</v>
      </c>
    </row>
    <row r="80" spans="1:2">
      <c r="A80">
        <f t="shared" ca="1" si="2"/>
        <v>0.59829694757282126</v>
      </c>
      <c r="B80" s="275" t="s">
        <v>400</v>
      </c>
    </row>
    <row r="81" spans="1:2">
      <c r="A81">
        <f t="shared" ca="1" si="2"/>
        <v>0.60538008069767502</v>
      </c>
      <c r="B81" s="275" t="s">
        <v>449</v>
      </c>
    </row>
    <row r="82" spans="1:2">
      <c r="A82">
        <f t="shared" ca="1" si="2"/>
        <v>0.70343575908446054</v>
      </c>
      <c r="B82" s="275" t="s">
        <v>434</v>
      </c>
    </row>
    <row r="83" spans="1:2">
      <c r="A83">
        <f t="shared" ca="1" si="2"/>
        <v>0.54723306302988395</v>
      </c>
      <c r="B83" s="275" t="s">
        <v>414</v>
      </c>
    </row>
    <row r="84" spans="1:2">
      <c r="A84">
        <f t="shared" ca="1" si="2"/>
        <v>0.37041442713843464</v>
      </c>
      <c r="B84" s="474" t="s">
        <v>415</v>
      </c>
    </row>
    <row r="85" spans="1:2">
      <c r="A85">
        <f t="shared" ca="1" si="2"/>
        <v>0.28731061985173822</v>
      </c>
      <c r="B85" s="238" t="s">
        <v>368</v>
      </c>
    </row>
    <row r="86" spans="1:2">
      <c r="A86">
        <f t="shared" ca="1" si="2"/>
        <v>0.58883651453382724</v>
      </c>
      <c r="B86" s="275" t="s">
        <v>405</v>
      </c>
    </row>
    <row r="87" spans="1:2">
      <c r="A87">
        <f t="shared" ca="1" si="2"/>
        <v>0.43432441193860827</v>
      </c>
      <c r="B87" s="275" t="s">
        <v>442</v>
      </c>
    </row>
    <row r="88" spans="1:2">
      <c r="A88">
        <f t="shared" ca="1" si="2"/>
        <v>3.232846133794931E-4</v>
      </c>
      <c r="B88" s="275" t="s">
        <v>384</v>
      </c>
    </row>
    <row r="89" spans="1:2">
      <c r="A89">
        <f t="shared" ca="1" si="2"/>
        <v>0.92749862933988003</v>
      </c>
      <c r="B89" s="275" t="s">
        <v>417</v>
      </c>
    </row>
    <row r="90" spans="1:2">
      <c r="A90">
        <f t="shared" ca="1" si="2"/>
        <v>0.72877276052996653</v>
      </c>
      <c r="B90" s="275" t="s">
        <v>432</v>
      </c>
    </row>
    <row r="91" spans="1:2">
      <c r="A91">
        <f t="shared" ca="1" si="2"/>
        <v>0.78628059416947194</v>
      </c>
      <c r="B91" s="275" t="s">
        <v>440</v>
      </c>
    </row>
    <row r="92" spans="1:2">
      <c r="A92">
        <f t="shared" ca="1" si="2"/>
        <v>0.12490329767355124</v>
      </c>
      <c r="B92" s="275" t="s">
        <v>393</v>
      </c>
    </row>
    <row r="93" spans="1:2">
      <c r="A93">
        <f t="shared" ca="1" si="2"/>
        <v>0.30396940501306291</v>
      </c>
      <c r="B93" s="275" t="s">
        <v>452</v>
      </c>
    </row>
    <row r="94" spans="1:2">
      <c r="A94">
        <f t="shared" ca="1" si="2"/>
        <v>0.93106111542296532</v>
      </c>
      <c r="B94" s="275" t="s">
        <v>426</v>
      </c>
    </row>
    <row r="95" spans="1:2">
      <c r="A95">
        <f t="shared" ca="1" si="2"/>
        <v>0.84913805434462131</v>
      </c>
      <c r="B95" s="275" t="s">
        <v>373</v>
      </c>
    </row>
    <row r="96" spans="1:2">
      <c r="A96">
        <f t="shared" ca="1" si="2"/>
        <v>0.79787133259428089</v>
      </c>
      <c r="B96" s="275" t="s">
        <v>427</v>
      </c>
    </row>
    <row r="97" spans="1:2">
      <c r="A97">
        <f t="shared" ref="A97:A128" ca="1" si="3">RAND()</f>
        <v>0.67625022901414922</v>
      </c>
      <c r="B97" s="275" t="s">
        <v>391</v>
      </c>
    </row>
    <row r="98" spans="1:2">
      <c r="A98">
        <f t="shared" ca="1" si="3"/>
        <v>0.54671350812860497</v>
      </c>
      <c r="B98" s="275" t="s">
        <v>447</v>
      </c>
    </row>
    <row r="99" spans="1:2">
      <c r="A99">
        <f t="shared" ca="1" si="3"/>
        <v>7.1100280435741459E-2</v>
      </c>
      <c r="B99" s="275" t="s">
        <v>436</v>
      </c>
    </row>
    <row r="100" spans="1:2">
      <c r="A100">
        <f t="shared" ca="1" si="3"/>
        <v>0.10677840194718746</v>
      </c>
      <c r="B100" s="275" t="s">
        <v>379</v>
      </c>
    </row>
    <row r="101" spans="1:2">
      <c r="A101">
        <f t="shared" ca="1" si="3"/>
        <v>0.68142360060785301</v>
      </c>
      <c r="B101" s="275" t="s">
        <v>367</v>
      </c>
    </row>
    <row r="102" spans="1:2">
      <c r="A102">
        <f t="shared" ca="1" si="3"/>
        <v>0.82748811100400421</v>
      </c>
      <c r="B102" s="275" t="s">
        <v>429</v>
      </c>
    </row>
    <row r="103" spans="1:2">
      <c r="A103">
        <f t="shared" ca="1" si="3"/>
        <v>0.39527860090277211</v>
      </c>
      <c r="B103" s="275" t="s">
        <v>430</v>
      </c>
    </row>
    <row r="104" spans="1:2">
      <c r="A104">
        <f t="shared" ca="1" si="3"/>
        <v>8.9630869469315644E-2</v>
      </c>
      <c r="B104" s="275" t="s">
        <v>423</v>
      </c>
    </row>
    <row r="105" spans="1:2">
      <c r="A105">
        <f t="shared" ca="1" si="3"/>
        <v>0.35521490779704679</v>
      </c>
      <c r="B105" s="238" t="s">
        <v>437</v>
      </c>
    </row>
    <row r="106" spans="1:2">
      <c r="A106">
        <f t="shared" ca="1" si="3"/>
        <v>0.25763159442175942</v>
      </c>
      <c r="B106" s="275" t="s">
        <v>439</v>
      </c>
    </row>
    <row r="107" spans="1:2">
      <c r="A107">
        <f t="shared" ca="1" si="3"/>
        <v>0.75828904440281941</v>
      </c>
      <c r="B107" s="275" t="s">
        <v>444</v>
      </c>
    </row>
    <row r="108" spans="1:2">
      <c r="A108">
        <f t="shared" ca="1" si="3"/>
        <v>0.244460591002165</v>
      </c>
      <c r="B108" s="275" t="s">
        <v>424</v>
      </c>
    </row>
    <row r="109" spans="1:2">
      <c r="A109">
        <f t="shared" ca="1" si="3"/>
        <v>0.26233786765762745</v>
      </c>
      <c r="B109" s="473" t="s">
        <v>388</v>
      </c>
    </row>
    <row r="110" spans="1:2">
      <c r="A110">
        <f t="shared" ca="1" si="3"/>
        <v>5.0082624798243103E-2</v>
      </c>
      <c r="B110" s="275" t="s">
        <v>443</v>
      </c>
    </row>
    <row r="111" spans="1:2">
      <c r="A111">
        <f t="shared" ca="1" si="3"/>
        <v>0.63726870879547326</v>
      </c>
      <c r="B111" s="275" t="s">
        <v>369</v>
      </c>
    </row>
    <row r="112" spans="1:2">
      <c r="A112">
        <f t="shared" ca="1" si="3"/>
        <v>0.40577856871329454</v>
      </c>
      <c r="B112" s="275" t="s">
        <v>389</v>
      </c>
    </row>
    <row r="113" spans="1:2">
      <c r="A113">
        <f t="shared" ca="1" si="3"/>
        <v>0.23566826686054265</v>
      </c>
      <c r="B113" s="275" t="s">
        <v>392</v>
      </c>
    </row>
    <row r="114" spans="1:2">
      <c r="A114">
        <f t="shared" ca="1" si="3"/>
        <v>0.20051296629507254</v>
      </c>
      <c r="B114" s="275" t="s">
        <v>381</v>
      </c>
    </row>
    <row r="115" spans="1:2">
      <c r="A115">
        <f t="shared" ca="1" si="3"/>
        <v>0.73427238809304118</v>
      </c>
      <c r="B115" s="238" t="s">
        <v>435</v>
      </c>
    </row>
    <row r="116" spans="1:2">
      <c r="A116">
        <f t="shared" ca="1" si="3"/>
        <v>0.51607909224396231</v>
      </c>
      <c r="B116" s="238" t="s">
        <v>431</v>
      </c>
    </row>
    <row r="117" spans="1:2">
      <c r="A117">
        <f t="shared" ca="1" si="3"/>
        <v>0.48152401470430506</v>
      </c>
      <c r="B117" s="275" t="s">
        <v>422</v>
      </c>
    </row>
    <row r="118" spans="1:2">
      <c r="A118">
        <f t="shared" ca="1" si="3"/>
        <v>0.23382745010354833</v>
      </c>
      <c r="B118" s="275" t="s">
        <v>420</v>
      </c>
    </row>
    <row r="119" spans="1:2">
      <c r="A119">
        <f t="shared" ca="1" si="3"/>
        <v>0.94366483795598188</v>
      </c>
      <c r="B119" s="275" t="s">
        <v>407</v>
      </c>
    </row>
    <row r="120" spans="1:2">
      <c r="A120">
        <f t="shared" ca="1" si="3"/>
        <v>0.88458904044236097</v>
      </c>
      <c r="B120" s="275" t="s">
        <v>408</v>
      </c>
    </row>
    <row r="121" spans="1:2">
      <c r="A121">
        <f t="shared" ca="1" si="3"/>
        <v>0.16383356299306584</v>
      </c>
      <c r="B121" s="275" t="s">
        <v>383</v>
      </c>
    </row>
    <row r="122" spans="1:2">
      <c r="A122">
        <f t="shared" ca="1" si="3"/>
        <v>0.81224685172260058</v>
      </c>
      <c r="B122" s="275" t="s">
        <v>413</v>
      </c>
    </row>
    <row r="123" spans="1:2">
      <c r="A123">
        <f t="shared" ca="1" si="3"/>
        <v>0.7676949621303405</v>
      </c>
      <c r="B123" s="275" t="s">
        <v>403</v>
      </c>
    </row>
    <row r="124" spans="1:2">
      <c r="A124">
        <f t="shared" ca="1" si="3"/>
        <v>1.751467221676517E-3</v>
      </c>
      <c r="B124" s="275" t="s">
        <v>402</v>
      </c>
    </row>
    <row r="125" spans="1:2">
      <c r="A125">
        <f t="shared" ca="1" si="3"/>
        <v>0.82996671243605291</v>
      </c>
      <c r="B125" s="275" t="s">
        <v>382</v>
      </c>
    </row>
    <row r="126" spans="1:2">
      <c r="A126">
        <f t="shared" ca="1" si="3"/>
        <v>0.3383621516271198</v>
      </c>
      <c r="B126" s="474" t="s">
        <v>377</v>
      </c>
    </row>
    <row r="127" spans="1:2">
      <c r="A127">
        <f t="shared" ca="1" si="3"/>
        <v>0.4535583009849764</v>
      </c>
      <c r="B127" s="275" t="s">
        <v>395</v>
      </c>
    </row>
    <row r="128" spans="1:2">
      <c r="A128">
        <f t="shared" ca="1" si="3"/>
        <v>0.49352155988211788</v>
      </c>
      <c r="B128" s="238" t="s">
        <v>450</v>
      </c>
    </row>
    <row r="129" spans="1:2">
      <c r="A129">
        <f t="shared" ref="A129:A152" ca="1" si="4">RAND()</f>
        <v>0.71352316990236708</v>
      </c>
      <c r="B129" s="275" t="s">
        <v>387</v>
      </c>
    </row>
    <row r="130" spans="1:2">
      <c r="A130">
        <f t="shared" ca="1" si="4"/>
        <v>0.74014833452044559</v>
      </c>
      <c r="B130" s="275" t="s">
        <v>396</v>
      </c>
    </row>
    <row r="131" spans="1:2">
      <c r="A131">
        <f t="shared" ca="1" si="4"/>
        <v>0.65864884641304222</v>
      </c>
      <c r="B131" s="275" t="s">
        <v>448</v>
      </c>
    </row>
    <row r="132" spans="1:2">
      <c r="A132">
        <f t="shared" ca="1" si="4"/>
        <v>0.94838565196030644</v>
      </c>
      <c r="B132" s="275" t="s">
        <v>418</v>
      </c>
    </row>
    <row r="133" spans="1:2">
      <c r="A133">
        <f t="shared" ca="1" si="4"/>
        <v>0.48167853738810196</v>
      </c>
      <c r="B133" s="275" t="s">
        <v>428</v>
      </c>
    </row>
    <row r="134" spans="1:2">
      <c r="A134">
        <f t="shared" ca="1" si="4"/>
        <v>0.79048004423662099</v>
      </c>
      <c r="B134" s="275" t="s">
        <v>380</v>
      </c>
    </row>
    <row r="135" spans="1:2">
      <c r="A135">
        <f t="shared" ca="1" si="4"/>
        <v>0.97352772173121782</v>
      </c>
      <c r="B135" s="473" t="s">
        <v>451</v>
      </c>
    </row>
    <row r="136" spans="1:2">
      <c r="A136">
        <f t="shared" ca="1" si="4"/>
        <v>0.78882124023105493</v>
      </c>
      <c r="B136" s="275" t="s">
        <v>374</v>
      </c>
    </row>
    <row r="137" spans="1:2">
      <c r="A137">
        <f t="shared" ca="1" si="4"/>
        <v>0.91343210164185451</v>
      </c>
      <c r="B137" s="275" t="s">
        <v>409</v>
      </c>
    </row>
    <row r="138" spans="1:2">
      <c r="A138">
        <f t="shared" ca="1" si="4"/>
        <v>0.33724935721292781</v>
      </c>
      <c r="B138" s="275" t="s">
        <v>433</v>
      </c>
    </row>
    <row r="139" spans="1:2">
      <c r="A139">
        <f t="shared" ca="1" si="4"/>
        <v>0.39306148725411927</v>
      </c>
      <c r="B139" s="275" t="s">
        <v>438</v>
      </c>
    </row>
    <row r="140" spans="1:2">
      <c r="A140">
        <f t="shared" ca="1" si="4"/>
        <v>0.50072702100223054</v>
      </c>
      <c r="B140" s="275" t="s">
        <v>446</v>
      </c>
    </row>
    <row r="141" spans="1:2">
      <c r="A141">
        <f t="shared" ca="1" si="4"/>
        <v>0.25603605492654102</v>
      </c>
      <c r="B141" s="275" t="s">
        <v>419</v>
      </c>
    </row>
    <row r="142" spans="1:2">
      <c r="A142">
        <f t="shared" ca="1" si="4"/>
        <v>0.10362288590264912</v>
      </c>
      <c r="B142" s="134" t="s">
        <v>37</v>
      </c>
    </row>
    <row r="143" spans="1:2">
      <c r="A143">
        <f t="shared" ca="1" si="4"/>
        <v>0.49185975796982651</v>
      </c>
      <c r="B143" s="134" t="s">
        <v>219</v>
      </c>
    </row>
    <row r="144" spans="1:2">
      <c r="A144">
        <f t="shared" ca="1" si="4"/>
        <v>0.11150635403023901</v>
      </c>
      <c r="B144" s="134" t="s">
        <v>318</v>
      </c>
    </row>
    <row r="145" spans="1:2">
      <c r="A145">
        <f t="shared" ca="1" si="4"/>
        <v>0.96572074804348473</v>
      </c>
      <c r="B145" s="134" t="s">
        <v>161</v>
      </c>
    </row>
    <row r="146" spans="1:2">
      <c r="A146">
        <f t="shared" ca="1" si="4"/>
        <v>0.59716786328300575</v>
      </c>
      <c r="B146" s="134" t="s">
        <v>268</v>
      </c>
    </row>
    <row r="147" spans="1:2">
      <c r="A147">
        <f t="shared" ca="1" si="4"/>
        <v>0.34477516353174897</v>
      </c>
      <c r="B147" s="134" t="s">
        <v>43</v>
      </c>
    </row>
    <row r="148" spans="1:2">
      <c r="A148">
        <f t="shared" ca="1" si="4"/>
        <v>0.95353294604872874</v>
      </c>
      <c r="B148" s="134" t="s">
        <v>42</v>
      </c>
    </row>
    <row r="149" spans="1:2">
      <c r="A149">
        <f t="shared" ca="1" si="4"/>
        <v>0.96739542472161222</v>
      </c>
      <c r="B149" s="134" t="s">
        <v>116</v>
      </c>
    </row>
    <row r="150" spans="1:2">
      <c r="A150">
        <f t="shared" ca="1" si="4"/>
        <v>9.6163519235493156E-2</v>
      </c>
      <c r="B150" s="134" t="s">
        <v>129</v>
      </c>
    </row>
    <row r="151" spans="1:2">
      <c r="A151">
        <f t="shared" ca="1" si="4"/>
        <v>0.81064800841756735</v>
      </c>
      <c r="B151" s="134" t="s">
        <v>189</v>
      </c>
    </row>
    <row r="152" spans="1:2">
      <c r="A152">
        <f t="shared" ca="1" si="4"/>
        <v>0.88353416343412139</v>
      </c>
      <c r="B152" s="134" t="s">
        <v>184</v>
      </c>
    </row>
    <row r="153" spans="1:2">
      <c r="B153" s="275"/>
    </row>
    <row r="154" spans="1:2">
      <c r="B154" s="275"/>
    </row>
    <row r="155" spans="1:2">
      <c r="B155" s="275"/>
    </row>
    <row r="156" spans="1:2">
      <c r="B156" s="275"/>
    </row>
    <row r="157" spans="1:2">
      <c r="B157" s="275"/>
    </row>
    <row r="158" spans="1:2">
      <c r="B158" s="275"/>
    </row>
    <row r="159" spans="1:2">
      <c r="B159" s="474"/>
    </row>
    <row r="160" spans="1:2">
      <c r="B160" s="275"/>
    </row>
    <row r="201" spans="2:2">
      <c r="B201" s="124" t="s">
        <v>46</v>
      </c>
    </row>
    <row r="202" spans="2:2">
      <c r="B202" s="124" t="s">
        <v>270</v>
      </c>
    </row>
    <row r="203" spans="2:2">
      <c r="B203" s="124" t="s">
        <v>118</v>
      </c>
    </row>
    <row r="204" spans="2:2">
      <c r="B204" s="124" t="s">
        <v>222</v>
      </c>
    </row>
    <row r="205" spans="2:2">
      <c r="B205" s="124" t="s">
        <v>47</v>
      </c>
    </row>
    <row r="206" spans="2:2">
      <c r="B206" s="124" t="s">
        <v>159</v>
      </c>
    </row>
    <row r="207" spans="2:2">
      <c r="B207" s="124" t="s">
        <v>158</v>
      </c>
    </row>
    <row r="208" spans="2:2">
      <c r="B208" s="124" t="s">
        <v>177</v>
      </c>
    </row>
    <row r="209" spans="2:2">
      <c r="B209" s="124" t="s">
        <v>195</v>
      </c>
    </row>
    <row r="210" spans="2:2">
      <c r="B210" s="124" t="s">
        <v>57</v>
      </c>
    </row>
    <row r="211" spans="2:2">
      <c r="B211" s="124" t="s">
        <v>56</v>
      </c>
    </row>
    <row r="212" spans="2:2">
      <c r="B212" s="124" t="s">
        <v>55</v>
      </c>
    </row>
    <row r="213" spans="2:2">
      <c r="B213" s="124" t="s">
        <v>328</v>
      </c>
    </row>
    <row r="214" spans="2:2">
      <c r="B214" s="124" t="s">
        <v>137</v>
      </c>
    </row>
    <row r="215" spans="2:2">
      <c r="B215" s="124" t="s">
        <v>61</v>
      </c>
    </row>
    <row r="216" spans="2:2">
      <c r="B216" s="475" t="s">
        <v>179</v>
      </c>
    </row>
    <row r="217" spans="2:2">
      <c r="B217" s="124" t="s">
        <v>126</v>
      </c>
    </row>
    <row r="218" spans="2:2">
      <c r="B218" s="124" t="s">
        <v>62</v>
      </c>
    </row>
    <row r="219" spans="2:2">
      <c r="B219" s="124" t="s">
        <v>63</v>
      </c>
    </row>
    <row r="220" spans="2:2">
      <c r="B220" s="124" t="s">
        <v>135</v>
      </c>
    </row>
    <row r="221" spans="2:2">
      <c r="B221" s="124" t="s">
        <v>180</v>
      </c>
    </row>
    <row r="222" spans="2:2">
      <c r="B222" s="124" t="s">
        <v>173</v>
      </c>
    </row>
    <row r="223" spans="2:2">
      <c r="B223" s="124" t="s">
        <v>67</v>
      </c>
    </row>
    <row r="224" spans="2:2">
      <c r="B224" s="124" t="s">
        <v>66</v>
      </c>
    </row>
    <row r="225" spans="2:2">
      <c r="B225" s="124" t="s">
        <v>65</v>
      </c>
    </row>
    <row r="226" spans="2:2">
      <c r="B226" s="124" t="s">
        <v>68</v>
      </c>
    </row>
    <row r="227" spans="2:2">
      <c r="B227" s="124" t="s">
        <v>136</v>
      </c>
    </row>
    <row r="228" spans="2:2">
      <c r="B228" s="124" t="s">
        <v>133</v>
      </c>
    </row>
    <row r="229" spans="2:2">
      <c r="B229" s="124" t="s">
        <v>113</v>
      </c>
    </row>
    <row r="230" spans="2:2">
      <c r="B230" s="124" t="s">
        <v>149</v>
      </c>
    </row>
    <row r="231" spans="2:2">
      <c r="B231" s="124" t="s">
        <v>178</v>
      </c>
    </row>
    <row r="232" spans="2:2">
      <c r="B232" s="124" t="s">
        <v>196</v>
      </c>
    </row>
    <row r="233" spans="2:2">
      <c r="B233" s="124" t="s">
        <v>52</v>
      </c>
    </row>
    <row r="234" spans="2:2">
      <c r="B234" s="124" t="s">
        <v>50</v>
      </c>
    </row>
    <row r="235" spans="2:2">
      <c r="B235" s="124" t="s">
        <v>51</v>
      </c>
    </row>
    <row r="236" spans="2:2">
      <c r="B236" s="124" t="s">
        <v>167</v>
      </c>
    </row>
    <row r="237" spans="2:2">
      <c r="B237" s="124" t="s">
        <v>141</v>
      </c>
    </row>
    <row r="238" spans="2:2">
      <c r="B238" s="124" t="s">
        <v>92</v>
      </c>
    </row>
    <row r="239" spans="2:2">
      <c r="B239" s="124" t="s">
        <v>93</v>
      </c>
    </row>
    <row r="240" spans="2:2">
      <c r="B240" s="124" t="s">
        <v>241</v>
      </c>
    </row>
  </sheetData>
  <sortState xmlns:xlrd2="http://schemas.microsoft.com/office/spreadsheetml/2017/richdata2" ref="A1:B160">
    <sortCondition ref="A1:A160"/>
  </sortSt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グループランダム生成">
                <anchor moveWithCells="1">
                  <from>
                    <xdr:col>2</xdr:col>
                    <xdr:colOff>133350</xdr:colOff>
                    <xdr:row>3</xdr:row>
                    <xdr:rowOff>38100</xdr:rowOff>
                  </from>
                  <to>
                    <xdr:col>3</xdr:col>
                    <xdr:colOff>514350</xdr:colOff>
                    <xdr:row>7</xdr:row>
                    <xdr:rowOff>19050</xdr:rowOff>
                  </to>
                </anchor>
              </controlPr>
            </control>
          </mc:Choice>
        </mc:AlternateContent>
        <mc:AlternateContent xmlns:mc="http://schemas.openxmlformats.org/markup-compatibility/2006">
          <mc:Choice Requires="x14">
            <control shapeId="133122"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mc:AlternateContent xmlns:mc="http://schemas.openxmlformats.org/markup-compatibility/2006">
          <mc:Choice Requires="x14">
            <control shapeId="133124" r:id="rId6" name="Button 4">
              <controlPr defaultSize="0" print="0" autoFill="0" autoPict="0" macro="[0]!りせっと">
                <anchor moveWithCells="1">
                  <from>
                    <xdr:col>2</xdr:col>
                    <xdr:colOff>247650</xdr:colOff>
                    <xdr:row>15</xdr:row>
                    <xdr:rowOff>152400</xdr:rowOff>
                  </from>
                  <to>
                    <xdr:col>3</xdr:col>
                    <xdr:colOff>95250</xdr:colOff>
                    <xdr:row>17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C78DB-8051-4EE3-AF32-27ADB26CC5FE}">
  <sheetPr codeName="Sheet3">
    <pageSetUpPr fitToPage="1"/>
  </sheetPr>
  <dimension ref="A1:X91"/>
  <sheetViews>
    <sheetView showGridLines="0" showZeros="0" topLeftCell="A43" zoomScaleNormal="100" workbookViewId="0">
      <selection activeCell="M36" sqref="M36"/>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19" max="19" width="9" customWidth="1"/>
    <col min="20" max="20" width="14" customWidth="1"/>
    <col min="21" max="21" width="9" customWidth="1"/>
    <col min="23" max="24" width="9" customWidth="1"/>
  </cols>
  <sheetData>
    <row r="1" spans="1:22" ht="14.25" thickBot="1">
      <c r="A1" s="440" t="str">
        <f>CONCATENATE("目標達成者数",_xlfn.VALUETOTEXT(SUM(S3:S14)),"人")</f>
        <v>目標達成者数0人</v>
      </c>
      <c r="C1" s="138" t="s">
        <v>246</v>
      </c>
      <c r="D1" s="217"/>
      <c r="E1" s="440" t="str">
        <f>CONCATENATE("目標達成者数",_xlfn.VALUETOTEXT(SUM(T3:T13)),"人")</f>
        <v>目標達成者数0人</v>
      </c>
      <c r="G1" s="138" t="s">
        <v>246</v>
      </c>
      <c r="H1" s="217"/>
      <c r="I1" s="440" t="str">
        <f>CONCATENATE("目標達成者数",_xlfn.VALUETOTEXT(SUM(U3:U13)),"人")</f>
        <v>目標達成者数0人</v>
      </c>
      <c r="K1" s="138" t="s">
        <v>246</v>
      </c>
      <c r="L1" s="138"/>
      <c r="M1" s="440" t="str">
        <f>CONCATENATE("目標達成者数",_xlfn.VALUETOTEXT(SUM(V3:V12)),"人")</f>
        <v>目標達成者数0人</v>
      </c>
      <c r="O1" s="138" t="s">
        <v>246</v>
      </c>
      <c r="P1" s="217"/>
      <c r="Q1" s="217"/>
    </row>
    <row r="2" spans="1:22" ht="14.25" thickBot="1">
      <c r="A2" s="307" t="str">
        <f>CONCATENATE("グループA  ",_xlfn.VALUETOTEXT(COUNTA(A3:A14)*3+COUNTIF(B3:B14,"=●")*3),"件")</f>
        <v>グループA  45件</v>
      </c>
      <c r="B2" s="308"/>
      <c r="C2" s="80">
        <f>SUM(C3:C14)</f>
        <v>6</v>
      </c>
      <c r="E2" s="309" t="str">
        <f>CONCATENATE("グループB  ",_xlfn.VALUETOTEXT(COUNTA(E3:E12)*3+COUNTIF(F3:F12,"=●")*3),"件")</f>
        <v>グループB  30件</v>
      </c>
      <c r="F2" s="310"/>
      <c r="G2" s="80">
        <f>SUM(G3:G12)</f>
        <v>1</v>
      </c>
      <c r="H2" s="2">
        <f>SUM(H3:H12)</f>
        <v>0</v>
      </c>
      <c r="I2" s="309" t="str">
        <f>CONCATENATE("グループC  ",_xlfn.VALUETOTEXT(COUNTA(I3:I13)*3+COUNTIF(J3:J13,"=●")*3),"件")</f>
        <v>グループC  39件</v>
      </c>
      <c r="J2" s="310"/>
      <c r="K2" s="80">
        <f>SUM(K3:K13)</f>
        <v>1</v>
      </c>
      <c r="M2" s="309" t="str">
        <f>CONCATENATE("グループD  ",_xlfn.VALUETOTEXT(COUNTA(M3:M13)*3+COUNTIF(N3:N13,"=●")*3),"件")</f>
        <v>グループD  39件</v>
      </c>
      <c r="N2" s="310"/>
      <c r="O2" s="80">
        <f>SUM(O3:O12)</f>
        <v>2</v>
      </c>
      <c r="P2" s="138"/>
      <c r="Q2" s="138"/>
      <c r="S2" t="s">
        <v>467</v>
      </c>
      <c r="T2" t="s">
        <v>468</v>
      </c>
      <c r="U2" t="s">
        <v>469</v>
      </c>
      <c r="V2" t="s">
        <v>470</v>
      </c>
    </row>
    <row r="3" spans="1:22" ht="14.25" thickTop="1">
      <c r="A3" s="300" t="s">
        <v>237</v>
      </c>
      <c r="B3" s="287" t="s">
        <v>256</v>
      </c>
      <c r="C3" s="173">
        <f>VLOOKUP(A3,'3月'!$B$4:$BQ$406,67,FALSE)</f>
        <v>1</v>
      </c>
      <c r="D3" s="472"/>
      <c r="E3" s="615" t="s">
        <v>130</v>
      </c>
      <c r="F3" s="289"/>
      <c r="G3" s="173">
        <f>VLOOKUP(E3,'3月'!$B$4:$BQ$406,67,FALSE)</f>
        <v>0</v>
      </c>
      <c r="I3" s="347" t="s">
        <v>0</v>
      </c>
      <c r="J3" s="294" t="s">
        <v>256</v>
      </c>
      <c r="K3" s="173">
        <f>VLOOKUP(I3,'3月'!$B$4:$BQ$406,67,FALSE)</f>
        <v>1</v>
      </c>
      <c r="M3" s="305" t="s">
        <v>18</v>
      </c>
      <c r="N3" s="289" t="s">
        <v>256</v>
      </c>
      <c r="O3" s="173">
        <f>VLOOKUP(M3,'3月'!$B$4:$BQ$406,67,FALSE)</f>
        <v>2</v>
      </c>
      <c r="P3" s="1"/>
      <c r="Q3" s="1"/>
      <c r="S3" s="424">
        <f t="shared" ref="S3:S14" si="0">VALUE(IF(C3&gt;=IF(B3="●",6,3),"1","0"))</f>
        <v>0</v>
      </c>
      <c r="T3" s="427">
        <f t="shared" ref="T3:T12" si="1">VALUE(IF(G3&gt;=IF(F3="●",6,3),"1","0"))</f>
        <v>0</v>
      </c>
      <c r="U3" s="424">
        <f t="shared" ref="U3:U13" si="2">VALUE(IF(K3&gt;=IF(J3="●",6,3),"1","0"))</f>
        <v>0</v>
      </c>
      <c r="V3" s="424">
        <f t="shared" ref="V3:V13" si="3">VALUE(IF(O3&gt;=IF(N3="●",6,3),"1","0"))</f>
        <v>0</v>
      </c>
    </row>
    <row r="4" spans="1:22">
      <c r="A4" s="301" t="s">
        <v>124</v>
      </c>
      <c r="B4" s="288"/>
      <c r="C4" s="109">
        <f>VLOOKUP(A4,'3月'!$B$4:$BQ$406,67,FALSE)</f>
        <v>0</v>
      </c>
      <c r="D4" s="472"/>
      <c r="E4" s="615" t="s">
        <v>231</v>
      </c>
      <c r="F4" s="290"/>
      <c r="G4" s="82">
        <f>VLOOKUP(E4,'3月'!$B$4:$BQ$406,67,FALSE)</f>
        <v>0</v>
      </c>
      <c r="I4" s="303" t="s">
        <v>31</v>
      </c>
      <c r="J4" s="290"/>
      <c r="K4" s="82">
        <f>VLOOKUP(I4,'3月'!$B$4:$BQ$406,67,FALSE)</f>
        <v>0</v>
      </c>
      <c r="M4" s="301" t="s">
        <v>16</v>
      </c>
      <c r="N4" s="290" t="s">
        <v>256</v>
      </c>
      <c r="O4" s="82">
        <f>VLOOKUP(M4,'3月'!$B$4:$BQ$406,67,FALSE)</f>
        <v>0</v>
      </c>
      <c r="P4" s="1"/>
      <c r="Q4" s="1"/>
      <c r="S4" s="425">
        <f t="shared" si="0"/>
        <v>0</v>
      </c>
      <c r="T4" s="428">
        <f t="shared" si="1"/>
        <v>0</v>
      </c>
      <c r="U4" s="425">
        <f t="shared" si="2"/>
        <v>0</v>
      </c>
      <c r="V4" s="425">
        <f t="shared" si="3"/>
        <v>0</v>
      </c>
    </row>
    <row r="5" spans="1:22">
      <c r="A5" s="127" t="s">
        <v>29</v>
      </c>
      <c r="B5" s="288"/>
      <c r="C5" s="109">
        <f>VLOOKUP(A5,'3月'!$B$4:$BQ$406,67,FALSE)</f>
        <v>0</v>
      </c>
      <c r="D5" s="472"/>
      <c r="E5" s="127" t="s">
        <v>239</v>
      </c>
      <c r="F5" s="290"/>
      <c r="G5" s="82">
        <f>VLOOKUP(E5,'3月'!$B$4:$BQ$406,67,FALSE)</f>
        <v>0</v>
      </c>
      <c r="I5" s="125" t="s">
        <v>225</v>
      </c>
      <c r="J5" s="290"/>
      <c r="K5" s="82">
        <f>VLOOKUP(I5,'3月'!$B$4:$BQ$406,67,FALSE)</f>
        <v>0</v>
      </c>
      <c r="M5" s="127" t="s">
        <v>292</v>
      </c>
      <c r="N5" s="290"/>
      <c r="O5" s="85">
        <f>VLOOKUP(M5,'3月'!$B$4:$BQ$406,67,FALSE)</f>
        <v>0</v>
      </c>
      <c r="P5" s="1"/>
      <c r="Q5" s="1"/>
      <c r="S5" s="425">
        <f t="shared" si="0"/>
        <v>0</v>
      </c>
      <c r="T5" s="428">
        <f t="shared" si="1"/>
        <v>0</v>
      </c>
      <c r="U5" s="425">
        <f t="shared" si="2"/>
        <v>0</v>
      </c>
      <c r="V5" s="425">
        <f t="shared" si="3"/>
        <v>0</v>
      </c>
    </row>
    <row r="6" spans="1:22">
      <c r="A6" s="127" t="s">
        <v>283</v>
      </c>
      <c r="B6" s="136" t="s">
        <v>256</v>
      </c>
      <c r="C6" s="109">
        <f>VLOOKUP(A6,'3月'!$B$4:$BQ$406,67,FALSE)</f>
        <v>0</v>
      </c>
      <c r="D6" s="472"/>
      <c r="E6" s="616" t="s">
        <v>284</v>
      </c>
      <c r="F6" s="290"/>
      <c r="G6" s="82">
        <f>VLOOKUP(E6,'3月'!$B$4:$BQ$406,67,FALSE)</f>
        <v>0</v>
      </c>
      <c r="I6" s="125" t="s">
        <v>286</v>
      </c>
      <c r="J6" s="290"/>
      <c r="K6" s="82">
        <f>VLOOKUP(I6,'3月'!$B$4:$BQ$406,67,FALSE)</f>
        <v>0</v>
      </c>
      <c r="M6" s="127" t="s">
        <v>168</v>
      </c>
      <c r="N6" s="290"/>
      <c r="O6" s="85">
        <f>VLOOKUP(M6,'3月'!$B$4:$BQ$406,67,FALSE)</f>
        <v>0</v>
      </c>
      <c r="P6" s="1"/>
      <c r="Q6" s="1"/>
      <c r="S6" s="425">
        <f t="shared" si="0"/>
        <v>0</v>
      </c>
      <c r="T6" s="428">
        <f t="shared" si="1"/>
        <v>0</v>
      </c>
      <c r="U6" s="425">
        <f t="shared" si="2"/>
        <v>0</v>
      </c>
      <c r="V6" s="425">
        <f t="shared" si="3"/>
        <v>0</v>
      </c>
    </row>
    <row r="7" spans="1:22">
      <c r="A7" s="127" t="s">
        <v>103</v>
      </c>
      <c r="B7" s="288"/>
      <c r="C7" s="109">
        <f>VLOOKUP(A7,'3月'!$B$4:$BQ$406,67,FALSE)</f>
        <v>1</v>
      </c>
      <c r="D7" s="472"/>
      <c r="E7" s="616" t="s">
        <v>190</v>
      </c>
      <c r="F7" s="290"/>
      <c r="G7" s="82">
        <f>VLOOKUP(E7,'3月'!$B$4:$BQ$406,67,FALSE)</f>
        <v>0</v>
      </c>
      <c r="I7" s="125" t="s">
        <v>7</v>
      </c>
      <c r="J7" s="290"/>
      <c r="K7" s="82">
        <f>VLOOKUP(I7,'3月'!$B$4:$BQ$406,67,FALSE)</f>
        <v>0</v>
      </c>
      <c r="M7" s="371" t="s">
        <v>515</v>
      </c>
      <c r="N7" s="290"/>
      <c r="O7" s="85">
        <f>VLOOKUP(M7,'3月'!$B$4:$BQ$406,67,FALSE)</f>
        <v>0</v>
      </c>
      <c r="P7" s="1"/>
      <c r="Q7" s="1"/>
      <c r="S7" s="425">
        <f t="shared" si="0"/>
        <v>0</v>
      </c>
      <c r="T7" s="428">
        <f t="shared" si="1"/>
        <v>0</v>
      </c>
      <c r="U7" s="425">
        <f t="shared" si="2"/>
        <v>0</v>
      </c>
      <c r="V7" s="425">
        <f t="shared" si="3"/>
        <v>0</v>
      </c>
    </row>
    <row r="8" spans="1:22">
      <c r="A8" s="127" t="s">
        <v>352</v>
      </c>
      <c r="B8" s="344"/>
      <c r="C8" s="109">
        <f>VLOOKUP(A8,'3月'!$B$4:$BQ$406,67,FALSE)</f>
        <v>0</v>
      </c>
      <c r="D8" s="472"/>
      <c r="E8" s="616" t="s">
        <v>35</v>
      </c>
      <c r="F8" s="290"/>
      <c r="G8" s="82">
        <f>VLOOKUP(E8,'3月'!$B$4:$BQ$406,67,FALSE)</f>
        <v>0</v>
      </c>
      <c r="I8" s="131" t="s">
        <v>235</v>
      </c>
      <c r="J8" s="293" t="s">
        <v>256</v>
      </c>
      <c r="K8" s="82">
        <f>VLOOKUP(I8,'3月'!$B$4:$BQ$406,67,FALSE)</f>
        <v>0</v>
      </c>
      <c r="M8" s="127" t="s">
        <v>293</v>
      </c>
      <c r="N8" s="290"/>
      <c r="O8" s="85">
        <f>VLOOKUP(M8,'3月'!$B$4:$BQ$406,67,FALSE)</f>
        <v>0</v>
      </c>
      <c r="P8" s="1"/>
      <c r="Q8" s="1"/>
      <c r="S8" s="425">
        <f t="shared" si="0"/>
        <v>0</v>
      </c>
      <c r="T8" s="428">
        <f t="shared" si="1"/>
        <v>0</v>
      </c>
      <c r="U8" s="425">
        <f t="shared" si="2"/>
        <v>0</v>
      </c>
      <c r="V8" s="425">
        <f t="shared" si="3"/>
        <v>0</v>
      </c>
    </row>
    <row r="9" spans="1:22">
      <c r="A9" s="127" t="s">
        <v>280</v>
      </c>
      <c r="B9" s="288" t="s">
        <v>256</v>
      </c>
      <c r="C9" s="109">
        <f>VLOOKUP(A9,'3月'!$B$4:$BQ$406,67,FALSE)</f>
        <v>2</v>
      </c>
      <c r="D9" s="472"/>
      <c r="E9" s="616" t="s">
        <v>30</v>
      </c>
      <c r="F9" s="290"/>
      <c r="G9" s="82">
        <f>VLOOKUP(E9,'3月'!$B$4:$BQ$406,67,FALSE)</f>
        <v>0</v>
      </c>
      <c r="I9" s="131" t="s">
        <v>107</v>
      </c>
      <c r="J9" s="293"/>
      <c r="K9" s="82">
        <f>VLOOKUP(I9,'3月'!$B$4:$BQ$406,67,FALSE)</f>
        <v>0</v>
      </c>
      <c r="M9" s="127" t="s">
        <v>261</v>
      </c>
      <c r="N9" s="290"/>
      <c r="O9" s="85">
        <f>VLOOKUP(M9,'3月'!$B$4:$BQ$406,67,FALSE)</f>
        <v>0</v>
      </c>
      <c r="P9" s="1"/>
      <c r="Q9" s="1"/>
      <c r="S9" s="425">
        <f t="shared" si="0"/>
        <v>0</v>
      </c>
      <c r="T9" s="428">
        <f t="shared" si="1"/>
        <v>0</v>
      </c>
      <c r="U9" s="425">
        <f t="shared" si="2"/>
        <v>0</v>
      </c>
      <c r="V9" s="425">
        <f t="shared" si="3"/>
        <v>0</v>
      </c>
    </row>
    <row r="10" spans="1:22">
      <c r="A10" s="127" t="s">
        <v>281</v>
      </c>
      <c r="B10" s="290"/>
      <c r="C10" s="109">
        <f>VLOOKUP(A10,'3月'!$B$4:$BQ$406,67,FALSE)</f>
        <v>0</v>
      </c>
      <c r="D10" s="472"/>
      <c r="E10" s="622" t="s">
        <v>2</v>
      </c>
      <c r="F10" s="291"/>
      <c r="G10" s="82">
        <f>VLOOKUP(E10,'3月'!$B$4:$BQ$406,67,FALSE)</f>
        <v>1</v>
      </c>
      <c r="I10" s="125" t="s">
        <v>287</v>
      </c>
      <c r="J10" s="290"/>
      <c r="K10" s="82">
        <f>VLOOKUP(I10,'3月'!$B$4:$BQ$406,67,FALSE)</f>
        <v>0</v>
      </c>
      <c r="M10" s="127" t="s">
        <v>242</v>
      </c>
      <c r="N10" s="293"/>
      <c r="O10" s="85">
        <f>VLOOKUP(M10,'3月'!$B$4:$BQ$406,67,FALSE)</f>
        <v>0</v>
      </c>
      <c r="P10" s="1"/>
      <c r="Q10" s="1"/>
      <c r="S10" s="425">
        <f t="shared" si="0"/>
        <v>0</v>
      </c>
      <c r="T10" s="428">
        <f t="shared" si="1"/>
        <v>0</v>
      </c>
      <c r="U10" s="425">
        <f t="shared" si="2"/>
        <v>0</v>
      </c>
      <c r="V10" s="425">
        <f t="shared" si="3"/>
        <v>0</v>
      </c>
    </row>
    <row r="11" spans="1:22">
      <c r="A11" s="125" t="s">
        <v>282</v>
      </c>
      <c r="B11" s="290"/>
      <c r="C11" s="109">
        <f>VLOOKUP(A11,'3月'!$B$4:$BQ$406,67,FALSE)</f>
        <v>0</v>
      </c>
      <c r="D11" s="472"/>
      <c r="E11" s="273" t="s">
        <v>321</v>
      </c>
      <c r="F11" s="290"/>
      <c r="G11" s="82">
        <f>VLOOKUP(E11,'3月'!$B$4:$BQ$406,67,FALSE)</f>
        <v>0</v>
      </c>
      <c r="I11" s="125" t="s">
        <v>289</v>
      </c>
      <c r="J11" s="290"/>
      <c r="K11" s="82">
        <f>VLOOKUP(I11,'3月'!$B$4:$BQ$406,67,FALSE)</f>
        <v>0</v>
      </c>
      <c r="M11" s="127" t="s">
        <v>291</v>
      </c>
      <c r="N11" s="290"/>
      <c r="O11" s="85">
        <f>VLOOKUP(M11,'3月'!$B$4:$BQ$406,67,FALSE)</f>
        <v>0</v>
      </c>
      <c r="P11" s="1"/>
      <c r="Q11" s="1"/>
      <c r="S11" s="425">
        <f t="shared" si="0"/>
        <v>0</v>
      </c>
      <c r="T11" s="428">
        <f t="shared" si="1"/>
        <v>0</v>
      </c>
      <c r="U11" s="425">
        <f t="shared" si="2"/>
        <v>0</v>
      </c>
      <c r="V11" s="425">
        <f t="shared" si="3"/>
        <v>0</v>
      </c>
    </row>
    <row r="12" spans="1:22" ht="14.25" thickBot="1">
      <c r="A12" s="127" t="s">
        <v>139</v>
      </c>
      <c r="B12" s="290"/>
      <c r="C12" s="109">
        <f>VLOOKUP(A12,'3月'!$B$4:$BQ$406,67,FALSE)</f>
        <v>0</v>
      </c>
      <c r="D12" s="472"/>
      <c r="E12" s="296" t="s">
        <v>25</v>
      </c>
      <c r="F12" s="297"/>
      <c r="G12" s="84">
        <f>VLOOKUP(E12,'3月'!$B$4:$BQ$406,67,FALSE)</f>
        <v>0</v>
      </c>
      <c r="I12" s="125" t="s">
        <v>288</v>
      </c>
      <c r="J12" s="290"/>
      <c r="K12" s="82">
        <f>VLOOKUP(I12,'3月'!$B$4:$BQ$406,67,FALSE)</f>
        <v>0</v>
      </c>
      <c r="M12" s="343" t="s">
        <v>176</v>
      </c>
      <c r="N12" s="291"/>
      <c r="O12" s="177">
        <f>VLOOKUP(M12,'3月'!$B$4:$BQ$406,67,FALSE)</f>
        <v>0</v>
      </c>
      <c r="P12" s="1"/>
      <c r="Q12" s="1"/>
      <c r="S12" s="425">
        <f t="shared" si="0"/>
        <v>0</v>
      </c>
      <c r="T12" s="428">
        <f t="shared" si="1"/>
        <v>0</v>
      </c>
      <c r="U12" s="425">
        <f t="shared" si="2"/>
        <v>0</v>
      </c>
      <c r="V12" s="425">
        <f t="shared" si="3"/>
        <v>0</v>
      </c>
    </row>
    <row r="13" spans="1:22" ht="14.25" thickBot="1">
      <c r="A13" s="343" t="s">
        <v>275</v>
      </c>
      <c r="B13" s="345"/>
      <c r="C13" s="83">
        <f>VLOOKUP(A13,'3月'!$B$4:$BQ$406,67,FALSE)</f>
        <v>2</v>
      </c>
      <c r="D13" s="574"/>
      <c r="E13" s="135"/>
      <c r="F13" s="135"/>
      <c r="I13" s="270" t="s">
        <v>510</v>
      </c>
      <c r="J13" s="292"/>
      <c r="K13" s="84">
        <f>VLOOKUP(I13,'3月'!$B$4:$BQ$406,67,FALSE)</f>
        <v>0</v>
      </c>
      <c r="M13" s="126" t="s">
        <v>28</v>
      </c>
      <c r="N13" s="292"/>
      <c r="O13" s="84">
        <f>VLOOKUP(M13,'3月'!$B$4:$BQ$406,67,FALSE)</f>
        <v>0</v>
      </c>
      <c r="P13" s="1"/>
      <c r="Q13" s="1"/>
      <c r="S13" s="428">
        <f t="shared" si="0"/>
        <v>0</v>
      </c>
      <c r="T13" s="424"/>
      <c r="U13" s="700">
        <f t="shared" si="2"/>
        <v>0</v>
      </c>
      <c r="V13" s="426">
        <f t="shared" si="3"/>
        <v>0</v>
      </c>
    </row>
    <row r="14" spans="1:22" ht="14.25" thickBot="1">
      <c r="A14" s="126" t="s">
        <v>9</v>
      </c>
      <c r="B14" s="292"/>
      <c r="C14" s="174">
        <f>VLOOKUP(A14,'3月'!$B$4:$BQ$406,67,FALSE)</f>
        <v>0</v>
      </c>
      <c r="D14" s="574"/>
      <c r="G14" s="138"/>
      <c r="H14" s="217"/>
      <c r="I14" s="134"/>
      <c r="J14" s="192"/>
      <c r="M14" s="124"/>
      <c r="N14" s="184"/>
      <c r="P14" s="1"/>
      <c r="Q14" s="1"/>
      <c r="S14" s="426">
        <f t="shared" si="0"/>
        <v>0</v>
      </c>
    </row>
    <row r="15" spans="1:22" ht="14.25" thickBot="1">
      <c r="A15" s="440" t="str">
        <f>CONCATENATE("目標達成者数",_xlfn.VALUETOTEXT(SUM(S17:S27)),"人")</f>
        <v>目標達成者数0人</v>
      </c>
      <c r="C15" s="138" t="s">
        <v>246</v>
      </c>
      <c r="D15" s="217"/>
      <c r="E15" s="440" t="str">
        <f>CONCATENATE("目標達成者数",_xlfn.VALUETOTEXT(SUM(T17:T27)),"人")</f>
        <v>目標達成者数1人</v>
      </c>
      <c r="G15" s="138" t="s">
        <v>246</v>
      </c>
      <c r="H15" s="217"/>
      <c r="I15" s="440" t="str">
        <f>CONCATENATE("目標達成者数",_xlfn.VALUETOTEXT(SUM(U17:U27)),"人")</f>
        <v>目標達成者数0人</v>
      </c>
      <c r="K15" s="138" t="s">
        <v>246</v>
      </c>
      <c r="L15" s="138"/>
      <c r="M15" s="440" t="str">
        <f>CONCATENATE("目標達成者数",_xlfn.VALUETOTEXT(SUM(V17:V27)),"人")</f>
        <v>目標達成者数0人</v>
      </c>
      <c r="O15" s="138" t="s">
        <v>246</v>
      </c>
      <c r="P15" s="1"/>
      <c r="Q15" s="1"/>
    </row>
    <row r="16" spans="1:22" ht="14.25" thickBot="1">
      <c r="A16" s="307" t="str">
        <f>CONCATENATE("グループE  ",_xlfn.VALUETOTEXT(COUNTA(A17:A27)*3+COUNTIF(B17:B27,"=●")*3),"件")</f>
        <v>グループE  42件</v>
      </c>
      <c r="B16" s="308"/>
      <c r="C16" s="80">
        <f>SUM(C17:C27)</f>
        <v>7</v>
      </c>
      <c r="E16" s="309" t="str">
        <f>CONCATENATE("グループF  ",_xlfn.VALUETOTEXT(COUNTA(E17:E27)*3+COUNTIF(F17:F27,"=●")*3),"件")</f>
        <v>グループF  33件</v>
      </c>
      <c r="F16" s="310"/>
      <c r="G16" s="80">
        <f>SUM(G17:G27)</f>
        <v>7</v>
      </c>
      <c r="H16" s="2">
        <f>SUM(H17:H26)</f>
        <v>0</v>
      </c>
      <c r="I16" s="309" t="str">
        <f>CONCATENATE("グループG  ",_xlfn.VALUETOTEXT(COUNTA(I17:I27)*3+COUNTIF(J17:J27,"=●")*3),"件")</f>
        <v>グループG  42件</v>
      </c>
      <c r="J16" s="310"/>
      <c r="K16" s="80">
        <f>SUM(K17:K27)</f>
        <v>1</v>
      </c>
      <c r="M16" s="309" t="str">
        <f>CONCATENATE("グループH  ",_xlfn.VALUETOTEXT(COUNTA(M17:M27)*3+COUNTIF(N17:N27,"=●")*3),"件")</f>
        <v>グループH  39件</v>
      </c>
      <c r="N16" s="310"/>
      <c r="O16" s="80">
        <f>SUM(O17:O27)</f>
        <v>0</v>
      </c>
      <c r="P16" s="2"/>
      <c r="Q16" s="1"/>
      <c r="S16" t="s">
        <v>471</v>
      </c>
      <c r="T16" t="s">
        <v>472</v>
      </c>
      <c r="U16" t="s">
        <v>473</v>
      </c>
      <c r="V16" t="s">
        <v>474</v>
      </c>
    </row>
    <row r="17" spans="1:22" ht="14.25" thickTop="1">
      <c r="A17" s="300" t="s">
        <v>23</v>
      </c>
      <c r="B17" s="287" t="s">
        <v>256</v>
      </c>
      <c r="C17" s="173">
        <f>VLOOKUP(A17,'3月'!$B$4:$BQ$406,67,FALSE)</f>
        <v>0</v>
      </c>
      <c r="D17" s="1"/>
      <c r="E17" s="577" t="s">
        <v>19</v>
      </c>
      <c r="F17" s="289"/>
      <c r="G17" s="173">
        <f>VLOOKUP(E17,'3月'!$B$4:$BQ$406,67,FALSE)</f>
        <v>0</v>
      </c>
      <c r="I17" s="304" t="s">
        <v>296</v>
      </c>
      <c r="J17" s="294" t="s">
        <v>256</v>
      </c>
      <c r="K17" s="173">
        <f>VLOOKUP(I17,'3月'!$B$4:$BQ$406,67,FALSE)</f>
        <v>0</v>
      </c>
      <c r="M17" s="305" t="s">
        <v>10</v>
      </c>
      <c r="N17" s="289" t="s">
        <v>256</v>
      </c>
      <c r="O17" s="173">
        <f>VLOOKUP(M17,'3月'!$B$4:$BQ$406,67,FALSE)</f>
        <v>0</v>
      </c>
      <c r="P17" s="2"/>
      <c r="S17" s="424">
        <f t="shared" ref="S17:S27" si="4">VALUE(IF(C17&gt;=IF(B17="●",6,3),"1","0"))</f>
        <v>0</v>
      </c>
      <c r="T17" s="427">
        <f t="shared" ref="T17:T27" si="5">VALUE(IF(G17&gt;=IF(F17="●",6,3),"1","0"))</f>
        <v>0</v>
      </c>
      <c r="U17" s="424">
        <f>VALUE(IF(K17&gt;=IF(J17="●",6,3),"1","0"))</f>
        <v>0</v>
      </c>
      <c r="V17" s="430">
        <f t="shared" ref="V17:V27" si="6">VALUE(IF(O17&gt;=IF(N17="●",6,3),"1","0"))</f>
        <v>0</v>
      </c>
    </row>
    <row r="18" spans="1:22">
      <c r="A18" s="301" t="s">
        <v>160</v>
      </c>
      <c r="B18" s="288"/>
      <c r="C18" s="109">
        <f>VLOOKUP(A18,'3月'!$B$4:$BQ$406,67,FALSE)</f>
        <v>2</v>
      </c>
      <c r="D18" s="1"/>
      <c r="E18" s="339" t="s">
        <v>8</v>
      </c>
      <c r="F18" s="290"/>
      <c r="G18" s="82">
        <f>VLOOKUP(E18,'3月'!$B$4:$BQ$406,67,FALSE)</f>
        <v>1</v>
      </c>
      <c r="I18" s="303" t="s">
        <v>297</v>
      </c>
      <c r="J18" s="290" t="s">
        <v>256</v>
      </c>
      <c r="K18" s="82">
        <f>VLOOKUP(I18,'3月'!$B$4:$BQ$406,67,FALSE)</f>
        <v>1</v>
      </c>
      <c r="M18" s="301" t="s">
        <v>21</v>
      </c>
      <c r="N18" s="289" t="s">
        <v>256</v>
      </c>
      <c r="O18" s="82">
        <f>VLOOKUP(M18,'3月'!$B$4:$BQ$406,67,FALSE)</f>
        <v>0</v>
      </c>
      <c r="S18" s="425">
        <f t="shared" si="4"/>
        <v>0</v>
      </c>
      <c r="T18" s="428">
        <f t="shared" si="5"/>
        <v>0</v>
      </c>
      <c r="U18" s="425">
        <f>VALUE(IF(K18&gt;=IF(J18="●",6,3),"1","0"))</f>
        <v>0</v>
      </c>
      <c r="V18" s="431">
        <f t="shared" si="6"/>
        <v>0</v>
      </c>
    </row>
    <row r="19" spans="1:22">
      <c r="A19" s="127" t="s">
        <v>27</v>
      </c>
      <c r="B19" s="288"/>
      <c r="C19" s="109">
        <f>VLOOKUP(A19,'3月'!$B$4:$BQ$406,67,FALSE)</f>
        <v>0</v>
      </c>
      <c r="D19" s="1"/>
      <c r="E19" s="575" t="s">
        <v>198</v>
      </c>
      <c r="F19" s="290"/>
      <c r="G19" s="82">
        <f>VLOOKUP(E19,'3月'!$B$4:$BQ$406,67,FALSE)</f>
        <v>0</v>
      </c>
      <c r="I19" s="125" t="s">
        <v>86</v>
      </c>
      <c r="J19" s="290" t="s">
        <v>256</v>
      </c>
      <c r="K19" s="82">
        <f>VLOOKUP(I19,'3月'!$B$4:$BQ$406,67,FALSE)</f>
        <v>0</v>
      </c>
      <c r="M19" s="127" t="s">
        <v>302</v>
      </c>
      <c r="N19" s="290"/>
      <c r="O19" s="85">
        <f>VLOOKUP(M19,'3月'!$B$4:$BQ$406,67,FALSE)</f>
        <v>0</v>
      </c>
      <c r="P19" s="2">
        <f>SUM(P20:P29)</f>
        <v>0</v>
      </c>
      <c r="S19" s="425">
        <f t="shared" si="4"/>
        <v>0</v>
      </c>
      <c r="T19" s="428">
        <f t="shared" si="5"/>
        <v>0</v>
      </c>
      <c r="U19" s="425">
        <f>VALUE(IF(K19&gt;=IF(J19="●",6,3),"1","0"))</f>
        <v>0</v>
      </c>
      <c r="V19" s="431">
        <f t="shared" si="6"/>
        <v>0</v>
      </c>
    </row>
    <row r="20" spans="1:22">
      <c r="A20" s="127" t="s">
        <v>104</v>
      </c>
      <c r="B20" s="288"/>
      <c r="C20" s="109">
        <f>VLOOKUP(A20,'3月'!$B$4:$BQ$406,67,FALSE)</f>
        <v>0</v>
      </c>
      <c r="D20" s="1"/>
      <c r="E20" s="575" t="s">
        <v>174</v>
      </c>
      <c r="F20" s="290"/>
      <c r="G20" s="82">
        <f>VLOOKUP(E20,'3月'!$B$4:$BQ$406,67,FALSE)</f>
        <v>1</v>
      </c>
      <c r="I20" s="127" t="s">
        <v>298</v>
      </c>
      <c r="J20" s="290"/>
      <c r="K20" s="82">
        <f>VLOOKUP(I20,'3月'!$B$4:$BQ$406,67,FALSE)</f>
        <v>0</v>
      </c>
      <c r="M20" s="127" t="s">
        <v>518</v>
      </c>
      <c r="N20" s="290"/>
      <c r="O20" s="85">
        <f>VLOOKUP(M20,'3月'!$B$4:$BQ$406,67,FALSE)</f>
        <v>0</v>
      </c>
      <c r="S20" s="425">
        <f t="shared" si="4"/>
        <v>0</v>
      </c>
      <c r="T20" s="428">
        <f t="shared" si="5"/>
        <v>0</v>
      </c>
      <c r="U20" s="425">
        <f>VALUE(IF(K20&gt;=IF(J20="●",6,3),"1","0"))</f>
        <v>0</v>
      </c>
      <c r="V20" s="431">
        <f t="shared" si="6"/>
        <v>0</v>
      </c>
    </row>
    <row r="21" spans="1:22">
      <c r="A21" s="127" t="s">
        <v>64</v>
      </c>
      <c r="B21" s="288"/>
      <c r="C21" s="109">
        <f>VLOOKUP(A21,'3月'!$B$4:$BQ$406,67,FALSE)</f>
        <v>0</v>
      </c>
      <c r="D21" s="1"/>
      <c r="E21" s="575" t="s">
        <v>152</v>
      </c>
      <c r="F21" s="290"/>
      <c r="G21" s="82">
        <f>VLOOKUP(E21,'3月'!$B$4:$BQ$406,67,FALSE)</f>
        <v>2</v>
      </c>
      <c r="I21" s="127" t="s">
        <v>267</v>
      </c>
      <c r="J21" s="293"/>
      <c r="K21" s="82">
        <f>VLOOKUP(I21,'3月'!$B$4:$BQ$406,67,FALSE)</f>
        <v>0</v>
      </c>
      <c r="M21" s="127" t="s">
        <v>303</v>
      </c>
      <c r="N21" s="290"/>
      <c r="O21" s="85">
        <f>VLOOKUP(M21,'3月'!$B$4:$BQ$406,67,FALSE)</f>
        <v>0</v>
      </c>
      <c r="S21" s="425">
        <f t="shared" si="4"/>
        <v>0</v>
      </c>
      <c r="T21" s="428">
        <f t="shared" si="5"/>
        <v>0</v>
      </c>
      <c r="U21" s="425">
        <f t="shared" ref="U21:U27" si="7">VALUE(IF(K20&gt;=IF(J20="●",6,3),"1","0"))</f>
        <v>0</v>
      </c>
      <c r="V21" s="431">
        <f t="shared" si="6"/>
        <v>0</v>
      </c>
    </row>
    <row r="22" spans="1:22">
      <c r="A22" s="129" t="s">
        <v>154</v>
      </c>
      <c r="B22" s="290"/>
      <c r="C22" s="109">
        <f>VLOOKUP(A22,'3月'!$B$4:$BQ$406,67,FALSE)</f>
        <v>0</v>
      </c>
      <c r="D22" s="1"/>
      <c r="E22" s="575" t="s">
        <v>151</v>
      </c>
      <c r="F22" s="290"/>
      <c r="G22" s="82">
        <f>VLOOKUP(E22,'3月'!$B$4:$BQ$406,67,FALSE)</f>
        <v>3</v>
      </c>
      <c r="I22" s="144" t="s">
        <v>109</v>
      </c>
      <c r="J22" s="293"/>
      <c r="K22" s="82">
        <f>VLOOKUP(I22,'3月'!$B$4:$BQ$406,67,FALSE)</f>
        <v>0</v>
      </c>
      <c r="M22" s="319" t="s">
        <v>145</v>
      </c>
      <c r="N22" s="290"/>
      <c r="O22" s="85">
        <f>VLOOKUP(M22,'3月'!$B$4:$BQ$406,67,FALSE)</f>
        <v>0</v>
      </c>
      <c r="S22" s="425">
        <f t="shared" si="4"/>
        <v>0</v>
      </c>
      <c r="T22" s="428">
        <f t="shared" si="5"/>
        <v>1</v>
      </c>
      <c r="U22" s="425">
        <f t="shared" si="7"/>
        <v>0</v>
      </c>
      <c r="V22" s="431">
        <f t="shared" si="6"/>
        <v>0</v>
      </c>
    </row>
    <row r="23" spans="1:22">
      <c r="A23" s="127" t="s">
        <v>44</v>
      </c>
      <c r="B23" s="288"/>
      <c r="C23" s="109">
        <f>VLOOKUP(A23,'3月'!$B$4:$BQ$406,67,FALSE)</f>
        <v>0</v>
      </c>
      <c r="D23" s="1"/>
      <c r="E23" s="575" t="s">
        <v>295</v>
      </c>
      <c r="F23" s="290"/>
      <c r="G23" s="82">
        <f>VLOOKUP(E23,'3月'!$B$4:$BQ$406,67,FALSE)</f>
        <v>0</v>
      </c>
      <c r="I23" s="144" t="s">
        <v>53</v>
      </c>
      <c r="J23" s="290"/>
      <c r="K23" s="82">
        <f>VLOOKUP(I23,'3月'!$B$4:$BQ$406,67,FALSE)</f>
        <v>0</v>
      </c>
      <c r="M23" s="144" t="s">
        <v>240</v>
      </c>
      <c r="N23" s="293"/>
      <c r="O23" s="85">
        <f>VLOOKUP(M23,'3月'!$B$4:$BQ$406,67,FALSE)</f>
        <v>0</v>
      </c>
      <c r="P23" s="2"/>
      <c r="Q23" s="139"/>
      <c r="S23" s="425">
        <f t="shared" si="4"/>
        <v>0</v>
      </c>
      <c r="T23" s="428">
        <f t="shared" si="5"/>
        <v>0</v>
      </c>
      <c r="U23" s="425">
        <f t="shared" si="7"/>
        <v>0</v>
      </c>
      <c r="V23" s="431">
        <f t="shared" si="6"/>
        <v>0</v>
      </c>
    </row>
    <row r="24" spans="1:22">
      <c r="A24" s="127" t="s">
        <v>294</v>
      </c>
      <c r="B24" s="290" t="s">
        <v>320</v>
      </c>
      <c r="C24" s="109">
        <f>VLOOKUP(A24,'3月'!$B$4:$BQ$406,67,FALSE)</f>
        <v>1</v>
      </c>
      <c r="D24" s="1"/>
      <c r="E24" s="575" t="s">
        <v>233</v>
      </c>
      <c r="F24" s="290"/>
      <c r="G24" s="82">
        <f>VLOOKUP(E24,'3月'!$B$4:$BQ$406,67,FALSE)</f>
        <v>0</v>
      </c>
      <c r="I24" s="319" t="s">
        <v>299</v>
      </c>
      <c r="J24" s="290"/>
      <c r="K24" s="82">
        <f>VLOOKUP(I24,'3月'!$B$4:$BQ$406,67,FALSE)</f>
        <v>0</v>
      </c>
      <c r="M24" s="127" t="s">
        <v>14</v>
      </c>
      <c r="N24" s="140"/>
      <c r="O24" s="85">
        <f>VLOOKUP(M24,'3月'!$B$4:$BQ$406,67,FALSE)</f>
        <v>0</v>
      </c>
      <c r="S24" s="425">
        <f t="shared" si="4"/>
        <v>0</v>
      </c>
      <c r="T24" s="428">
        <f t="shared" si="5"/>
        <v>0</v>
      </c>
      <c r="U24" s="425">
        <f t="shared" si="7"/>
        <v>0</v>
      </c>
      <c r="V24" s="431">
        <f t="shared" si="6"/>
        <v>0</v>
      </c>
    </row>
    <row r="25" spans="1:22">
      <c r="A25" s="127" t="s">
        <v>277</v>
      </c>
      <c r="B25" s="269"/>
      <c r="C25" s="109">
        <f>VLOOKUP(A25,'3月'!$B$4:$BQ$406,67,FALSE)</f>
        <v>0</v>
      </c>
      <c r="D25" s="1"/>
      <c r="E25" s="576" t="s">
        <v>111</v>
      </c>
      <c r="F25" s="291"/>
      <c r="G25" s="82">
        <f>VLOOKUP(E25,'3月'!$B$4:$BQ$406,67,FALSE)</f>
        <v>0</v>
      </c>
      <c r="I25" s="319" t="s">
        <v>144</v>
      </c>
      <c r="J25" s="290"/>
      <c r="K25" s="82">
        <f>VLOOKUP(I25,'3月'!$B$4:$BQ$406,67,FALSE)</f>
        <v>0</v>
      </c>
      <c r="M25" s="127" t="s">
        <v>36</v>
      </c>
      <c r="N25" s="290"/>
      <c r="O25" s="85">
        <f>VLOOKUP(M25,'3月'!$B$4:$BQ$406,67,FALSE)</f>
        <v>0</v>
      </c>
      <c r="S25" s="425">
        <f t="shared" si="4"/>
        <v>0</v>
      </c>
      <c r="T25" s="428">
        <f t="shared" si="5"/>
        <v>0</v>
      </c>
      <c r="U25" s="425">
        <f t="shared" si="7"/>
        <v>0</v>
      </c>
      <c r="V25" s="431">
        <f t="shared" si="6"/>
        <v>0</v>
      </c>
    </row>
    <row r="26" spans="1:22">
      <c r="A26" s="127" t="s">
        <v>257</v>
      </c>
      <c r="B26" s="320" t="s">
        <v>256</v>
      </c>
      <c r="C26" s="82">
        <f>VLOOKUP(A26,'3月'!$B$4:$BQ$406,67,FALSE)</f>
        <v>4</v>
      </c>
      <c r="E26" s="127" t="s">
        <v>123</v>
      </c>
      <c r="F26" s="290"/>
      <c r="G26" s="82">
        <f>VLOOKUP(E26,'3月'!$B$4:$BQ$406,67,FALSE)</f>
        <v>0</v>
      </c>
      <c r="I26" s="127" t="s">
        <v>45</v>
      </c>
      <c r="J26" s="290"/>
      <c r="K26" s="82">
        <f>VLOOKUP(I26,'3月'!$B$4:$BQ$406,67,FALSE)</f>
        <v>0</v>
      </c>
      <c r="M26" s="343" t="s">
        <v>276</v>
      </c>
      <c r="N26" s="290"/>
      <c r="O26" s="85">
        <f>VLOOKUP(M26,'3月'!$B$4:$BQ$406,67,FALSE)</f>
        <v>0</v>
      </c>
      <c r="P26" s="139"/>
      <c r="Q26" s="176"/>
      <c r="S26" s="425">
        <f t="shared" si="4"/>
        <v>0</v>
      </c>
      <c r="T26" s="428">
        <f t="shared" si="5"/>
        <v>0</v>
      </c>
      <c r="U26" s="425">
        <f t="shared" si="7"/>
        <v>0</v>
      </c>
      <c r="V26" s="431">
        <f t="shared" si="6"/>
        <v>0</v>
      </c>
    </row>
    <row r="27" spans="1:22" ht="14.25" thickBot="1">
      <c r="A27" s="126" t="s">
        <v>319</v>
      </c>
      <c r="B27" s="292"/>
      <c r="C27" s="174">
        <f>VLOOKUP(A27,'3月'!$B$4:$BQ$406,67,FALSE)</f>
        <v>0</v>
      </c>
      <c r="D27" s="1"/>
      <c r="E27" s="296" t="s">
        <v>181</v>
      </c>
      <c r="F27" s="297"/>
      <c r="G27" s="84">
        <f>VLOOKUP(E27,'3月'!$B$4:$BQ$406,67,FALSE)</f>
        <v>0</v>
      </c>
      <c r="I27" s="126" t="s">
        <v>300</v>
      </c>
      <c r="J27" s="295"/>
      <c r="K27" s="84">
        <f>VLOOKUP(I27,'3月'!$B$4:$BQ$406,67,FALSE)</f>
        <v>0</v>
      </c>
      <c r="M27" s="126" t="s">
        <v>11</v>
      </c>
      <c r="N27" s="292"/>
      <c r="O27" s="191">
        <f>VLOOKUP(M27,'3月'!$B$4:$BQ$406,67,FALSE)</f>
        <v>0</v>
      </c>
      <c r="S27" s="426">
        <f t="shared" si="4"/>
        <v>0</v>
      </c>
      <c r="T27" s="429">
        <f t="shared" si="5"/>
        <v>0</v>
      </c>
      <c r="U27" s="425">
        <f t="shared" si="7"/>
        <v>0</v>
      </c>
      <c r="V27" s="432">
        <f t="shared" si="6"/>
        <v>0</v>
      </c>
    </row>
    <row r="28" spans="1:22">
      <c r="A28" s="134"/>
      <c r="B28" s="192"/>
      <c r="E28" s="135"/>
      <c r="F28" s="135"/>
      <c r="G28" s="138"/>
      <c r="H28" s="217"/>
      <c r="I28" s="134"/>
      <c r="J28" s="184"/>
      <c r="L28" s="1"/>
      <c r="N28" s="192"/>
      <c r="U28" s="579"/>
    </row>
    <row r="29" spans="1:22" ht="15" customHeight="1" thickBot="1">
      <c r="A29" s="440" t="str">
        <f>CONCATENATE("目標達成者数",_xlfn.VALUETOTEXT(SUM(S31:S39)),"人")</f>
        <v>目標達成者数1人</v>
      </c>
      <c r="C29" s="138" t="s">
        <v>246</v>
      </c>
      <c r="D29" s="217"/>
      <c r="E29" s="440" t="str">
        <f>CONCATENATE("目標達成者数",_xlfn.VALUETOTEXT(SUM(T31:T40)),"人")</f>
        <v>目標達成者数0人</v>
      </c>
      <c r="G29" s="138" t="s">
        <v>246</v>
      </c>
      <c r="H29" s="217"/>
      <c r="I29" s="440" t="str">
        <f>CONCATENATE("目標達成者数",_xlfn.VALUETOTEXT(SUM(U31:U41)),"人")</f>
        <v>目標達成者数0人</v>
      </c>
      <c r="K29" s="138" t="s">
        <v>246</v>
      </c>
      <c r="L29" s="138"/>
      <c r="M29" s="440" t="str">
        <f>CONCATENATE("目標達成者数",_xlfn.VALUETOTEXT(SUM(V31:V42)),"人")</f>
        <v>目標達成者数0人</v>
      </c>
      <c r="O29" s="138" t="s">
        <v>246</v>
      </c>
      <c r="R29" s="134"/>
    </row>
    <row r="30" spans="1:22" ht="15" customHeight="1" thickBot="1">
      <c r="A30" s="307" t="str">
        <f>CONCATENATE("グループI  ",_xlfn.VALUETOTEXT(COUNTA(A31:A40)*3+COUNTIF(B31:B40,"=●")*3),"件")</f>
        <v>グループI  39件</v>
      </c>
      <c r="B30" s="308"/>
      <c r="C30" s="80">
        <f>SUM(C31:C40)</f>
        <v>11</v>
      </c>
      <c r="E30" s="309" t="str">
        <f>CONCATENATE("グループJ  ",_xlfn.VALUETOTEXT(COUNTA(E31:E40)*3+COUNTIF(F31:F41,"=●")*3),"件")</f>
        <v>グループJ  36件</v>
      </c>
      <c r="F30" s="310"/>
      <c r="G30" s="80">
        <f>SUM(G31:G41)</f>
        <v>2</v>
      </c>
      <c r="H30" s="2">
        <f>SUM(H31:H40)</f>
        <v>0</v>
      </c>
      <c r="I30" s="309" t="str">
        <f>CONCATENATE("グループK  ",_xlfn.VALUETOTEXT(COUNTA(I31:I41)*3+COUNTIF(J31:J41,"=●")*3),"件")</f>
        <v>グループK  45件</v>
      </c>
      <c r="J30" s="310"/>
      <c r="K30" s="80">
        <f>SUM(K31:K40)</f>
        <v>3</v>
      </c>
      <c r="M30" s="309" t="str">
        <f>CONCATENATE("グループL  ",_xlfn.VALUETOTEXT(COUNTA(M31:M41)*3+COUNTIF(N31:N41,"=●")*3),"件")</f>
        <v>グループL  36件</v>
      </c>
      <c r="N30" s="310"/>
      <c r="O30" s="80">
        <f>SUM(O31:O41)</f>
        <v>1</v>
      </c>
      <c r="R30" s="134"/>
      <c r="S30" t="s">
        <v>475</v>
      </c>
      <c r="T30" t="s">
        <v>476</v>
      </c>
      <c r="U30" t="s">
        <v>477</v>
      </c>
      <c r="V30" t="s">
        <v>478</v>
      </c>
    </row>
    <row r="31" spans="1:22" ht="15" customHeight="1" thickTop="1">
      <c r="A31" s="300" t="s">
        <v>306</v>
      </c>
      <c r="B31" s="287"/>
      <c r="C31" s="173">
        <f>VLOOKUP(A31,'3月'!$B$4:$BQ$406,67,FALSE)</f>
        <v>4</v>
      </c>
      <c r="D31" s="1"/>
      <c r="E31" s="303" t="s">
        <v>17</v>
      </c>
      <c r="F31" s="290" t="s">
        <v>256</v>
      </c>
      <c r="G31" s="173">
        <f>VLOOKUP(E31,'3月'!$B$4:$BQ$406,67,FALSE)</f>
        <v>2</v>
      </c>
      <c r="I31" s="615" t="s">
        <v>228</v>
      </c>
      <c r="J31" s="294" t="s">
        <v>256</v>
      </c>
      <c r="K31" s="173">
        <f>VLOOKUP(I31,'3月'!$B$4:$BQ$406,67,FALSE)</f>
        <v>0</v>
      </c>
      <c r="M31" s="305" t="s">
        <v>6</v>
      </c>
      <c r="N31" s="289" t="s">
        <v>256</v>
      </c>
      <c r="O31" s="173">
        <f>VLOOKUP(M31,'3月'!$B$4:$BQ$406,67,FALSE)</f>
        <v>0</v>
      </c>
      <c r="R31" s="134"/>
      <c r="S31" s="424">
        <f t="shared" ref="S31:S40" si="8">VALUE(IF(C31&gt;=IF(B31="●",6,3),"1","0"))</f>
        <v>1</v>
      </c>
      <c r="T31" s="573">
        <f t="shared" ref="T31:T40" si="9">VALUE(IF(G31&gt;=IF(F31="●",6,3),"1","0"))</f>
        <v>0</v>
      </c>
      <c r="U31" s="424">
        <f t="shared" ref="U31:U41" si="10">VALUE(IF(K31&gt;=IF(J31="●",6,3),"1","0"))</f>
        <v>0</v>
      </c>
      <c r="V31" s="424">
        <f t="shared" ref="V31:V41" si="11">VALUE(IF(O31&gt;=IF(N31="●",6,3),"1","0"))</f>
        <v>0</v>
      </c>
    </row>
    <row r="32" spans="1:22" ht="15" customHeight="1">
      <c r="A32" s="301" t="s">
        <v>105</v>
      </c>
      <c r="B32" s="136" t="s">
        <v>256</v>
      </c>
      <c r="C32" s="109">
        <f>VLOOKUP(A32,'3月'!$B$4:$BQ$406,67,FALSE)</f>
        <v>0</v>
      </c>
      <c r="D32" s="1"/>
      <c r="E32" s="303" t="s">
        <v>102</v>
      </c>
      <c r="F32" s="290" t="s">
        <v>256</v>
      </c>
      <c r="G32" s="82">
        <f>VLOOKUP(E32,'3月'!$B$4:$BQ$406,67,FALSE)</f>
        <v>0</v>
      </c>
      <c r="I32" s="615" t="s">
        <v>183</v>
      </c>
      <c r="J32" s="290"/>
      <c r="K32" s="82">
        <f>VLOOKUP(I32,'3月'!$B$4:$BQ$406,67,FALSE)</f>
        <v>0</v>
      </c>
      <c r="M32" s="301" t="s">
        <v>1</v>
      </c>
      <c r="N32" s="290"/>
      <c r="O32" s="82">
        <f>VLOOKUP(M32,'3月'!$B$4:$BQ$406,67,FALSE)</f>
        <v>0</v>
      </c>
      <c r="R32" s="134"/>
      <c r="S32" s="425">
        <f t="shared" si="8"/>
        <v>0</v>
      </c>
      <c r="T32">
        <f t="shared" si="9"/>
        <v>0</v>
      </c>
      <c r="U32" s="425">
        <f t="shared" si="10"/>
        <v>0</v>
      </c>
      <c r="V32" s="425">
        <f t="shared" si="11"/>
        <v>0</v>
      </c>
    </row>
    <row r="33" spans="1:22" ht="15" customHeight="1">
      <c r="A33" s="127" t="s">
        <v>341</v>
      </c>
      <c r="B33" s="288"/>
      <c r="C33" s="109">
        <f>VLOOKUP(A33,'3月'!$B$4:$BQ$406,67,FALSE)</f>
        <v>0</v>
      </c>
      <c r="D33" s="1"/>
      <c r="E33" s="125" t="s">
        <v>230</v>
      </c>
      <c r="F33" s="290"/>
      <c r="G33" s="82">
        <f>VLOOKUP(E33,'3月'!$B$4:$BQ$406,67,FALSE)</f>
        <v>0</v>
      </c>
      <c r="I33" s="616" t="s">
        <v>263</v>
      </c>
      <c r="J33" s="290" t="s">
        <v>256</v>
      </c>
      <c r="K33" s="82">
        <f>VLOOKUP(I33,'3月'!$B$4:$BQ$406,67,FALSE)</f>
        <v>1</v>
      </c>
      <c r="M33" s="127" t="s">
        <v>312</v>
      </c>
      <c r="N33" s="290"/>
      <c r="O33" s="85">
        <f>VLOOKUP(M33,'3月'!$B$4:$BQ$406,67,FALSE)</f>
        <v>0</v>
      </c>
      <c r="P33" s="217"/>
      <c r="R33" s="134"/>
      <c r="S33" s="425">
        <f t="shared" si="8"/>
        <v>0</v>
      </c>
      <c r="T33">
        <f t="shared" si="9"/>
        <v>0</v>
      </c>
      <c r="U33" s="425">
        <f t="shared" si="10"/>
        <v>0</v>
      </c>
      <c r="V33" s="425">
        <f t="shared" si="11"/>
        <v>0</v>
      </c>
    </row>
    <row r="34" spans="1:22" ht="15" customHeight="1">
      <c r="A34" s="127" t="s">
        <v>148</v>
      </c>
      <c r="B34" s="288"/>
      <c r="C34" s="109">
        <f>VLOOKUP(A34,'3月'!$B$4:$BQ$406,67,FALSE)</f>
        <v>0</v>
      </c>
      <c r="D34" s="1"/>
      <c r="E34" s="125" t="s">
        <v>157</v>
      </c>
      <c r="F34" s="290"/>
      <c r="G34" s="82">
        <f>VLOOKUP(E34,'3月'!$B$4:$BQ$406,67,FALSE)</f>
        <v>0</v>
      </c>
      <c r="I34" s="616" t="s">
        <v>220</v>
      </c>
      <c r="J34" s="290" t="s">
        <v>256</v>
      </c>
      <c r="K34" s="82">
        <f>VLOOKUP(I34,'3月'!$B$4:$BQ$406,67,FALSE)</f>
        <v>2</v>
      </c>
      <c r="M34" s="127" t="s">
        <v>355</v>
      </c>
      <c r="N34" s="403"/>
      <c r="O34" s="85">
        <f>VLOOKUP(M34,'3月'!$B$4:$BQ$406,67,FALSE)</f>
        <v>0</v>
      </c>
      <c r="P34" s="2">
        <f>SUM(P35:P42)</f>
        <v>0</v>
      </c>
      <c r="Q34" s="175"/>
      <c r="R34" s="134"/>
      <c r="S34" s="425">
        <f t="shared" si="8"/>
        <v>0</v>
      </c>
      <c r="T34">
        <f t="shared" si="9"/>
        <v>0</v>
      </c>
      <c r="U34" s="425">
        <f t="shared" si="10"/>
        <v>0</v>
      </c>
      <c r="V34" s="425">
        <f t="shared" si="11"/>
        <v>0</v>
      </c>
    </row>
    <row r="35" spans="1:22" ht="15" customHeight="1">
      <c r="A35" s="127" t="s">
        <v>262</v>
      </c>
      <c r="B35" s="136" t="s">
        <v>256</v>
      </c>
      <c r="C35" s="109">
        <f>VLOOKUP(A35,'3月'!$B$4:$BQ$406,67,FALSE)</f>
        <v>3</v>
      </c>
      <c r="D35" s="1"/>
      <c r="E35" s="125" t="s">
        <v>33</v>
      </c>
      <c r="F35" s="290"/>
      <c r="G35" s="82">
        <f>VLOOKUP(E35,'3月'!$B$4:$BQ$406,67,FALSE)</f>
        <v>0</v>
      </c>
      <c r="I35" s="621" t="s">
        <v>310</v>
      </c>
      <c r="J35" s="293"/>
      <c r="K35" s="82">
        <f>VLOOKUP(I35,'3月'!$B$4:$BQ$406,67,FALSE)</f>
        <v>0</v>
      </c>
      <c r="M35" s="127" t="s">
        <v>313</v>
      </c>
      <c r="N35" s="290"/>
      <c r="O35" s="85">
        <f>VLOOKUP(M35,'3月'!$B$4:$BQ$406,67,FALSE)</f>
        <v>0</v>
      </c>
      <c r="R35" s="134"/>
      <c r="S35" s="425">
        <f t="shared" si="8"/>
        <v>0</v>
      </c>
      <c r="T35">
        <f t="shared" si="9"/>
        <v>0</v>
      </c>
      <c r="U35" s="425">
        <f t="shared" si="10"/>
        <v>0</v>
      </c>
      <c r="V35" s="425">
        <f t="shared" si="11"/>
        <v>0</v>
      </c>
    </row>
    <row r="36" spans="1:22" ht="15" customHeight="1">
      <c r="A36" s="127" t="s">
        <v>112</v>
      </c>
      <c r="B36" s="290"/>
      <c r="C36" s="109">
        <f>VLOOKUP(A36,'3月'!$B$4:$BQ$406,67,FALSE)</f>
        <v>2</v>
      </c>
      <c r="D36" s="1"/>
      <c r="E36" s="131" t="s">
        <v>5</v>
      </c>
      <c r="F36" s="290"/>
      <c r="G36" s="82">
        <f>VLOOKUP(E36,'3月'!$B$4:$BQ$406,67,FALSE)</f>
        <v>0</v>
      </c>
      <c r="I36" s="621" t="s">
        <v>191</v>
      </c>
      <c r="J36" s="293"/>
      <c r="K36" s="82">
        <f>VLOOKUP(I36,'3月'!$B$4:$BQ$406,67,FALSE)</f>
        <v>0</v>
      </c>
      <c r="M36" s="319" t="s">
        <v>314</v>
      </c>
      <c r="N36" s="290"/>
      <c r="O36" s="85">
        <f>VLOOKUP(M36,'3月'!$B$4:$BQ$406,67,FALSE)</f>
        <v>1</v>
      </c>
      <c r="R36" s="134"/>
      <c r="S36" s="425">
        <f t="shared" si="8"/>
        <v>0</v>
      </c>
      <c r="T36">
        <f t="shared" si="9"/>
        <v>0</v>
      </c>
      <c r="U36" s="425">
        <f t="shared" si="10"/>
        <v>0</v>
      </c>
      <c r="V36" s="425">
        <f t="shared" si="11"/>
        <v>0</v>
      </c>
    </row>
    <row r="37" spans="1:22" ht="15" customHeight="1">
      <c r="A37" s="127" t="s">
        <v>188</v>
      </c>
      <c r="B37" s="290"/>
      <c r="C37" s="109">
        <f>VLOOKUP(A37,'3月'!$B$4:$BQ$406,67,FALSE)</f>
        <v>0</v>
      </c>
      <c r="D37" s="1"/>
      <c r="E37" s="125" t="s">
        <v>175</v>
      </c>
      <c r="F37" s="290"/>
      <c r="G37" s="82">
        <f>VLOOKUP(E37,'3月'!$B$4:$BQ$406,67,FALSE)</f>
        <v>0</v>
      </c>
      <c r="I37" s="616" t="s">
        <v>339</v>
      </c>
      <c r="J37" s="290"/>
      <c r="K37" s="82">
        <f>VLOOKUP(I37,'3月'!$B$4:$BQ$406,67,FALSE)</f>
        <v>0</v>
      </c>
      <c r="M37" s="127" t="s">
        <v>315</v>
      </c>
      <c r="N37" s="290"/>
      <c r="O37" s="85">
        <f>VLOOKUP(M37,'3月'!$B$4:$BQ$406,67,FALSE)</f>
        <v>0</v>
      </c>
      <c r="R37" s="134"/>
      <c r="S37" s="425">
        <f t="shared" si="8"/>
        <v>0</v>
      </c>
      <c r="T37">
        <f t="shared" si="9"/>
        <v>0</v>
      </c>
      <c r="U37" s="425">
        <f t="shared" si="10"/>
        <v>0</v>
      </c>
      <c r="V37" s="425">
        <f t="shared" si="11"/>
        <v>0</v>
      </c>
    </row>
    <row r="38" spans="1:22" ht="15" customHeight="1">
      <c r="A38" s="127" t="s">
        <v>512</v>
      </c>
      <c r="B38" s="269"/>
      <c r="C38" s="109">
        <f>VLOOKUP(A38,'3月'!$B$4:$BQ$406,67,FALSE)</f>
        <v>0</v>
      </c>
      <c r="D38" s="1"/>
      <c r="E38" s="127" t="s">
        <v>153</v>
      </c>
      <c r="F38" s="290"/>
      <c r="G38" s="82">
        <f>VLOOKUP(E38,'3月'!$B$4:$BQ$406,67,FALSE)</f>
        <v>0</v>
      </c>
      <c r="I38" s="616" t="s">
        <v>34</v>
      </c>
      <c r="J38" s="290"/>
      <c r="K38" s="82">
        <f>VLOOKUP(I38,'3月'!$B$4:$BQ$406,67,FALSE)</f>
        <v>0</v>
      </c>
      <c r="M38" s="144" t="s">
        <v>316</v>
      </c>
      <c r="N38" s="293"/>
      <c r="O38" s="85">
        <f>VLOOKUP(M38,'3月'!$B$4:$BQ$406,67,FALSE)</f>
        <v>0</v>
      </c>
      <c r="R38" s="134"/>
      <c r="S38" s="425">
        <f t="shared" si="8"/>
        <v>0</v>
      </c>
      <c r="T38">
        <f t="shared" si="9"/>
        <v>0</v>
      </c>
      <c r="U38" s="425">
        <f t="shared" si="10"/>
        <v>0</v>
      </c>
      <c r="V38" s="425">
        <f t="shared" si="11"/>
        <v>0</v>
      </c>
    </row>
    <row r="39" spans="1:22" ht="15" customHeight="1">
      <c r="A39" s="127" t="s">
        <v>41</v>
      </c>
      <c r="B39" s="269" t="s">
        <v>256</v>
      </c>
      <c r="C39" s="109">
        <f>VLOOKUP(A39,'3月'!$B$4:$BQ$406,67,FALSE)</f>
        <v>2</v>
      </c>
      <c r="D39" s="1"/>
      <c r="E39" s="127" t="s">
        <v>32</v>
      </c>
      <c r="F39" s="291"/>
      <c r="G39" s="82">
        <f>VLOOKUP(E39,'3月'!$B$4:$BQ$406,67,FALSE)</f>
        <v>0</v>
      </c>
      <c r="I39" s="616" t="s">
        <v>234</v>
      </c>
      <c r="J39" s="291" t="s">
        <v>256</v>
      </c>
      <c r="K39" s="82">
        <f>VLOOKUP(I39,'3月'!$B$4:$BQ$406,67,FALSE)</f>
        <v>0</v>
      </c>
      <c r="M39" s="127" t="s">
        <v>22</v>
      </c>
      <c r="N39" s="290"/>
      <c r="O39" s="85">
        <f>VLOOKUP(M39,'3月'!$B$4:$BQ$406,67,FALSE)</f>
        <v>0</v>
      </c>
      <c r="R39" s="134"/>
      <c r="S39" s="425">
        <f t="shared" si="8"/>
        <v>0</v>
      </c>
      <c r="T39">
        <f t="shared" si="9"/>
        <v>0</v>
      </c>
      <c r="U39" s="425">
        <f t="shared" si="10"/>
        <v>0</v>
      </c>
      <c r="V39" s="425">
        <f t="shared" si="11"/>
        <v>0</v>
      </c>
    </row>
    <row r="40" spans="1:22" ht="15" customHeight="1" thickBot="1">
      <c r="A40" s="599" t="s">
        <v>48</v>
      </c>
      <c r="B40" s="571"/>
      <c r="C40" s="572">
        <f>VLOOKUP(A40,'3月'!$B$4:$BQ$406,67,FALSE)</f>
        <v>0</v>
      </c>
      <c r="E40" s="296" t="s">
        <v>308</v>
      </c>
      <c r="F40" s="292"/>
      <c r="G40" s="84">
        <f>VLOOKUP(E40,'3月'!$B$4:$BQ$406,67,FALSE)</f>
        <v>0</v>
      </c>
      <c r="I40" s="616" t="s">
        <v>155</v>
      </c>
      <c r="J40" s="403"/>
      <c r="K40" s="82">
        <f>VLOOKUP(I40,'3月'!$B$4:$BQ$406,67,FALSE)</f>
        <v>0</v>
      </c>
      <c r="M40" s="343" t="s">
        <v>206</v>
      </c>
      <c r="N40" s="291"/>
      <c r="O40" s="177">
        <f>VLOOKUP(M40,'3月'!$B$4:$BQ$406,67,FALSE)</f>
        <v>0</v>
      </c>
      <c r="R40" s="134"/>
      <c r="S40" s="426">
        <f t="shared" si="8"/>
        <v>0</v>
      </c>
      <c r="T40" s="431">
        <f t="shared" si="9"/>
        <v>0</v>
      </c>
      <c r="U40" s="426">
        <f t="shared" si="10"/>
        <v>0</v>
      </c>
      <c r="V40" s="425">
        <f t="shared" si="11"/>
        <v>0</v>
      </c>
    </row>
    <row r="41" spans="1:22" ht="15" customHeight="1" thickBot="1">
      <c r="C41" s="1"/>
      <c r="D41" s="1"/>
      <c r="F41" s="135"/>
      <c r="I41" s="439" t="s">
        <v>522</v>
      </c>
      <c r="J41" s="658"/>
      <c r="K41" s="84">
        <f>VLOOKUP(I41,'3月'!$B$4:$BQ$406,67,FALSE)</f>
        <v>0</v>
      </c>
      <c r="M41" s="126" t="s">
        <v>20</v>
      </c>
      <c r="N41" s="292"/>
      <c r="O41" s="84">
        <f>VLOOKUP(M41,'3月'!$B$4:$BQ$406,67,FALSE)</f>
        <v>0</v>
      </c>
      <c r="R41" s="134"/>
      <c r="T41" s="656"/>
      <c r="U41" s="426">
        <f t="shared" si="10"/>
        <v>0</v>
      </c>
      <c r="V41" s="431">
        <f t="shared" si="11"/>
        <v>0</v>
      </c>
    </row>
    <row r="42" spans="1:22" ht="15" customHeight="1">
      <c r="B42" s="346"/>
      <c r="E42" s="135"/>
      <c r="F42" s="135"/>
      <c r="G42" s="138"/>
      <c r="H42" s="217"/>
      <c r="J42" s="192"/>
      <c r="M42" s="134"/>
      <c r="N42" s="192"/>
      <c r="R42" s="134"/>
      <c r="T42" s="138"/>
      <c r="U42">
        <f>VALUE(IF(K41&gt;=IF(J41="●",6,3),"1","0"))</f>
        <v>0</v>
      </c>
      <c r="V42" s="579"/>
    </row>
    <row r="43" spans="1:22" ht="15" customHeight="1">
      <c r="A43" s="134"/>
      <c r="B43" s="346"/>
      <c r="E43" s="135"/>
      <c r="F43" s="135"/>
      <c r="G43" s="138"/>
      <c r="H43" s="217"/>
      <c r="R43" s="134"/>
      <c r="S43" s="138"/>
      <c r="T43" s="138"/>
      <c r="U43">
        <f>VALUE(IF(C83&gt;=IF(B83="●",6,3),"1","0"))</f>
        <v>0</v>
      </c>
    </row>
    <row r="44" spans="1:22" ht="15" customHeight="1" thickBot="1">
      <c r="A44" s="440" t="str">
        <f>CONCATENATE("目標達成者数",_xlfn.VALUETOTEXT(SUM(S46:S56)),"人")</f>
        <v>目標達成者数0人</v>
      </c>
      <c r="C44" s="138" t="s">
        <v>246</v>
      </c>
      <c r="D44" s="217"/>
      <c r="E44" s="440" t="str">
        <f>CONCATENATE("目標達成者数",_xlfn.VALUETOTEXT(SUM(T46:T54)),"人")</f>
        <v>目標達成者数0人</v>
      </c>
      <c r="G44" s="138" t="s">
        <v>246</v>
      </c>
      <c r="I44" s="75" t="s">
        <v>210</v>
      </c>
      <c r="J44" s="75"/>
      <c r="K44" s="138" t="s">
        <v>246</v>
      </c>
      <c r="M44" s="722" t="str">
        <f ca="1">TEXT(IF(TODAY()&lt;DATE(2025,3,31),TODAY(),DATE(2025,3,31)),"yyyy/m/dd")</f>
        <v>2025/1/16</v>
      </c>
      <c r="N44" s="722"/>
      <c r="O44" s="722"/>
      <c r="R44" s="134"/>
      <c r="S44" s="138"/>
      <c r="T44" s="138"/>
    </row>
    <row r="45" spans="1:22" ht="15" customHeight="1" thickBot="1">
      <c r="A45" s="307" t="str">
        <f>CONCATENATE("グループM  ",_xlfn.VALUETOTEXT(COUNTA(A46:A56)*3+COUNTIF(B46:B56,"=●")*3),"件")</f>
        <v>グループM  36件</v>
      </c>
      <c r="B45" s="308"/>
      <c r="C45" s="80">
        <f>SUM(C46:C56)</f>
        <v>6</v>
      </c>
      <c r="E45" s="309" t="str">
        <f>CONCATENATE("グループN  ",_xlfn.VALUETOTEXT(COUNTA(E46:E55)*3+COUNTIF(F46:F55,"=●")*3),"件")</f>
        <v>グループN  36件</v>
      </c>
      <c r="F45" s="310"/>
      <c r="G45" s="80">
        <f>SUM(G46:G55)</f>
        <v>3</v>
      </c>
      <c r="I45" s="274" t="s">
        <v>250</v>
      </c>
      <c r="J45" s="281"/>
      <c r="K45" s="80">
        <f>SUM(K46:K55)</f>
        <v>10</v>
      </c>
      <c r="M45" s="722"/>
      <c r="N45" s="722"/>
      <c r="O45" s="722"/>
      <c r="S45" t="s">
        <v>479</v>
      </c>
      <c r="T45" t="s">
        <v>480</v>
      </c>
    </row>
    <row r="46" spans="1:22" ht="15" customHeight="1" thickTop="1">
      <c r="A46" s="300" t="s">
        <v>37</v>
      </c>
      <c r="B46" s="287"/>
      <c r="C46" s="173">
        <f>VLOOKUP(A46,'3月'!$B$4:$BQ$406,67,FALSE)</f>
        <v>2</v>
      </c>
      <c r="D46" s="1"/>
      <c r="E46" s="302" t="s">
        <v>15</v>
      </c>
      <c r="F46" s="289" t="s">
        <v>256</v>
      </c>
      <c r="G46" s="173">
        <f>VLOOKUP(E46,'3月'!$B$4:$BQ$406,67,FALSE)</f>
        <v>1</v>
      </c>
      <c r="I46" s="279" t="s">
        <v>269</v>
      </c>
      <c r="J46" s="282"/>
      <c r="K46" s="173">
        <f>VLOOKUP(I46,'3月'!$B$4:$BQ$406,67,FALSE)</f>
        <v>2</v>
      </c>
      <c r="M46" s="725" t="s">
        <v>325</v>
      </c>
      <c r="N46" s="725"/>
      <c r="O46" s="725"/>
      <c r="S46" s="424">
        <f t="shared" ref="S46:S56" si="12">VALUE(IF(C46&gt;=IF(B46="●",6,3),"1","0"))</f>
        <v>0</v>
      </c>
      <c r="T46" s="424">
        <f t="shared" ref="T46:T55" si="13">VALUE(IF(G46&gt;=IF(F46="●",6,3),"1","0"))</f>
        <v>0</v>
      </c>
    </row>
    <row r="47" spans="1:22" ht="15" customHeight="1">
      <c r="A47" s="301" t="s">
        <v>219</v>
      </c>
      <c r="B47" s="288" t="s">
        <v>256</v>
      </c>
      <c r="C47" s="109">
        <f>VLOOKUP(A47,'3月'!$B$4:$BQ$406,67,FALSE)</f>
        <v>3</v>
      </c>
      <c r="D47" s="1"/>
      <c r="E47" s="401" t="s">
        <v>322</v>
      </c>
      <c r="F47" s="290" t="s">
        <v>256</v>
      </c>
      <c r="G47" s="82">
        <f>VLOOKUP(E47,'3月'!$B$4:$BQ$406,67,FALSE)</f>
        <v>2</v>
      </c>
      <c r="I47" s="125" t="s">
        <v>270</v>
      </c>
      <c r="J47" s="136"/>
      <c r="K47" s="82">
        <f>VLOOKUP(I47,'3月'!$B$4:$BQ$406,67,FALSE)</f>
        <v>0</v>
      </c>
      <c r="M47" s="725"/>
      <c r="N47" s="725"/>
      <c r="O47" s="725"/>
      <c r="S47" s="425">
        <f t="shared" si="12"/>
        <v>0</v>
      </c>
      <c r="T47" s="425">
        <f t="shared" si="13"/>
        <v>0</v>
      </c>
    </row>
    <row r="48" spans="1:22" ht="15" customHeight="1">
      <c r="A48" s="127" t="s">
        <v>318</v>
      </c>
      <c r="B48" s="288"/>
      <c r="C48" s="109">
        <f>VLOOKUP(A48,'3月'!$B$4:$BQ$406,67,FALSE)</f>
        <v>0</v>
      </c>
      <c r="D48" s="1"/>
      <c r="E48" s="340" t="s">
        <v>340</v>
      </c>
      <c r="F48" s="290"/>
      <c r="G48" s="82">
        <f>VLOOKUP(E48,'3月'!$B$4:$BQ$406,67,FALSE)</f>
        <v>0</v>
      </c>
      <c r="I48" s="128" t="s">
        <v>118</v>
      </c>
      <c r="J48" s="135"/>
      <c r="K48" s="177">
        <f>VLOOKUP(I48,'3月'!$B$4:$BQ$406,67,FALSE)</f>
        <v>5</v>
      </c>
      <c r="M48" s="722" t="s">
        <v>200</v>
      </c>
      <c r="N48" s="722"/>
      <c r="O48" s="722"/>
      <c r="S48" s="425">
        <f t="shared" si="12"/>
        <v>0</v>
      </c>
      <c r="T48" s="425">
        <f t="shared" si="13"/>
        <v>0</v>
      </c>
    </row>
    <row r="49" spans="1:24" ht="15" customHeight="1" thickBot="1">
      <c r="A49" s="127" t="s">
        <v>161</v>
      </c>
      <c r="B49" s="288"/>
      <c r="C49" s="109">
        <f>VLOOKUP(A49,'3月'!$B$4:$BQ$406,67,FALSE)</f>
        <v>0</v>
      </c>
      <c r="D49" s="1"/>
      <c r="E49" s="125" t="s">
        <v>305</v>
      </c>
      <c r="F49" s="290"/>
      <c r="G49" s="82">
        <f>VLOOKUP(E49,'3月'!$B$4:$BQ$406,67,FALSE)</f>
        <v>0</v>
      </c>
      <c r="I49" s="125" t="s">
        <v>222</v>
      </c>
      <c r="J49" s="136"/>
      <c r="K49" s="82">
        <f>VLOOKUP(I49,'3月'!$B$4:$BQ$406,67,FALSE)</f>
        <v>0</v>
      </c>
      <c r="L49" s="227"/>
      <c r="M49" s="726"/>
      <c r="N49" s="726"/>
      <c r="O49" s="726"/>
      <c r="S49" s="425">
        <f t="shared" si="12"/>
        <v>0</v>
      </c>
      <c r="T49" s="425">
        <f t="shared" si="13"/>
        <v>0</v>
      </c>
    </row>
    <row r="50" spans="1:24" ht="15" customHeight="1">
      <c r="A50" s="127" t="s">
        <v>268</v>
      </c>
      <c r="B50" s="288"/>
      <c r="C50" s="109">
        <f>VLOOKUP(A50,'3月'!$B$4:$BQ$406,67,FALSE)</f>
        <v>0</v>
      </c>
      <c r="D50" s="1"/>
      <c r="E50" s="125" t="s">
        <v>205</v>
      </c>
      <c r="F50" s="290"/>
      <c r="G50" s="82">
        <f>VLOOKUP(E50,'3月'!$B$4:$BQ$406,67,FALSE)</f>
        <v>0</v>
      </c>
      <c r="I50" s="280" t="s">
        <v>271</v>
      </c>
      <c r="J50" s="275"/>
      <c r="K50" s="177">
        <f>VLOOKUP(I50,'3月'!$B$4:$BQ$406,67,FALSE)</f>
        <v>0</v>
      </c>
      <c r="L50" s="231"/>
      <c r="M50" s="727">
        <f>IF('3月'!BP406 = SUM(K45,G45,C45,C30,G30,K30,O30,O16,K16,G16,C16,C2,G2,K2,O2,C66,G66,K66,G73,G78,G79,C81),'3月'!BP406,0)</f>
        <v>78</v>
      </c>
      <c r="N50" s="728"/>
      <c r="O50" s="731" t="s">
        <v>120</v>
      </c>
      <c r="S50" s="425">
        <f t="shared" si="12"/>
        <v>0</v>
      </c>
      <c r="T50" s="425">
        <f t="shared" si="13"/>
        <v>0</v>
      </c>
    </row>
    <row r="51" spans="1:24" ht="15" customHeight="1" thickBot="1">
      <c r="A51" s="127" t="s">
        <v>43</v>
      </c>
      <c r="B51" s="288"/>
      <c r="C51" s="109">
        <f>VLOOKUP(A51,'3月'!$B$4:$BQ$406,67,FALSE)</f>
        <v>0</v>
      </c>
      <c r="D51" s="1"/>
      <c r="E51" s="125" t="s">
        <v>207</v>
      </c>
      <c r="F51" s="290"/>
      <c r="G51" s="82">
        <f>VLOOKUP(E51,'3月'!$B$4:$BQ$406,67,FALSE)</f>
        <v>0</v>
      </c>
      <c r="I51" s="125" t="s">
        <v>47</v>
      </c>
      <c r="J51" s="136"/>
      <c r="K51" s="82">
        <f>VLOOKUP(I51,'3月'!$B$4:$BQ$406,67,FALSE)</f>
        <v>1</v>
      </c>
      <c r="L51" s="231"/>
      <c r="M51" s="729"/>
      <c r="N51" s="730"/>
      <c r="O51" s="732"/>
      <c r="S51" s="425">
        <f t="shared" si="12"/>
        <v>0</v>
      </c>
      <c r="T51" s="425">
        <f t="shared" si="13"/>
        <v>0</v>
      </c>
    </row>
    <row r="52" spans="1:24" ht="15" customHeight="1">
      <c r="A52" s="127" t="s">
        <v>42</v>
      </c>
      <c r="B52" s="288"/>
      <c r="C52" s="109">
        <f>VLOOKUP(A52,'3月'!$B$4:$BQ$406,67,FALSE)</f>
        <v>1</v>
      </c>
      <c r="D52" s="1"/>
      <c r="E52" s="125" t="s">
        <v>26</v>
      </c>
      <c r="F52" s="290"/>
      <c r="G52" s="82">
        <f>VLOOKUP(E52,'3月'!$B$4:$BQ$406,67,FALSE)</f>
        <v>0</v>
      </c>
      <c r="I52" s="128" t="s">
        <v>272</v>
      </c>
      <c r="J52" s="134"/>
      <c r="K52" s="177">
        <f>VLOOKUP(I52,'3月'!$B$4:$BQ$406,67,FALSE)</f>
        <v>0</v>
      </c>
      <c r="L52" s="231"/>
      <c r="M52" s="733">
        <f>'3月'!BQ406</f>
        <v>112</v>
      </c>
      <c r="N52" s="734"/>
      <c r="O52" s="719" t="s">
        <v>194</v>
      </c>
      <c r="P52" s="114"/>
      <c r="S52" s="425">
        <f t="shared" si="12"/>
        <v>0</v>
      </c>
      <c r="T52" s="425">
        <f t="shared" si="13"/>
        <v>0</v>
      </c>
    </row>
    <row r="53" spans="1:24" ht="15" customHeight="1" thickBot="1">
      <c r="A53" s="127" t="s">
        <v>116</v>
      </c>
      <c r="B53" s="290"/>
      <c r="C53" s="109">
        <f>VLOOKUP(A53,'3月'!$B$4:$BQ$406,67,FALSE)</f>
        <v>0</v>
      </c>
      <c r="D53" s="1"/>
      <c r="E53" s="129" t="s">
        <v>187</v>
      </c>
      <c r="F53" s="290"/>
      <c r="G53" s="82">
        <f>VLOOKUP(E53,'3月'!$B$4:$BQ$406,67,FALSE)</f>
        <v>0</v>
      </c>
      <c r="I53" s="125" t="s">
        <v>273</v>
      </c>
      <c r="J53" s="136"/>
      <c r="K53" s="82">
        <f>VLOOKUP(I53,'3月'!$B$4:$BQ$406,67,FALSE)</f>
        <v>1</v>
      </c>
      <c r="L53" s="231"/>
      <c r="M53" s="735"/>
      <c r="N53" s="736"/>
      <c r="O53" s="720"/>
      <c r="P53" s="114"/>
      <c r="S53" s="425">
        <f t="shared" si="12"/>
        <v>0</v>
      </c>
      <c r="T53" s="425">
        <f t="shared" si="13"/>
        <v>0</v>
      </c>
    </row>
    <row r="54" spans="1:24" ht="15" customHeight="1">
      <c r="A54" s="127" t="s">
        <v>129</v>
      </c>
      <c r="B54" s="269"/>
      <c r="C54" s="109">
        <f>VLOOKUP(A54,'3月'!$B$4:$BQ$406,67,FALSE)</f>
        <v>0</v>
      </c>
      <c r="D54" s="1"/>
      <c r="E54" s="343" t="s">
        <v>513</v>
      </c>
      <c r="F54" s="291"/>
      <c r="G54" s="83">
        <f>VLOOKUP(E54,'3月'!$B$4:$BQ$406,67,FALSE)</f>
        <v>0</v>
      </c>
      <c r="I54" s="578" t="s">
        <v>274</v>
      </c>
      <c r="J54" s="124"/>
      <c r="K54" s="177">
        <f>VLOOKUP(I54,'3月'!$B$4:$BQ$406,67,FALSE)</f>
        <v>0</v>
      </c>
      <c r="S54" s="425">
        <f t="shared" si="12"/>
        <v>0</v>
      </c>
      <c r="T54" s="425">
        <f t="shared" si="13"/>
        <v>0</v>
      </c>
    </row>
    <row r="55" spans="1:24" ht="15" customHeight="1" thickBot="1">
      <c r="A55" s="127" t="s">
        <v>189</v>
      </c>
      <c r="B55" s="299"/>
      <c r="C55" s="82">
        <f>VLOOKUP(A55,'3月'!$B$4:$BQ$406,67,FALSE)</f>
        <v>0</v>
      </c>
      <c r="E55" s="126" t="s">
        <v>164</v>
      </c>
      <c r="F55" s="292"/>
      <c r="G55" s="84">
        <f>VLOOKUP(E55,'3月'!$B$4:$BQ$406,67,FALSE)</f>
        <v>0</v>
      </c>
      <c r="I55" s="132" t="s">
        <v>514</v>
      </c>
      <c r="J55" s="229"/>
      <c r="K55" s="84">
        <f>VLOOKUP(I55,'3月'!$B$4:$BQ$406,67,FALSE)</f>
        <v>1</v>
      </c>
      <c r="S55" s="425">
        <f t="shared" si="12"/>
        <v>0</v>
      </c>
      <c r="T55" s="425">
        <f t="shared" si="13"/>
        <v>0</v>
      </c>
      <c r="U55" s="138"/>
      <c r="V55" s="311"/>
      <c r="W55" s="138"/>
      <c r="X55" s="217"/>
    </row>
    <row r="56" spans="1:24" ht="14.25" thickBot="1">
      <c r="A56" s="126" t="s">
        <v>184</v>
      </c>
      <c r="B56" s="292"/>
      <c r="C56" s="174">
        <f>VLOOKUP(A56,'3月'!$B$4:$BQ$406,67,FALSE)</f>
        <v>0</v>
      </c>
      <c r="D56" s="1"/>
      <c r="E56" s="134"/>
      <c r="F56" s="135"/>
      <c r="S56" s="429">
        <f t="shared" si="12"/>
        <v>0</v>
      </c>
      <c r="T56" s="272"/>
      <c r="U56" s="284" t="s">
        <v>128</v>
      </c>
      <c r="V56" s="276" t="s">
        <v>127</v>
      </c>
      <c r="W56" s="284" t="s">
        <v>134</v>
      </c>
      <c r="X56" s="316" t="s">
        <v>156</v>
      </c>
    </row>
    <row r="57" spans="1:24" ht="14.25" customHeight="1">
      <c r="E57" s="124"/>
      <c r="F57" s="184"/>
      <c r="H57" s="184"/>
      <c r="T57" s="271" t="s">
        <v>258</v>
      </c>
      <c r="U57" s="283">
        <f>COUNTA(E67:E71)</f>
        <v>4</v>
      </c>
      <c r="V57" s="312">
        <f>COUNTIF(G67:G70,"&gt;=1")</f>
        <v>1</v>
      </c>
      <c r="W57" s="140">
        <f>G66</f>
        <v>2</v>
      </c>
      <c r="X57" s="317">
        <v>30</v>
      </c>
    </row>
    <row r="58" spans="1:24" ht="14.25" customHeight="1">
      <c r="E58" s="184"/>
      <c r="F58" s="184"/>
      <c r="G58" s="184"/>
      <c r="H58" s="184"/>
      <c r="T58" s="342" t="s">
        <v>259</v>
      </c>
      <c r="U58" s="286">
        <f>COUNTA(I67:I91)</f>
        <v>19</v>
      </c>
      <c r="V58" s="312">
        <f>COUNTIF(K67:K85,"&gt;=1")</f>
        <v>5</v>
      </c>
      <c r="W58" s="140">
        <f>K66</f>
        <v>9</v>
      </c>
      <c r="X58" s="317">
        <v>100</v>
      </c>
    </row>
    <row r="59" spans="1:24" ht="14.25" customHeight="1">
      <c r="A59" s="721"/>
      <c r="B59" s="721"/>
      <c r="C59" s="721"/>
      <c r="D59" s="184"/>
      <c r="E59" s="192"/>
      <c r="F59" s="192"/>
      <c r="G59" s="192"/>
      <c r="H59" s="192"/>
      <c r="T59" s="271" t="s">
        <v>260</v>
      </c>
      <c r="U59" s="283">
        <f>COUNTA(A67:A77)</f>
        <v>8</v>
      </c>
      <c r="V59" s="312">
        <f>COUNTIF(C67:C74,"&gt;=1")</f>
        <v>1</v>
      </c>
      <c r="W59" s="140">
        <f>C66</f>
        <v>3</v>
      </c>
      <c r="X59" s="317">
        <v>40</v>
      </c>
    </row>
    <row r="60" spans="1:24" ht="14.25" customHeight="1" thickBot="1">
      <c r="A60" s="721"/>
      <c r="B60" s="721"/>
      <c r="C60" s="721"/>
      <c r="D60" s="184"/>
      <c r="E60" s="184"/>
      <c r="F60" s="184"/>
      <c r="G60" s="184"/>
      <c r="H60" s="184"/>
      <c r="T60" s="341" t="s">
        <v>317</v>
      </c>
      <c r="U60" s="314"/>
      <c r="V60" s="436"/>
      <c r="W60" s="298">
        <f>G73+G78+G79</f>
        <v>3</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3</v>
      </c>
      <c r="D66" s="3"/>
      <c r="E66" s="715" t="s">
        <v>54</v>
      </c>
      <c r="F66" s="716"/>
      <c r="G66" s="220">
        <f>SUM(G67:G71)</f>
        <v>2</v>
      </c>
      <c r="H66" s="3"/>
      <c r="I66" s="715" t="s">
        <v>69</v>
      </c>
      <c r="J66" s="716"/>
      <c r="K66" s="220">
        <f>SUM(K67:K91)</f>
        <v>9</v>
      </c>
      <c r="L66" s="3"/>
    </row>
    <row r="67" spans="1:12" ht="14.25" thickTop="1">
      <c r="A67" s="130" t="s">
        <v>52</v>
      </c>
      <c r="B67" s="267"/>
      <c r="C67" s="173">
        <f>VLOOKUP(A67,'3月'!$B$4:$BQ$406,67,FALSE)</f>
        <v>0</v>
      </c>
      <c r="D67" s="3"/>
      <c r="E67" s="125" t="s">
        <v>57</v>
      </c>
      <c r="F67" s="277"/>
      <c r="G67" s="173">
        <f>VLOOKUP(E67,'3月'!$B$4:$BQ$406,67,FALSE)</f>
        <v>0</v>
      </c>
      <c r="H67" s="3"/>
      <c r="I67" s="130" t="s">
        <v>137</v>
      </c>
      <c r="J67" s="230"/>
      <c r="K67" s="173">
        <f>VLOOKUP(I67,'3月'!$B$4:$BQ$406,67,FALSE)</f>
        <v>0</v>
      </c>
      <c r="L67" s="3"/>
    </row>
    <row r="68" spans="1:12">
      <c r="A68" s="131" t="s">
        <v>50</v>
      </c>
      <c r="B68" s="228"/>
      <c r="C68" s="109">
        <f>VLOOKUP(A68,'3月'!$B$4:$BQ$406,67,FALSE)</f>
        <v>3</v>
      </c>
      <c r="D68" s="3"/>
      <c r="E68" s="125" t="s">
        <v>140</v>
      </c>
      <c r="F68" s="277"/>
      <c r="G68" s="109">
        <f>VLOOKUP(E68,'3月'!$B$4:$BQ$406,67,FALSE)</f>
        <v>2</v>
      </c>
      <c r="H68" s="3"/>
      <c r="I68" s="131" t="s">
        <v>61</v>
      </c>
      <c r="J68" s="228"/>
      <c r="K68" s="109">
        <f>VLOOKUP(I68,'3月'!$B$4:$BQ$406,67,FALSE)</f>
        <v>0</v>
      </c>
      <c r="L68" s="3"/>
    </row>
    <row r="69" spans="1:12">
      <c r="A69" s="131" t="s">
        <v>51</v>
      </c>
      <c r="B69" s="228"/>
      <c r="C69" s="109">
        <f>VLOOKUP(A69,'3月'!$B$4:$BQ$406,67,FALSE)</f>
        <v>0</v>
      </c>
      <c r="D69" s="3"/>
      <c r="E69" s="125" t="s">
        <v>55</v>
      </c>
      <c r="F69" s="277"/>
      <c r="G69" s="109">
        <f>VLOOKUP(E69,'3月'!$B$4:$BQ$406,67,FALSE)</f>
        <v>0</v>
      </c>
      <c r="H69" s="3"/>
      <c r="I69" s="158" t="s">
        <v>179</v>
      </c>
      <c r="J69" s="226"/>
      <c r="K69" s="109">
        <f>VLOOKUP(I69,'3月'!$B$4:$BQ$406,67,FALSE)</f>
        <v>2</v>
      </c>
      <c r="L69" s="3"/>
    </row>
    <row r="70" spans="1:12">
      <c r="A70" s="131" t="s">
        <v>167</v>
      </c>
      <c r="B70" s="228"/>
      <c r="C70" s="109">
        <f>VLOOKUP(A70,'3月'!$B$4:$BQ$406,67,FALSE)</f>
        <v>0</v>
      </c>
      <c r="D70" s="3"/>
      <c r="E70" s="125" t="s">
        <v>328</v>
      </c>
      <c r="F70" s="277"/>
      <c r="G70" s="109">
        <f>VLOOKUP(E70,'3月'!$B$4:$BQ$406,67,FALSE)</f>
        <v>0</v>
      </c>
      <c r="H70" s="3"/>
      <c r="I70" s="131" t="s">
        <v>126</v>
      </c>
      <c r="J70" s="228"/>
      <c r="K70" s="109">
        <f>VLOOKUP(I70,'3月'!$B$4:$BQ$406,67,FALSE)</f>
        <v>0</v>
      </c>
      <c r="L70" s="3"/>
    </row>
    <row r="71" spans="1:12" ht="14.25" thickBot="1">
      <c r="A71" s="131" t="s">
        <v>141</v>
      </c>
      <c r="B71" s="228"/>
      <c r="C71" s="109">
        <f>VLOOKUP(A71,'3月'!$B$4:$BQ$406,67,FALSE)</f>
        <v>0</v>
      </c>
      <c r="D71" s="3"/>
      <c r="E71" s="270"/>
      <c r="F71" s="278"/>
      <c r="G71" s="199"/>
      <c r="H71" s="3"/>
      <c r="I71" s="131" t="s">
        <v>62</v>
      </c>
      <c r="J71" s="228"/>
      <c r="K71" s="109">
        <f>VLOOKUP(I71,'3月'!$B$4:$BQ$406,67,FALSE)</f>
        <v>0</v>
      </c>
      <c r="L71" s="3"/>
    </row>
    <row r="72" spans="1:12" ht="14.25" thickBot="1">
      <c r="A72" s="131" t="s">
        <v>92</v>
      </c>
      <c r="B72" s="228"/>
      <c r="C72" s="109">
        <f>VLOOKUP(A72,'3月'!$B$4:$BQ$406,67,FALSE)</f>
        <v>0</v>
      </c>
      <c r="D72" s="3"/>
      <c r="I72" s="131" t="s">
        <v>63</v>
      </c>
      <c r="J72" s="228"/>
      <c r="K72" s="109">
        <f>VLOOKUP(I72,'3月'!$B$4:$BQ$406,67,FALSE)</f>
        <v>2</v>
      </c>
      <c r="L72" s="3"/>
    </row>
    <row r="73" spans="1:12" ht="14.25" thickBot="1">
      <c r="A73" s="133" t="s">
        <v>93</v>
      </c>
      <c r="B73" s="268"/>
      <c r="C73" s="109">
        <f>VLOOKUP(A73,'3月'!$B$4:$BQ$406,67,FALSE)</f>
        <v>0</v>
      </c>
      <c r="D73" s="3"/>
      <c r="E73" s="715" t="s">
        <v>58</v>
      </c>
      <c r="F73" s="716"/>
      <c r="G73" s="80">
        <f>SUM(G74:G76)</f>
        <v>1</v>
      </c>
      <c r="I73" s="131" t="s">
        <v>135</v>
      </c>
      <c r="J73" s="228"/>
      <c r="K73" s="109">
        <f>VLOOKUP(I73,'3月'!$B$4:$BQ$406,67,FALSE)</f>
        <v>0</v>
      </c>
      <c r="L73" s="3"/>
    </row>
    <row r="74" spans="1:12" ht="14.25" thickTop="1">
      <c r="A74" s="133" t="s">
        <v>241</v>
      </c>
      <c r="B74" s="268"/>
      <c r="C74" s="109">
        <f>VLOOKUP(A74,'3月'!$B$4:$BQ$406,67,FALSE)</f>
        <v>0</v>
      </c>
      <c r="D74" s="3"/>
      <c r="E74" s="717" t="s">
        <v>58</v>
      </c>
      <c r="F74" s="718"/>
      <c r="G74" s="81">
        <f>'3月'!BP400</f>
        <v>1</v>
      </c>
      <c r="I74" s="131" t="s">
        <v>180</v>
      </c>
      <c r="J74" s="228"/>
      <c r="K74" s="109">
        <f>VLOOKUP(I74,'3月'!$B$4:$BQ$406,67,FALSE)</f>
        <v>1</v>
      </c>
      <c r="L74" s="3"/>
    </row>
    <row r="75" spans="1:12" ht="14.25" thickBot="1">
      <c r="A75" s="133"/>
      <c r="B75" s="268"/>
      <c r="C75" s="223">
        <f>VLOOKUP(A75,'3月'!$B$4:$BQ$406,67,FALSE)</f>
        <v>0</v>
      </c>
      <c r="D75" s="3"/>
      <c r="E75" s="713" t="s">
        <v>59</v>
      </c>
      <c r="F75" s="714"/>
      <c r="G75" s="84">
        <f>'3月'!BP401</f>
        <v>0</v>
      </c>
      <c r="I75" s="131" t="s">
        <v>173</v>
      </c>
      <c r="J75" s="228"/>
      <c r="K75" s="109">
        <f>VLOOKUP(I75,'3月'!$B$4:$BQ$406,67,FALSE)</f>
        <v>0</v>
      </c>
      <c r="L75" s="3"/>
    </row>
    <row r="76" spans="1:12">
      <c r="A76" s="133"/>
      <c r="B76" s="268"/>
      <c r="C76" s="223">
        <f>VLOOKUP(A76,'3月'!$B$4:$BQ$406,67,FALSE)</f>
        <v>0</v>
      </c>
      <c r="D76" s="3"/>
      <c r="E76" s="134"/>
      <c r="F76" s="134"/>
      <c r="I76" s="131" t="s">
        <v>67</v>
      </c>
      <c r="J76" s="228"/>
      <c r="K76" s="109">
        <f>VLOOKUP(I76,'3月'!$B$4:$BQ$406,67,FALSE)</f>
        <v>2</v>
      </c>
      <c r="L76" s="3"/>
    </row>
    <row r="77" spans="1:12" ht="14.25" thickBot="1">
      <c r="A77" s="132"/>
      <c r="B77" s="229"/>
      <c r="C77" s="224">
        <f>VLOOKUP(A77,'3月'!$B$4:$BQ$406,67,FALSE)</f>
        <v>0</v>
      </c>
      <c r="D77" s="3"/>
      <c r="I77" s="131" t="s">
        <v>66</v>
      </c>
      <c r="J77" s="228"/>
      <c r="K77" s="109">
        <f>VLOOKUP(I77,'3月'!$B$4:$BQ$406,67,FALSE)</f>
        <v>2</v>
      </c>
      <c r="L77" s="3"/>
    </row>
    <row r="78" spans="1:12">
      <c r="E78" s="723" t="s">
        <v>90</v>
      </c>
      <c r="F78" s="724"/>
      <c r="G78" s="90">
        <f>'3月'!BP244</f>
        <v>2</v>
      </c>
      <c r="I78" s="131" t="s">
        <v>65</v>
      </c>
      <c r="J78" s="228"/>
      <c r="K78" s="109">
        <f>VLOOKUP(I78,'3月'!$B$4:$BQ$406,67,FALSE)</f>
        <v>0</v>
      </c>
      <c r="L78" s="3"/>
    </row>
    <row r="79" spans="1:12" ht="14.25" thickBot="1">
      <c r="E79" s="713" t="s">
        <v>91</v>
      </c>
      <c r="F79" s="714"/>
      <c r="G79" s="84">
        <f>'3月'!BP245</f>
        <v>0</v>
      </c>
      <c r="I79" s="131" t="s">
        <v>68</v>
      </c>
      <c r="J79" s="228"/>
      <c r="K79" s="109">
        <f>VLOOKUP(I79,'3月'!$B$4:$BQ$406,67,FALSE)</f>
        <v>0</v>
      </c>
      <c r="L79" s="3"/>
    </row>
    <row r="80" spans="1:12">
      <c r="C80" s="413">
        <f>SUM(C81:C83)</f>
        <v>0</v>
      </c>
      <c r="E80" s="139"/>
      <c r="F80" s="139"/>
      <c r="I80" s="131" t="s">
        <v>136</v>
      </c>
      <c r="J80" s="228"/>
      <c r="K80" s="109">
        <f>VLOOKUP(I80,'3月'!$B$4:$BQ$406,67,FALSE)</f>
        <v>0</v>
      </c>
      <c r="L80" s="3"/>
    </row>
    <row r="81" spans="1:12">
      <c r="A81" s="443" t="s">
        <v>223</v>
      </c>
      <c r="B81" s="403">
        <f>SUM(B82:B83)</f>
        <v>0</v>
      </c>
      <c r="C81" s="415">
        <f>VLOOKUP(A81,'3月'!$B$4:$BQ$406,67,FALSE)</f>
        <v>0</v>
      </c>
      <c r="I81" s="131" t="s">
        <v>133</v>
      </c>
      <c r="J81" s="228"/>
      <c r="K81" s="109">
        <f>VLOOKUP(I81,'3月'!$B$4:$BQ$406,67,FALSE)</f>
        <v>0</v>
      </c>
      <c r="L81" s="3"/>
    </row>
    <row r="82" spans="1:12">
      <c r="A82" s="443" t="s">
        <v>516</v>
      </c>
      <c r="B82" s="403"/>
      <c r="C82" s="442">
        <f>VLOOKUP(A82,'3月'!$B$4:$BQ$406,67,FALSE)</f>
        <v>0</v>
      </c>
      <c r="I82" s="131" t="s">
        <v>113</v>
      </c>
      <c r="J82" s="228"/>
      <c r="K82" s="109">
        <f>VLOOKUP(I82,'3月'!$B$4:$BQ$406,67,FALSE)</f>
        <v>0</v>
      </c>
      <c r="L82" s="3"/>
    </row>
    <row r="83" spans="1:12">
      <c r="A83" s="443" t="s">
        <v>517</v>
      </c>
      <c r="B83" s="290"/>
      <c r="C83" s="442">
        <f>VLOOKUP(A83,'3月'!$B$4:$BQ$406,67,FALSE)</f>
        <v>0</v>
      </c>
      <c r="I83" s="131" t="s">
        <v>149</v>
      </c>
      <c r="J83" s="228"/>
      <c r="K83" s="109">
        <f>VLOOKUP(I83,'3月'!$B$4:$BQ$406,67,FALSE)</f>
        <v>0</v>
      </c>
      <c r="L83" s="3"/>
    </row>
    <row r="84" spans="1:12">
      <c r="A84" s="275"/>
      <c r="C84" s="1"/>
      <c r="I84" s="131" t="s">
        <v>178</v>
      </c>
      <c r="J84" s="228"/>
      <c r="K84" s="109">
        <f>VLOOKUP(I84,'3月'!$B$4:$BQ$406,67,FALSE)</f>
        <v>0</v>
      </c>
      <c r="L84" s="3"/>
    </row>
    <row r="85" spans="1:12">
      <c r="A85" s="475"/>
      <c r="C85" s="1"/>
      <c r="I85" s="131" t="s">
        <v>196</v>
      </c>
      <c r="J85" s="228"/>
      <c r="K85" s="109">
        <f>VLOOKUP(I85,'3月'!$B$4:$BQ$406,67,FALSE)</f>
        <v>0</v>
      </c>
      <c r="L85" s="3"/>
    </row>
    <row r="86" spans="1:12">
      <c r="A86" s="475"/>
      <c r="C86" s="1"/>
      <c r="I86" s="131"/>
      <c r="J86" s="228"/>
      <c r="K86" s="198"/>
      <c r="L86" s="3"/>
    </row>
    <row r="87" spans="1:12">
      <c r="C87" s="1"/>
      <c r="I87" s="131"/>
      <c r="J87" s="228"/>
      <c r="K87" s="198"/>
      <c r="L87" s="3"/>
    </row>
    <row r="88" spans="1:12">
      <c r="A88" s="475"/>
      <c r="C88" s="1"/>
      <c r="I88" s="131"/>
      <c r="J88" s="228"/>
      <c r="K88" s="198"/>
      <c r="L88" s="3"/>
    </row>
    <row r="89" spans="1:12">
      <c r="C89" s="1"/>
      <c r="I89" s="131"/>
      <c r="J89" s="228"/>
      <c r="K89" s="198"/>
      <c r="L89" s="3"/>
    </row>
    <row r="90" spans="1:12">
      <c r="I90" s="131"/>
      <c r="J90" s="228"/>
      <c r="K90" s="198"/>
      <c r="L90" s="3"/>
    </row>
    <row r="91" spans="1:12" ht="14.25" thickBot="1">
      <c r="I91" s="132"/>
      <c r="J91" s="229"/>
      <c r="K91" s="224"/>
      <c r="L91" s="3"/>
    </row>
  </sheetData>
  <sortState xmlns:xlrd2="http://schemas.microsoft.com/office/spreadsheetml/2017/richdata2" ref="E48:G55">
    <sortCondition ref="E55"/>
  </sortState>
  <mergeCells count="16">
    <mergeCell ref="O52:O53"/>
    <mergeCell ref="A59:C59"/>
    <mergeCell ref="A60:C60"/>
    <mergeCell ref="M44:O45"/>
    <mergeCell ref="E78:F78"/>
    <mergeCell ref="M46:O47"/>
    <mergeCell ref="M48:O49"/>
    <mergeCell ref="M50:N51"/>
    <mergeCell ref="O50:O51"/>
    <mergeCell ref="M52:N53"/>
    <mergeCell ref="E79:F79"/>
    <mergeCell ref="E66:F66"/>
    <mergeCell ref="I66:J66"/>
    <mergeCell ref="E73:F73"/>
    <mergeCell ref="E74:F74"/>
    <mergeCell ref="E75:F75"/>
  </mergeCells>
  <phoneticPr fontId="1"/>
  <conditionalFormatting sqref="A2:B2">
    <cfRule type="expression" dxfId="13" priority="15">
      <formula>COUNTA($A$3:$A$14) = COUNTIF($C$3:$C$14,"&gt;=1")</formula>
    </cfRule>
  </conditionalFormatting>
  <conditionalFormatting sqref="I2:J2">
    <cfRule type="expression" dxfId="12" priority="12">
      <formula>COUNTA($I$3:$I$13) = COUNTIF($K$3:$K$13,"&gt;=1")</formula>
    </cfRule>
  </conditionalFormatting>
  <conditionalFormatting sqref="M2:N2">
    <cfRule type="expression" dxfId="11" priority="11">
      <formula>COUNTA($M$3:$M$12) = COUNTIF($O$3:$O$12,"&gt;=1")</formula>
    </cfRule>
  </conditionalFormatting>
  <conditionalFormatting sqref="A16:B16">
    <cfRule type="expression" dxfId="10" priority="10">
      <formula>COUNTA($A$17:$A$27) = COUNTIF($C$17:$C$27,"&gt;=1")</formula>
    </cfRule>
  </conditionalFormatting>
  <conditionalFormatting sqref="E16:F16">
    <cfRule type="expression" dxfId="9" priority="9">
      <formula>COUNTA($E$17:$E$27) = COUNTIF($G$17:$G$27,"&gt;=1")</formula>
    </cfRule>
  </conditionalFormatting>
  <conditionalFormatting sqref="M16:N16">
    <cfRule type="expression" dxfId="8" priority="7">
      <formula>COUNTA($M$17:$M$27) = COUNTIF($O$17:$O$27,"&gt;=1")</formula>
    </cfRule>
  </conditionalFormatting>
  <conditionalFormatting sqref="A30:B30">
    <cfRule type="expression" dxfId="7" priority="6">
      <formula>COUNTA($A$31:$A$39) = COUNTIF($C$31:$C$39,"&gt;=1")</formula>
    </cfRule>
  </conditionalFormatting>
  <conditionalFormatting sqref="A45:B45">
    <cfRule type="expression" dxfId="6" priority="2">
      <formula>COUNTA($A$46:$A$56) = COUNTIF($C$46:$C$56,"&gt;=1")</formula>
    </cfRule>
  </conditionalFormatting>
  <conditionalFormatting sqref="E45:F45">
    <cfRule type="expression" dxfId="5" priority="1">
      <formula>COUNTA($E$46:$E$54) = COUNTIF($G$46:$G$54,"&gt;=1")</formula>
    </cfRule>
  </conditionalFormatting>
  <conditionalFormatting sqref="I16:J16">
    <cfRule type="expression" dxfId="4" priority="16">
      <formula>COUNTA($I$17:$I$27) = COUNTIF($K$17:$K$27,"&gt;=1")</formula>
    </cfRule>
  </conditionalFormatting>
  <conditionalFormatting sqref="M30:N30">
    <cfRule type="expression" dxfId="3" priority="17">
      <formula>COUNTA($M$31:$M$41) = COUNTIF($O$31:$O$41,"&gt;=1")</formula>
    </cfRule>
  </conditionalFormatting>
  <conditionalFormatting sqref="I30:J30">
    <cfRule type="expression" dxfId="2" priority="18">
      <formula>COUNTA($I$31:$I$40) = COUNTIF($K$31:$K$40,"&gt;=1")</formula>
    </cfRule>
  </conditionalFormatting>
  <conditionalFormatting sqref="E30:F30">
    <cfRule type="expression" dxfId="1" priority="19">
      <formula>COUNTA($E$31:$E$40) = COUNTIF($G$31:$G$41,"&gt;=1")</formula>
    </cfRule>
  </conditionalFormatting>
  <conditionalFormatting sqref="E2:F2">
    <cfRule type="expression" dxfId="0" priority="20">
      <formula>COUNTA($E$3:$E$12) = COUNTIF($G$3:$G$12,"&gt;=1")</formula>
    </cfRule>
  </conditionalFormatting>
  <printOptions horizontalCentered="1" verticalCentered="1"/>
  <pageMargins left="0" right="0" top="0.98425196850393704" bottom="0" header="0" footer="0"/>
  <pageSetup paperSize="9" scale="93" fitToWidth="0" orientation="portrait" r:id="rId1"/>
  <headerFooter>
    <oddHeader>&amp;C&amp;"HG丸ｺﾞｼｯｸM-PRO,標準"&amp;36 &amp;22 &amp;14 ２０２5年ワイド増強月間集計表&amp;22
目標３件、●＝6件（1000件！！！）</oddHeader>
  </headerFooter>
  <rowBreaks count="1" manualBreakCount="1">
    <brk id="60" max="14" man="1"/>
  </row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B8A-ABBB-4B28-96C0-E121E1D85BE7}">
  <sheetPr codeName="Sheet2"/>
  <dimension ref="A1:G72"/>
  <sheetViews>
    <sheetView topLeftCell="B1" workbookViewId="0">
      <pane ySplit="1" topLeftCell="A56" activePane="bottomLeft" state="frozen"/>
      <selection pane="bottomLeft" activeCell="J9" sqref="J9"/>
    </sheetView>
  </sheetViews>
  <sheetFormatPr defaultRowHeight="13.5"/>
  <cols>
    <col min="1" max="1" width="16.125" bestFit="1" customWidth="1"/>
    <col min="2" max="2" width="12.625" bestFit="1" customWidth="1"/>
    <col min="3" max="3" width="10.5" bestFit="1" customWidth="1"/>
    <col min="4" max="5" width="2.5" bestFit="1" customWidth="1"/>
    <col min="6" max="6" width="17.875" bestFit="1" customWidth="1"/>
    <col min="7" max="7" width="13" bestFit="1" customWidth="1"/>
    <col min="10" max="10" width="19.5" bestFit="1" customWidth="1"/>
    <col min="11" max="12" width="12.625" bestFit="1" customWidth="1"/>
  </cols>
  <sheetData>
    <row r="1" spans="1:7">
      <c r="A1" t="s">
        <v>524</v>
      </c>
      <c r="B1" t="s">
        <v>460</v>
      </c>
      <c r="C1" t="s">
        <v>525</v>
      </c>
      <c r="D1" t="s">
        <v>72</v>
      </c>
      <c r="E1" t="s">
        <v>73</v>
      </c>
      <c r="F1" t="s">
        <v>528</v>
      </c>
      <c r="G1" t="s">
        <v>527</v>
      </c>
    </row>
    <row r="2" spans="1:7">
      <c r="A2" t="s">
        <v>549</v>
      </c>
      <c r="B2" s="676" t="s">
        <v>550</v>
      </c>
      <c r="C2" s="710">
        <v>45660</v>
      </c>
      <c r="D2">
        <v>1</v>
      </c>
      <c r="E2">
        <v>1</v>
      </c>
      <c r="F2" t="s">
        <v>551</v>
      </c>
      <c r="G2" t="s">
        <v>552</v>
      </c>
    </row>
    <row r="3" spans="1:7">
      <c r="A3" t="s">
        <v>259</v>
      </c>
      <c r="B3" s="676" t="s">
        <v>553</v>
      </c>
      <c r="C3" s="710">
        <v>45660</v>
      </c>
      <c r="D3">
        <v>1</v>
      </c>
      <c r="E3">
        <v>2</v>
      </c>
      <c r="F3" t="s">
        <v>551</v>
      </c>
    </row>
    <row r="4" spans="1:7">
      <c r="A4" t="s">
        <v>549</v>
      </c>
      <c r="B4" s="676" t="s">
        <v>554</v>
      </c>
      <c r="C4" s="710">
        <v>45660</v>
      </c>
      <c r="D4">
        <v>1</v>
      </c>
      <c r="E4">
        <v>2</v>
      </c>
      <c r="F4" t="s">
        <v>551</v>
      </c>
      <c r="G4" t="s">
        <v>552</v>
      </c>
    </row>
    <row r="5" spans="1:7">
      <c r="A5" t="s">
        <v>549</v>
      </c>
      <c r="B5" s="676" t="s">
        <v>554</v>
      </c>
      <c r="C5" s="710">
        <v>45660</v>
      </c>
      <c r="D5">
        <v>1</v>
      </c>
      <c r="E5">
        <v>2</v>
      </c>
      <c r="F5" t="s">
        <v>551</v>
      </c>
      <c r="G5" t="s">
        <v>552</v>
      </c>
    </row>
    <row r="6" spans="1:7">
      <c r="A6" t="s">
        <v>555</v>
      </c>
      <c r="B6" s="676" t="s">
        <v>556</v>
      </c>
      <c r="C6" s="710">
        <v>45660</v>
      </c>
      <c r="D6">
        <v>1</v>
      </c>
      <c r="E6">
        <v>2</v>
      </c>
      <c r="F6" t="s">
        <v>551</v>
      </c>
    </row>
    <row r="7" spans="1:7">
      <c r="A7" t="s">
        <v>548</v>
      </c>
      <c r="B7" s="676" t="s">
        <v>557</v>
      </c>
      <c r="C7" s="710">
        <v>45660</v>
      </c>
      <c r="D7">
        <v>1</v>
      </c>
      <c r="E7">
        <v>1</v>
      </c>
      <c r="F7" t="s">
        <v>551</v>
      </c>
    </row>
    <row r="8" spans="1:7">
      <c r="A8" t="s">
        <v>558</v>
      </c>
      <c r="B8" s="676" t="s">
        <v>391</v>
      </c>
      <c r="C8" s="710">
        <v>45660</v>
      </c>
      <c r="D8">
        <v>1</v>
      </c>
      <c r="E8">
        <v>2</v>
      </c>
      <c r="F8" t="s">
        <v>551</v>
      </c>
    </row>
    <row r="9" spans="1:7">
      <c r="A9" t="s">
        <v>559</v>
      </c>
      <c r="B9" s="676" t="s">
        <v>560</v>
      </c>
      <c r="C9" s="710">
        <v>45660</v>
      </c>
      <c r="D9">
        <v>1</v>
      </c>
      <c r="E9">
        <v>1</v>
      </c>
      <c r="F9" t="s">
        <v>551</v>
      </c>
    </row>
    <row r="10" spans="1:7">
      <c r="A10" t="s">
        <v>549</v>
      </c>
      <c r="B10" s="676" t="s">
        <v>432</v>
      </c>
      <c r="C10" s="710">
        <v>45660</v>
      </c>
      <c r="D10">
        <v>1</v>
      </c>
      <c r="E10">
        <v>1</v>
      </c>
      <c r="F10" t="s">
        <v>551</v>
      </c>
      <c r="G10" t="s">
        <v>552</v>
      </c>
    </row>
    <row r="11" spans="1:7">
      <c r="A11" t="s">
        <v>549</v>
      </c>
      <c r="B11" s="676" t="s">
        <v>379</v>
      </c>
      <c r="C11" s="710">
        <v>45660</v>
      </c>
      <c r="D11">
        <v>1</v>
      </c>
      <c r="E11">
        <v>1</v>
      </c>
      <c r="F11" t="s">
        <v>551</v>
      </c>
      <c r="G11" t="s">
        <v>552</v>
      </c>
    </row>
    <row r="12" spans="1:7">
      <c r="A12" t="s">
        <v>549</v>
      </c>
      <c r="B12" s="676" t="s">
        <v>379</v>
      </c>
      <c r="C12" s="710">
        <v>45660</v>
      </c>
      <c r="D12">
        <v>1</v>
      </c>
      <c r="E12">
        <v>1</v>
      </c>
      <c r="F12" t="s">
        <v>551</v>
      </c>
      <c r="G12" t="s">
        <v>552</v>
      </c>
    </row>
    <row r="13" spans="1:7">
      <c r="A13" t="s">
        <v>561</v>
      </c>
      <c r="B13" s="676" t="s">
        <v>426</v>
      </c>
      <c r="C13" s="710">
        <v>45660</v>
      </c>
      <c r="D13">
        <v>1</v>
      </c>
      <c r="E13">
        <v>2</v>
      </c>
      <c r="F13" t="s">
        <v>551</v>
      </c>
    </row>
    <row r="14" spans="1:7">
      <c r="A14" t="s">
        <v>561</v>
      </c>
      <c r="B14" s="676" t="s">
        <v>426</v>
      </c>
      <c r="C14" s="710">
        <v>45660</v>
      </c>
      <c r="D14">
        <v>1</v>
      </c>
      <c r="E14">
        <v>2</v>
      </c>
      <c r="F14" t="s">
        <v>551</v>
      </c>
    </row>
    <row r="15" spans="1:7">
      <c r="A15" t="s">
        <v>549</v>
      </c>
      <c r="B15" s="676" t="s">
        <v>432</v>
      </c>
      <c r="C15" s="710">
        <v>45660</v>
      </c>
      <c r="D15">
        <v>1</v>
      </c>
      <c r="E15">
        <v>2</v>
      </c>
      <c r="F15" t="s">
        <v>551</v>
      </c>
      <c r="G15" t="s">
        <v>552</v>
      </c>
    </row>
    <row r="16" spans="1:7">
      <c r="A16" t="s">
        <v>549</v>
      </c>
      <c r="B16" s="676" t="s">
        <v>428</v>
      </c>
      <c r="C16" s="710">
        <v>45660</v>
      </c>
      <c r="D16">
        <v>1</v>
      </c>
      <c r="E16">
        <v>2</v>
      </c>
      <c r="F16" t="s">
        <v>551</v>
      </c>
      <c r="G16" t="s">
        <v>552</v>
      </c>
    </row>
    <row r="17" spans="1:7">
      <c r="A17" t="s">
        <v>259</v>
      </c>
      <c r="B17" s="676" t="s">
        <v>562</v>
      </c>
      <c r="C17" s="710">
        <v>45660</v>
      </c>
      <c r="D17">
        <v>1</v>
      </c>
      <c r="E17">
        <v>2</v>
      </c>
      <c r="F17" t="s">
        <v>551</v>
      </c>
      <c r="G17" t="s">
        <v>552</v>
      </c>
    </row>
    <row r="18" spans="1:7">
      <c r="A18" t="s">
        <v>555</v>
      </c>
      <c r="B18" s="676" t="s">
        <v>556</v>
      </c>
      <c r="C18" s="710">
        <v>45660</v>
      </c>
      <c r="D18">
        <v>1</v>
      </c>
      <c r="E18">
        <v>2</v>
      </c>
      <c r="F18" t="s">
        <v>551</v>
      </c>
      <c r="G18" t="s">
        <v>552</v>
      </c>
    </row>
    <row r="19" spans="1:7">
      <c r="A19" t="s">
        <v>260</v>
      </c>
      <c r="B19" s="676" t="s">
        <v>566</v>
      </c>
      <c r="C19" s="710">
        <v>45661</v>
      </c>
      <c r="D19">
        <v>1</v>
      </c>
      <c r="E19">
        <v>1</v>
      </c>
      <c r="F19" t="s">
        <v>551</v>
      </c>
      <c r="G19" t="s">
        <v>563</v>
      </c>
    </row>
    <row r="20" spans="1:7">
      <c r="A20" t="s">
        <v>260</v>
      </c>
      <c r="B20" s="676" t="s">
        <v>566</v>
      </c>
      <c r="C20" s="710">
        <v>45661</v>
      </c>
      <c r="D20">
        <v>1</v>
      </c>
      <c r="E20">
        <v>2</v>
      </c>
      <c r="F20" t="s">
        <v>551</v>
      </c>
      <c r="G20" t="s">
        <v>563</v>
      </c>
    </row>
    <row r="21" spans="1:7">
      <c r="A21" t="s">
        <v>549</v>
      </c>
      <c r="B21" s="676" t="s">
        <v>567</v>
      </c>
      <c r="C21" s="710">
        <v>45663</v>
      </c>
      <c r="D21">
        <v>1</v>
      </c>
      <c r="E21">
        <v>2</v>
      </c>
      <c r="F21" t="s">
        <v>551</v>
      </c>
      <c r="G21" t="s">
        <v>552</v>
      </c>
    </row>
    <row r="22" spans="1:7">
      <c r="A22" t="s">
        <v>549</v>
      </c>
      <c r="B22" s="676" t="s">
        <v>394</v>
      </c>
      <c r="C22" s="710">
        <v>45663</v>
      </c>
      <c r="D22">
        <v>1</v>
      </c>
      <c r="E22">
        <v>3</v>
      </c>
      <c r="F22" t="s">
        <v>551</v>
      </c>
      <c r="G22" t="s">
        <v>552</v>
      </c>
    </row>
    <row r="23" spans="1:7">
      <c r="A23" t="s">
        <v>565</v>
      </c>
      <c r="B23" s="676" t="s">
        <v>509</v>
      </c>
      <c r="C23" s="710">
        <v>45663</v>
      </c>
      <c r="D23">
        <v>1</v>
      </c>
      <c r="E23">
        <v>1</v>
      </c>
      <c r="F23" t="s">
        <v>551</v>
      </c>
      <c r="G23" t="s">
        <v>563</v>
      </c>
    </row>
    <row r="24" spans="1:7">
      <c r="A24" t="s">
        <v>259</v>
      </c>
      <c r="B24" s="676" t="s">
        <v>600</v>
      </c>
      <c r="C24" s="710">
        <v>45663</v>
      </c>
      <c r="D24">
        <v>1</v>
      </c>
      <c r="E24">
        <v>1</v>
      </c>
      <c r="F24" t="s">
        <v>551</v>
      </c>
      <c r="G24" t="s">
        <v>564</v>
      </c>
    </row>
    <row r="25" spans="1:7">
      <c r="A25" t="s">
        <v>568</v>
      </c>
      <c r="B25" s="676" t="s">
        <v>410</v>
      </c>
      <c r="C25" s="710">
        <v>45664</v>
      </c>
      <c r="D25">
        <v>1</v>
      </c>
      <c r="E25">
        <v>1</v>
      </c>
      <c r="F25" t="s">
        <v>551</v>
      </c>
    </row>
    <row r="26" spans="1:7">
      <c r="A26" t="s">
        <v>561</v>
      </c>
      <c r="B26" s="676" t="s">
        <v>426</v>
      </c>
      <c r="C26" s="710">
        <v>45665</v>
      </c>
      <c r="D26">
        <v>1</v>
      </c>
      <c r="E26">
        <v>2</v>
      </c>
      <c r="F26" t="s">
        <v>551</v>
      </c>
    </row>
    <row r="27" spans="1:7">
      <c r="A27" t="s">
        <v>548</v>
      </c>
      <c r="B27" s="676" t="s">
        <v>392</v>
      </c>
      <c r="C27" s="710">
        <v>45665</v>
      </c>
      <c r="D27">
        <v>1</v>
      </c>
      <c r="E27">
        <v>2</v>
      </c>
      <c r="F27" t="s">
        <v>551</v>
      </c>
    </row>
    <row r="28" spans="1:7">
      <c r="A28" t="s">
        <v>569</v>
      </c>
      <c r="B28" s="676" t="s">
        <v>397</v>
      </c>
      <c r="C28" s="710">
        <v>45665</v>
      </c>
      <c r="D28">
        <v>1</v>
      </c>
      <c r="E28">
        <v>1</v>
      </c>
      <c r="F28" t="s">
        <v>551</v>
      </c>
      <c r="G28" t="s">
        <v>552</v>
      </c>
    </row>
    <row r="29" spans="1:7">
      <c r="A29" t="s">
        <v>569</v>
      </c>
      <c r="B29" s="676" t="s">
        <v>397</v>
      </c>
      <c r="C29" s="710">
        <v>45665</v>
      </c>
      <c r="D29">
        <v>1</v>
      </c>
      <c r="E29">
        <v>1</v>
      </c>
      <c r="F29" t="s">
        <v>551</v>
      </c>
      <c r="G29" t="s">
        <v>552</v>
      </c>
    </row>
    <row r="30" spans="1:7">
      <c r="A30" t="s">
        <v>569</v>
      </c>
      <c r="B30" s="676" t="s">
        <v>397</v>
      </c>
      <c r="C30" s="710">
        <v>45665</v>
      </c>
      <c r="D30">
        <v>1</v>
      </c>
      <c r="E30">
        <v>1</v>
      </c>
      <c r="F30" t="s">
        <v>551</v>
      </c>
      <c r="G30" t="s">
        <v>552</v>
      </c>
    </row>
    <row r="31" spans="1:7">
      <c r="A31" t="s">
        <v>570</v>
      </c>
      <c r="B31" s="676" t="s">
        <v>377</v>
      </c>
      <c r="C31" s="710">
        <v>45665</v>
      </c>
      <c r="D31">
        <v>1</v>
      </c>
      <c r="E31">
        <v>2</v>
      </c>
      <c r="F31" t="s">
        <v>551</v>
      </c>
      <c r="G31" t="s">
        <v>563</v>
      </c>
    </row>
    <row r="32" spans="1:7">
      <c r="A32" t="s">
        <v>565</v>
      </c>
      <c r="B32" s="676" t="s">
        <v>571</v>
      </c>
      <c r="C32" s="710">
        <v>45665</v>
      </c>
      <c r="D32">
        <v>1</v>
      </c>
      <c r="E32">
        <v>2</v>
      </c>
      <c r="F32" t="s">
        <v>551</v>
      </c>
      <c r="G32" t="s">
        <v>563</v>
      </c>
    </row>
    <row r="33" spans="1:7">
      <c r="A33" t="s">
        <v>565</v>
      </c>
      <c r="B33" s="676" t="s">
        <v>571</v>
      </c>
      <c r="C33" s="710">
        <v>45665</v>
      </c>
      <c r="D33">
        <v>1</v>
      </c>
      <c r="E33">
        <v>2</v>
      </c>
      <c r="F33" t="s">
        <v>551</v>
      </c>
      <c r="G33" t="s">
        <v>563</v>
      </c>
    </row>
    <row r="34" spans="1:7">
      <c r="A34" t="s">
        <v>578</v>
      </c>
      <c r="B34" s="676" t="s">
        <v>579</v>
      </c>
      <c r="C34" s="710">
        <v>45666</v>
      </c>
      <c r="D34">
        <v>1</v>
      </c>
      <c r="E34">
        <v>1</v>
      </c>
      <c r="F34" t="s">
        <v>551</v>
      </c>
    </row>
    <row r="35" spans="1:7">
      <c r="A35" t="s">
        <v>565</v>
      </c>
      <c r="B35" s="676" t="s">
        <v>580</v>
      </c>
      <c r="C35" s="710">
        <v>45666</v>
      </c>
      <c r="D35">
        <v>1</v>
      </c>
      <c r="E35">
        <v>2</v>
      </c>
      <c r="F35" t="s">
        <v>551</v>
      </c>
    </row>
    <row r="36" spans="1:7">
      <c r="A36" t="s">
        <v>565</v>
      </c>
      <c r="B36" s="676" t="s">
        <v>580</v>
      </c>
      <c r="C36" s="710">
        <v>45666</v>
      </c>
      <c r="D36">
        <v>1</v>
      </c>
      <c r="E36">
        <v>1</v>
      </c>
      <c r="F36" t="s">
        <v>551</v>
      </c>
    </row>
    <row r="37" spans="1:7">
      <c r="A37" t="s">
        <v>570</v>
      </c>
      <c r="B37" s="676" t="s">
        <v>581</v>
      </c>
      <c r="C37" s="710">
        <v>45666</v>
      </c>
      <c r="D37">
        <v>1</v>
      </c>
      <c r="E37">
        <v>2</v>
      </c>
      <c r="F37" t="s">
        <v>551</v>
      </c>
    </row>
    <row r="38" spans="1:7">
      <c r="A38" t="s">
        <v>555</v>
      </c>
      <c r="B38" s="676" t="s">
        <v>572</v>
      </c>
      <c r="C38" s="710">
        <v>45666</v>
      </c>
      <c r="D38">
        <v>1</v>
      </c>
      <c r="E38">
        <v>1</v>
      </c>
      <c r="F38" t="s">
        <v>551</v>
      </c>
      <c r="G38" t="s">
        <v>552</v>
      </c>
    </row>
    <row r="39" spans="1:7">
      <c r="A39" t="s">
        <v>555</v>
      </c>
      <c r="B39" s="676" t="s">
        <v>572</v>
      </c>
      <c r="C39" s="710">
        <v>45666</v>
      </c>
      <c r="D39">
        <v>1</v>
      </c>
      <c r="E39">
        <v>1</v>
      </c>
      <c r="F39" t="s">
        <v>551</v>
      </c>
      <c r="G39" t="s">
        <v>552</v>
      </c>
    </row>
    <row r="40" spans="1:7">
      <c r="A40" t="s">
        <v>549</v>
      </c>
      <c r="B40" s="676" t="s">
        <v>381</v>
      </c>
      <c r="C40" s="710">
        <v>45666</v>
      </c>
      <c r="D40">
        <v>1</v>
      </c>
      <c r="E40">
        <v>2</v>
      </c>
      <c r="F40" t="s">
        <v>551</v>
      </c>
      <c r="G40" t="s">
        <v>552</v>
      </c>
    </row>
    <row r="41" spans="1:7">
      <c r="A41" t="s">
        <v>545</v>
      </c>
      <c r="B41" s="676" t="s">
        <v>573</v>
      </c>
      <c r="C41" s="710">
        <v>45667</v>
      </c>
      <c r="D41">
        <v>1</v>
      </c>
      <c r="E41">
        <v>2</v>
      </c>
      <c r="F41" t="s">
        <v>551</v>
      </c>
    </row>
    <row r="42" spans="1:7">
      <c r="A42" t="s">
        <v>558</v>
      </c>
      <c r="B42" s="676" t="s">
        <v>391</v>
      </c>
      <c r="C42" s="710">
        <v>45667</v>
      </c>
      <c r="D42">
        <v>1</v>
      </c>
      <c r="E42">
        <v>2</v>
      </c>
      <c r="F42" t="s">
        <v>551</v>
      </c>
    </row>
    <row r="43" spans="1:7">
      <c r="A43" t="s">
        <v>570</v>
      </c>
      <c r="B43" s="676" t="s">
        <v>373</v>
      </c>
      <c r="C43" s="710">
        <v>45667</v>
      </c>
      <c r="D43">
        <v>1</v>
      </c>
      <c r="E43">
        <v>1</v>
      </c>
      <c r="F43" t="s">
        <v>575</v>
      </c>
      <c r="G43" t="s">
        <v>552</v>
      </c>
    </row>
    <row r="44" spans="1:7">
      <c r="A44" t="s">
        <v>570</v>
      </c>
      <c r="B44" s="676" t="s">
        <v>373</v>
      </c>
      <c r="C44" s="710">
        <v>45667</v>
      </c>
      <c r="D44">
        <v>1</v>
      </c>
      <c r="E44">
        <v>1</v>
      </c>
      <c r="F44" t="s">
        <v>575</v>
      </c>
      <c r="G44" t="s">
        <v>552</v>
      </c>
    </row>
    <row r="45" spans="1:7">
      <c r="A45" t="s">
        <v>565</v>
      </c>
      <c r="B45" s="676" t="s">
        <v>582</v>
      </c>
      <c r="C45" s="710">
        <v>45667</v>
      </c>
      <c r="D45">
        <v>1</v>
      </c>
      <c r="E45">
        <v>1</v>
      </c>
      <c r="F45" t="s">
        <v>551</v>
      </c>
      <c r="G45" t="s">
        <v>563</v>
      </c>
    </row>
    <row r="46" spans="1:7">
      <c r="A46" t="s">
        <v>555</v>
      </c>
      <c r="B46" s="676" t="s">
        <v>572</v>
      </c>
      <c r="C46" s="710">
        <v>45667</v>
      </c>
      <c r="D46">
        <v>1</v>
      </c>
      <c r="E46">
        <v>1</v>
      </c>
      <c r="F46" t="s">
        <v>551</v>
      </c>
    </row>
    <row r="47" spans="1:7">
      <c r="A47" t="s">
        <v>555</v>
      </c>
      <c r="B47" s="676" t="s">
        <v>572</v>
      </c>
      <c r="C47" s="710">
        <v>45667</v>
      </c>
      <c r="D47">
        <v>1</v>
      </c>
      <c r="E47">
        <v>1</v>
      </c>
      <c r="F47" t="s">
        <v>551</v>
      </c>
    </row>
    <row r="48" spans="1:7">
      <c r="A48" t="s">
        <v>565</v>
      </c>
      <c r="B48" s="676" t="s">
        <v>583</v>
      </c>
      <c r="C48" s="710">
        <v>45668</v>
      </c>
      <c r="D48">
        <v>1</v>
      </c>
      <c r="E48">
        <v>1</v>
      </c>
      <c r="F48" t="s">
        <v>584</v>
      </c>
      <c r="G48" t="s">
        <v>577</v>
      </c>
    </row>
    <row r="49" spans="1:7">
      <c r="A49" t="s">
        <v>565</v>
      </c>
      <c r="B49" s="676" t="s">
        <v>583</v>
      </c>
      <c r="C49" s="710">
        <v>45668</v>
      </c>
      <c r="D49">
        <v>1</v>
      </c>
      <c r="E49">
        <v>1</v>
      </c>
      <c r="F49" t="s">
        <v>584</v>
      </c>
      <c r="G49" t="s">
        <v>577</v>
      </c>
    </row>
    <row r="50" spans="1:7">
      <c r="A50" t="s">
        <v>260</v>
      </c>
      <c r="B50" s="676" t="s">
        <v>566</v>
      </c>
      <c r="C50" s="710">
        <v>45668</v>
      </c>
      <c r="D50">
        <v>1</v>
      </c>
      <c r="E50">
        <v>2</v>
      </c>
      <c r="F50" t="s">
        <v>551</v>
      </c>
      <c r="G50" t="s">
        <v>552</v>
      </c>
    </row>
    <row r="51" spans="1:7">
      <c r="A51" t="s">
        <v>258</v>
      </c>
      <c r="B51" s="676" t="s">
        <v>585</v>
      </c>
      <c r="C51" s="710">
        <v>45668</v>
      </c>
      <c r="D51">
        <v>1</v>
      </c>
      <c r="E51">
        <v>2</v>
      </c>
      <c r="F51" t="s">
        <v>551</v>
      </c>
    </row>
    <row r="52" spans="1:7">
      <c r="A52" t="s">
        <v>258</v>
      </c>
      <c r="B52" s="676" t="s">
        <v>585</v>
      </c>
      <c r="C52" s="710">
        <v>45668</v>
      </c>
      <c r="D52">
        <v>1</v>
      </c>
      <c r="E52">
        <v>2</v>
      </c>
      <c r="F52" t="s">
        <v>551</v>
      </c>
    </row>
    <row r="53" spans="1:7">
      <c r="A53" t="s">
        <v>259</v>
      </c>
      <c r="B53" s="676" t="s">
        <v>586</v>
      </c>
      <c r="C53" s="710">
        <v>45668</v>
      </c>
      <c r="D53">
        <v>1</v>
      </c>
      <c r="E53">
        <v>2</v>
      </c>
      <c r="F53" t="s">
        <v>551</v>
      </c>
    </row>
    <row r="54" spans="1:7">
      <c r="A54" t="s">
        <v>589</v>
      </c>
      <c r="B54" s="676" t="s">
        <v>380</v>
      </c>
      <c r="C54" s="710">
        <v>45671</v>
      </c>
      <c r="D54">
        <v>1</v>
      </c>
      <c r="E54">
        <v>1</v>
      </c>
      <c r="F54" t="s">
        <v>551</v>
      </c>
      <c r="G54" t="s">
        <v>552</v>
      </c>
    </row>
    <row r="55" spans="1:7">
      <c r="A55" t="s">
        <v>259</v>
      </c>
      <c r="B55" s="676" t="s">
        <v>590</v>
      </c>
      <c r="C55" s="710">
        <v>45671</v>
      </c>
      <c r="D55">
        <v>1</v>
      </c>
      <c r="E55">
        <v>2</v>
      </c>
      <c r="F55" t="s">
        <v>551</v>
      </c>
    </row>
    <row r="56" spans="1:7">
      <c r="A56" t="s">
        <v>549</v>
      </c>
      <c r="B56" s="676" t="s">
        <v>591</v>
      </c>
      <c r="C56" s="710">
        <v>45671</v>
      </c>
      <c r="D56">
        <v>1</v>
      </c>
      <c r="E56">
        <v>1</v>
      </c>
      <c r="F56" t="s">
        <v>551</v>
      </c>
      <c r="G56" t="s">
        <v>552</v>
      </c>
    </row>
    <row r="57" spans="1:7">
      <c r="A57" t="s">
        <v>549</v>
      </c>
      <c r="B57" s="676" t="s">
        <v>592</v>
      </c>
      <c r="C57" s="710">
        <v>45671</v>
      </c>
      <c r="D57">
        <v>1</v>
      </c>
      <c r="E57">
        <v>1</v>
      </c>
      <c r="F57" t="s">
        <v>551</v>
      </c>
      <c r="G57" t="s">
        <v>552</v>
      </c>
    </row>
    <row r="58" spans="1:7">
      <c r="A58" t="s">
        <v>549</v>
      </c>
      <c r="B58" s="676" t="s">
        <v>592</v>
      </c>
      <c r="C58" s="710">
        <v>45671</v>
      </c>
      <c r="D58">
        <v>1</v>
      </c>
      <c r="E58">
        <v>1</v>
      </c>
      <c r="F58" t="s">
        <v>551</v>
      </c>
      <c r="G58" t="s">
        <v>552</v>
      </c>
    </row>
    <row r="59" spans="1:7">
      <c r="A59" t="s">
        <v>549</v>
      </c>
      <c r="B59" s="676" t="s">
        <v>591</v>
      </c>
      <c r="C59" s="710">
        <v>45671</v>
      </c>
      <c r="D59">
        <v>1</v>
      </c>
      <c r="E59">
        <v>2</v>
      </c>
      <c r="F59" t="s">
        <v>551</v>
      </c>
      <c r="G59" t="s">
        <v>552</v>
      </c>
    </row>
    <row r="60" spans="1:7">
      <c r="A60" t="s">
        <v>578</v>
      </c>
      <c r="B60" s="676" t="s">
        <v>579</v>
      </c>
      <c r="C60" s="710">
        <v>45671</v>
      </c>
      <c r="D60">
        <v>1</v>
      </c>
      <c r="E60">
        <v>1</v>
      </c>
      <c r="F60" t="s">
        <v>551</v>
      </c>
    </row>
    <row r="61" spans="1:7">
      <c r="A61" t="s">
        <v>565</v>
      </c>
      <c r="B61" s="676" t="s">
        <v>593</v>
      </c>
      <c r="C61" s="710">
        <v>45671</v>
      </c>
      <c r="D61">
        <v>1</v>
      </c>
      <c r="E61">
        <v>1</v>
      </c>
      <c r="F61" t="s">
        <v>551</v>
      </c>
    </row>
    <row r="62" spans="1:7">
      <c r="A62" t="s">
        <v>565</v>
      </c>
      <c r="B62" s="676" t="s">
        <v>593</v>
      </c>
      <c r="C62" s="710">
        <v>45671</v>
      </c>
      <c r="D62">
        <v>1</v>
      </c>
      <c r="E62">
        <v>1</v>
      </c>
      <c r="F62" t="s">
        <v>551</v>
      </c>
    </row>
    <row r="63" spans="1:7">
      <c r="A63" t="s">
        <v>565</v>
      </c>
      <c r="B63" s="676" t="s">
        <v>593</v>
      </c>
      <c r="C63" s="710">
        <v>45671</v>
      </c>
      <c r="D63">
        <v>1</v>
      </c>
      <c r="E63">
        <v>1</v>
      </c>
      <c r="F63" t="s">
        <v>551</v>
      </c>
    </row>
    <row r="64" spans="1:7">
      <c r="A64" t="s">
        <v>548</v>
      </c>
      <c r="B64" s="676" t="s">
        <v>594</v>
      </c>
      <c r="C64" s="710">
        <v>45671</v>
      </c>
      <c r="D64">
        <v>1</v>
      </c>
      <c r="E64">
        <v>2</v>
      </c>
      <c r="F64" t="s">
        <v>551</v>
      </c>
    </row>
    <row r="65" spans="1:7">
      <c r="A65" t="s">
        <v>565</v>
      </c>
      <c r="B65" s="676" t="s">
        <v>593</v>
      </c>
      <c r="C65" s="710">
        <v>45671</v>
      </c>
      <c r="D65">
        <v>1</v>
      </c>
      <c r="E65">
        <v>1</v>
      </c>
      <c r="F65" t="s">
        <v>551</v>
      </c>
    </row>
    <row r="66" spans="1:7">
      <c r="A66" t="s">
        <v>565</v>
      </c>
      <c r="B66" s="676" t="s">
        <v>593</v>
      </c>
      <c r="C66" s="710">
        <v>45671</v>
      </c>
      <c r="D66">
        <v>1</v>
      </c>
      <c r="E66">
        <v>1</v>
      </c>
      <c r="F66" t="s">
        <v>551</v>
      </c>
    </row>
    <row r="67" spans="1:7">
      <c r="A67" t="s">
        <v>549</v>
      </c>
      <c r="B67" s="676" t="s">
        <v>432</v>
      </c>
      <c r="C67" s="710">
        <v>45671</v>
      </c>
      <c r="D67">
        <v>1</v>
      </c>
      <c r="E67">
        <v>1</v>
      </c>
      <c r="F67" t="s">
        <v>587</v>
      </c>
    </row>
    <row r="68" spans="1:7">
      <c r="A68" t="s">
        <v>549</v>
      </c>
      <c r="B68" s="676" t="s">
        <v>432</v>
      </c>
      <c r="C68" s="710">
        <v>45671</v>
      </c>
      <c r="D68">
        <v>1</v>
      </c>
      <c r="E68">
        <v>1</v>
      </c>
      <c r="F68" t="s">
        <v>587</v>
      </c>
    </row>
    <row r="69" spans="1:7">
      <c r="A69" t="s">
        <v>589</v>
      </c>
      <c r="B69" s="676" t="s">
        <v>380</v>
      </c>
      <c r="C69" s="710">
        <v>45671</v>
      </c>
      <c r="D69">
        <v>1</v>
      </c>
      <c r="E69">
        <v>1</v>
      </c>
      <c r="F69" t="s">
        <v>551</v>
      </c>
      <c r="G69" t="s">
        <v>552</v>
      </c>
    </row>
    <row r="70" spans="1:7">
      <c r="A70" t="s">
        <v>259</v>
      </c>
      <c r="B70" s="676" t="s">
        <v>586</v>
      </c>
      <c r="C70" s="710">
        <v>45671</v>
      </c>
      <c r="D70">
        <v>1</v>
      </c>
      <c r="E70">
        <v>2</v>
      </c>
      <c r="F70" t="s">
        <v>551</v>
      </c>
      <c r="G70" t="s">
        <v>599</v>
      </c>
    </row>
    <row r="71" spans="1:7">
      <c r="A71" t="s">
        <v>595</v>
      </c>
      <c r="B71" s="676" t="s">
        <v>404</v>
      </c>
      <c r="C71" s="710">
        <v>45671</v>
      </c>
      <c r="D71">
        <v>1</v>
      </c>
      <c r="E71">
        <v>1</v>
      </c>
      <c r="F71" t="s">
        <v>551</v>
      </c>
    </row>
    <row r="72" spans="1:7">
      <c r="A72" t="s">
        <v>595</v>
      </c>
      <c r="B72" s="676" t="s">
        <v>404</v>
      </c>
      <c r="C72" s="710">
        <v>45671</v>
      </c>
      <c r="D72">
        <v>1</v>
      </c>
      <c r="E72">
        <v>1</v>
      </c>
      <c r="F72" t="s">
        <v>551</v>
      </c>
    </row>
  </sheetData>
  <phoneticPr fontId="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1:BQ440"/>
  <sheetViews>
    <sheetView view="pageBreakPreview" zoomScale="40" zoomScaleNormal="40" zoomScaleSheetLayoutView="40" workbookViewId="0">
      <pane xSplit="3" ySplit="3" topLeftCell="D343" activePane="bottomRight" state="frozen"/>
      <selection pane="topRight" activeCell="D1" sqref="D1"/>
      <selection pane="bottomLeft" activeCell="A4" sqref="A4"/>
      <selection pane="bottomRight" activeCell="AF364" sqref="AF364"/>
    </sheetView>
  </sheetViews>
  <sheetFormatPr defaultRowHeight="24"/>
  <cols>
    <col min="1" max="1" width="3" customWidth="1"/>
    <col min="2" max="2" width="30.625" style="1" customWidth="1"/>
    <col min="3" max="3" width="4.75" style="150" customWidth="1"/>
    <col min="4" max="35" width="8.625" style="7" customWidth="1"/>
    <col min="36" max="37" width="8.625" customWidth="1"/>
    <col min="38" max="38" width="8.625" style="4" customWidth="1"/>
    <col min="39" max="65" width="8.625" customWidth="1"/>
  </cols>
  <sheetData>
    <row r="1" spans="2:69" ht="24.95" customHeight="1">
      <c r="B1" s="743" t="s">
        <v>60</v>
      </c>
      <c r="C1" s="745">
        <f>COUNTIF(B4:B23,"*")</f>
        <v>15</v>
      </c>
      <c r="D1" s="692">
        <v>1</v>
      </c>
      <c r="E1" s="692"/>
      <c r="F1" s="692">
        <v>2</v>
      </c>
      <c r="G1" s="692"/>
      <c r="H1" s="692">
        <v>3</v>
      </c>
      <c r="I1" s="692"/>
      <c r="J1" s="692">
        <v>4</v>
      </c>
      <c r="K1" s="692"/>
      <c r="L1" s="692" t="s">
        <v>542</v>
      </c>
      <c r="M1" s="692"/>
      <c r="N1" s="692">
        <v>6</v>
      </c>
      <c r="O1" s="692"/>
      <c r="P1" s="692">
        <v>7</v>
      </c>
      <c r="Q1" s="692"/>
      <c r="R1" s="692">
        <v>8</v>
      </c>
      <c r="S1" s="692"/>
      <c r="T1" s="692">
        <v>9</v>
      </c>
      <c r="U1" s="692"/>
      <c r="V1" s="692">
        <v>10</v>
      </c>
      <c r="W1" s="692"/>
      <c r="X1" s="692">
        <v>11</v>
      </c>
      <c r="Y1" s="692"/>
      <c r="Z1" s="692">
        <v>12</v>
      </c>
      <c r="AA1" s="692"/>
      <c r="AB1" s="692">
        <v>13</v>
      </c>
      <c r="AC1" s="692"/>
      <c r="AD1" s="692">
        <v>14</v>
      </c>
      <c r="AE1" s="692"/>
      <c r="AF1" s="692">
        <v>15</v>
      </c>
      <c r="AG1" s="693"/>
      <c r="AH1" s="692">
        <v>16</v>
      </c>
      <c r="AI1" s="692"/>
      <c r="AJ1" s="692">
        <v>17</v>
      </c>
      <c r="AK1" s="692"/>
      <c r="AL1" s="692">
        <v>18</v>
      </c>
      <c r="AM1" s="692"/>
      <c r="AN1" s="692">
        <v>19</v>
      </c>
      <c r="AO1" s="692"/>
      <c r="AP1" s="692">
        <v>20</v>
      </c>
      <c r="AQ1" s="692"/>
      <c r="AR1" s="692">
        <v>21</v>
      </c>
      <c r="AS1" s="692"/>
      <c r="AT1" s="692">
        <v>22</v>
      </c>
      <c r="AU1" s="692"/>
      <c r="AV1" s="692">
        <v>23</v>
      </c>
      <c r="AW1" s="692"/>
      <c r="AX1" s="692">
        <v>24</v>
      </c>
      <c r="AY1" s="692"/>
      <c r="AZ1" s="692">
        <v>25</v>
      </c>
      <c r="BA1" s="692"/>
      <c r="BB1" s="692">
        <v>26</v>
      </c>
      <c r="BC1" s="692"/>
      <c r="BD1" s="692">
        <v>27</v>
      </c>
      <c r="BE1" s="692"/>
      <c r="BF1" s="692">
        <v>28</v>
      </c>
      <c r="BG1" s="692"/>
      <c r="BH1" s="692">
        <v>29</v>
      </c>
      <c r="BI1" s="692"/>
      <c r="BJ1" s="692">
        <v>30</v>
      </c>
      <c r="BK1" s="692"/>
      <c r="BL1" s="694">
        <v>31</v>
      </c>
      <c r="BM1" s="692"/>
      <c r="BN1" s="738" t="s">
        <v>251</v>
      </c>
      <c r="BO1" s="760"/>
      <c r="BP1" s="763" t="s">
        <v>354</v>
      </c>
      <c r="BQ1" s="764"/>
    </row>
    <row r="2" spans="2:69" ht="24.95" customHeight="1">
      <c r="B2" s="744"/>
      <c r="C2" s="746"/>
      <c r="D2" s="697" t="s">
        <v>217</v>
      </c>
      <c r="E2" s="697"/>
      <c r="F2" s="697" t="s">
        <v>77</v>
      </c>
      <c r="G2" s="697"/>
      <c r="H2" s="697" t="s">
        <v>78</v>
      </c>
      <c r="I2" s="697"/>
      <c r="J2" s="697" t="s">
        <v>79</v>
      </c>
      <c r="K2" s="697"/>
      <c r="L2" s="697" t="s">
        <v>71</v>
      </c>
      <c r="M2" s="697"/>
      <c r="N2" s="697" t="s">
        <v>74</v>
      </c>
      <c r="O2" s="697"/>
      <c r="P2" s="697" t="s">
        <v>75</v>
      </c>
      <c r="Q2" s="697"/>
      <c r="R2" s="697" t="s">
        <v>76</v>
      </c>
      <c r="S2" s="697"/>
      <c r="T2" s="697" t="s">
        <v>77</v>
      </c>
      <c r="U2" s="697"/>
      <c r="V2" s="697" t="s">
        <v>78</v>
      </c>
      <c r="W2" s="697"/>
      <c r="X2" s="697" t="s">
        <v>79</v>
      </c>
      <c r="Y2" s="697"/>
      <c r="Z2" s="697" t="s">
        <v>71</v>
      </c>
      <c r="AA2" s="697"/>
      <c r="AB2" s="697" t="s">
        <v>74</v>
      </c>
      <c r="AC2" s="697"/>
      <c r="AD2" s="697" t="s">
        <v>75</v>
      </c>
      <c r="AE2" s="697"/>
      <c r="AF2" s="697" t="s">
        <v>76</v>
      </c>
      <c r="AG2" s="698"/>
      <c r="AH2" s="697" t="s">
        <v>77</v>
      </c>
      <c r="AI2" s="697"/>
      <c r="AJ2" s="697" t="s">
        <v>78</v>
      </c>
      <c r="AK2" s="697"/>
      <c r="AL2" s="697" t="s">
        <v>79</v>
      </c>
      <c r="AM2" s="697"/>
      <c r="AN2" s="697" t="s">
        <v>71</v>
      </c>
      <c r="AO2" s="697"/>
      <c r="AP2" s="697" t="s">
        <v>74</v>
      </c>
      <c r="AQ2" s="697"/>
      <c r="AR2" s="697" t="s">
        <v>75</v>
      </c>
      <c r="AS2" s="697"/>
      <c r="AT2" s="697" t="s">
        <v>76</v>
      </c>
      <c r="AU2" s="697"/>
      <c r="AV2" s="697" t="s">
        <v>77</v>
      </c>
      <c r="AW2" s="697"/>
      <c r="AX2" s="697" t="s">
        <v>78</v>
      </c>
      <c r="AY2" s="697"/>
      <c r="AZ2" s="697" t="s">
        <v>79</v>
      </c>
      <c r="BA2" s="697"/>
      <c r="BB2" s="697" t="s">
        <v>71</v>
      </c>
      <c r="BC2" s="697"/>
      <c r="BD2" s="697" t="s">
        <v>74</v>
      </c>
      <c r="BE2" s="697"/>
      <c r="BF2" s="697" t="s">
        <v>75</v>
      </c>
      <c r="BG2" s="697"/>
      <c r="BH2" s="697" t="s">
        <v>76</v>
      </c>
      <c r="BI2" s="697"/>
      <c r="BJ2" s="697" t="s">
        <v>77</v>
      </c>
      <c r="BK2" s="697"/>
      <c r="BL2" s="695" t="s">
        <v>78</v>
      </c>
      <c r="BM2" s="696"/>
      <c r="BN2" s="761"/>
      <c r="BO2" s="762"/>
      <c r="BP2" s="765"/>
      <c r="BQ2" s="766"/>
    </row>
    <row r="3" spans="2:69" ht="24.95" customHeight="1">
      <c r="B3" s="744"/>
      <c r="C3" s="747"/>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584" t="s">
        <v>73</v>
      </c>
      <c r="AH3" s="552" t="s">
        <v>72</v>
      </c>
      <c r="AI3" s="583"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419" t="s">
        <v>253</v>
      </c>
      <c r="BQ3" s="99" t="s">
        <v>73</v>
      </c>
    </row>
    <row r="4" spans="2:69" ht="45" customHeight="1">
      <c r="B4" s="565" t="s">
        <v>349</v>
      </c>
      <c r="C4" s="566"/>
      <c r="D4" s="567"/>
      <c r="E4" s="569"/>
      <c r="F4" s="567"/>
      <c r="G4" s="569"/>
      <c r="H4" s="567"/>
      <c r="I4" s="569"/>
      <c r="J4" s="567"/>
      <c r="K4" s="569"/>
      <c r="L4" s="567"/>
      <c r="M4" s="569"/>
      <c r="N4" s="567"/>
      <c r="O4" s="569"/>
      <c r="P4" s="567"/>
      <c r="Q4" s="569"/>
      <c r="R4" s="567"/>
      <c r="S4" s="569"/>
      <c r="T4" s="567"/>
      <c r="U4" s="569"/>
      <c r="V4" s="567"/>
      <c r="W4" s="569"/>
      <c r="X4" s="567"/>
      <c r="Y4" s="569"/>
      <c r="Z4" s="18"/>
      <c r="AA4" s="14"/>
      <c r="AB4" s="570"/>
      <c r="AC4" s="14"/>
      <c r="AD4" s="18"/>
      <c r="AE4" s="14"/>
      <c r="AF4" s="18"/>
      <c r="AG4" s="600"/>
      <c r="AH4" s="546"/>
      <c r="AI4" s="556"/>
      <c r="AJ4" s="555"/>
      <c r="AK4" s="556"/>
      <c r="AL4" s="555"/>
      <c r="AM4" s="556"/>
      <c r="AN4" s="555"/>
      <c r="AO4" s="556"/>
      <c r="AP4" s="555"/>
      <c r="AQ4" s="556"/>
      <c r="AR4" s="555"/>
      <c r="AS4" s="556"/>
      <c r="AT4" s="555"/>
      <c r="AU4" s="556"/>
      <c r="AV4" s="555"/>
      <c r="AW4" s="556"/>
      <c r="AX4" s="555"/>
      <c r="AY4" s="556"/>
      <c r="AZ4" s="555"/>
      <c r="BA4" s="556"/>
      <c r="BB4" s="555"/>
      <c r="BC4" s="556"/>
      <c r="BD4" s="18"/>
      <c r="BE4" s="14"/>
      <c r="BF4" s="18"/>
      <c r="BG4" s="14"/>
      <c r="BH4" s="18"/>
      <c r="BI4" s="14"/>
      <c r="BJ4" s="18"/>
      <c r="BK4" s="15"/>
      <c r="BL4" s="16"/>
      <c r="BM4" s="15"/>
      <c r="BN4" s="561">
        <f>SUM(D4,F4,H4,J4,L4,N4,P4,R4,T4,V4,X4,Z4,AB4,AD4,AF4,AH4,AJ4,AL4,AN4,AP4,AR4,AT4,AV4,AX4,AZ4,BB4,BD4,BF4,BH4,BJ4,BL4)</f>
        <v>0</v>
      </c>
      <c r="BO4" s="559">
        <f>SUM(E4,G4,I4,K4,M4,O4,Q4,S4,U4,W4,Y4,AA4,AC4,AE4,AG4,AI4,AK4,AM4,AO4,AQ4,AS4,AU4,AW4,AY4,BA4,BC4,BE4,BG4,BI4,BK4,BM4)</f>
        <v>0</v>
      </c>
      <c r="BP4" s="558">
        <f>BN4</f>
        <v>0</v>
      </c>
      <c r="BQ4" s="559">
        <f>BO4</f>
        <v>0</v>
      </c>
    </row>
    <row r="5" spans="2:69" s="4" customFormat="1" ht="50.1" customHeight="1">
      <c r="B5" s="201" t="s">
        <v>7</v>
      </c>
      <c r="C5" s="145"/>
      <c r="D5" s="18"/>
      <c r="E5" s="14"/>
      <c r="F5" s="18"/>
      <c r="G5" s="14"/>
      <c r="H5" s="18"/>
      <c r="I5" s="14"/>
      <c r="J5" s="18"/>
      <c r="K5" s="14"/>
      <c r="L5" s="18"/>
      <c r="M5" s="14"/>
      <c r="N5" s="18"/>
      <c r="O5" s="14"/>
      <c r="P5" s="18"/>
      <c r="Q5" s="14"/>
      <c r="R5" s="18"/>
      <c r="S5" s="14"/>
      <c r="T5" s="18"/>
      <c r="U5" s="14"/>
      <c r="V5" s="18"/>
      <c r="W5" s="14"/>
      <c r="X5" s="18"/>
      <c r="Y5" s="14"/>
      <c r="Z5" s="18"/>
      <c r="AA5" s="14"/>
      <c r="AB5" s="570"/>
      <c r="AC5" s="14"/>
      <c r="AD5" s="18"/>
      <c r="AE5" s="14"/>
      <c r="AF5" s="18"/>
      <c r="AG5" s="600"/>
      <c r="AH5" s="601"/>
      <c r="AI5" s="569"/>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5"/>
      <c r="BL5" s="16"/>
      <c r="BM5" s="15"/>
      <c r="BN5" s="561">
        <f t="shared" ref="BN5:BN23" si="0">SUM(D5,F5,H5,J5,L5,N5,P5,R5,T5,V5,X5,Z5,AB5,AD5,AF5,AH5,AJ5,AL5,AN5,AP5,AR5,AT5,AV5,AX5,AZ5,BB5,BD5,BF5,BH5,BJ5,BL5)</f>
        <v>0</v>
      </c>
      <c r="BO5" s="559">
        <f t="shared" ref="BO5:BO23" si="1">SUM(E5,G5,I5,K5,M5,O5,Q5,S5,U5,W5,Y5,AA5,AC5,AE5,AG5,AI5,AK5,AM5,AO5,AQ5,AS5,AU5,AW5,AY5,BA5,BC5,BE5,BG5,BI5,BK5,BM5)</f>
        <v>0</v>
      </c>
      <c r="BP5" s="558">
        <f t="shared" ref="BP5:BP23" si="2">BN5</f>
        <v>0</v>
      </c>
      <c r="BQ5" s="559">
        <f t="shared" ref="BQ5:BQ23" si="3">BO5</f>
        <v>0</v>
      </c>
    </row>
    <row r="6" spans="2:69" s="4" customFormat="1" ht="50.1" customHeight="1">
      <c r="B6" s="201" t="s">
        <v>223</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600"/>
      <c r="AH6" s="602"/>
      <c r="AI6" s="569"/>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5"/>
      <c r="BN6" s="561">
        <f t="shared" si="0"/>
        <v>0</v>
      </c>
      <c r="BO6" s="559">
        <f t="shared" si="1"/>
        <v>0</v>
      </c>
      <c r="BP6" s="558">
        <f t="shared" si="2"/>
        <v>0</v>
      </c>
      <c r="BQ6" s="559">
        <f t="shared" si="3"/>
        <v>0</v>
      </c>
    </row>
    <row r="7" spans="2:69" s="4" customFormat="1" ht="50.1" customHeight="1">
      <c r="B7" s="201" t="s">
        <v>142</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600"/>
      <c r="AH7" s="602"/>
      <c r="AI7" s="569"/>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561">
        <f t="shared" si="0"/>
        <v>0</v>
      </c>
      <c r="BO7" s="559">
        <f t="shared" si="1"/>
        <v>0</v>
      </c>
      <c r="BP7" s="558">
        <f t="shared" si="2"/>
        <v>0</v>
      </c>
      <c r="BQ7" s="559">
        <f t="shared" si="3"/>
        <v>0</v>
      </c>
    </row>
    <row r="8" spans="2:69" s="4" customFormat="1" ht="50.1" customHeight="1">
      <c r="B8" s="201" t="s">
        <v>6</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600"/>
      <c r="AH8" s="602"/>
      <c r="AI8" s="569"/>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561">
        <f t="shared" si="0"/>
        <v>0</v>
      </c>
      <c r="BO8" s="559">
        <f t="shared" si="1"/>
        <v>0</v>
      </c>
      <c r="BP8" s="558">
        <f t="shared" si="2"/>
        <v>0</v>
      </c>
      <c r="BQ8" s="559">
        <f t="shared" si="3"/>
        <v>0</v>
      </c>
    </row>
    <row r="9" spans="2:69" s="4" customFormat="1" ht="50.1" customHeight="1">
      <c r="B9" s="201" t="s">
        <v>117</v>
      </c>
      <c r="C9" s="146"/>
      <c r="D9" s="13"/>
      <c r="E9" s="14"/>
      <c r="F9" s="13"/>
      <c r="G9" s="14"/>
      <c r="H9" s="13"/>
      <c r="I9" s="14"/>
      <c r="J9" s="13"/>
      <c r="K9" s="14"/>
      <c r="L9" s="13"/>
      <c r="M9" s="14"/>
      <c r="N9" s="13"/>
      <c r="O9" s="14"/>
      <c r="P9" s="13">
        <v>1</v>
      </c>
      <c r="Q9" s="14">
        <v>1</v>
      </c>
      <c r="R9" s="13"/>
      <c r="S9" s="14"/>
      <c r="T9" s="13"/>
      <c r="U9" s="14"/>
      <c r="V9" s="13"/>
      <c r="W9" s="14"/>
      <c r="X9" s="13"/>
      <c r="Y9" s="14"/>
      <c r="Z9" s="13"/>
      <c r="AA9" s="15"/>
      <c r="AB9" s="16"/>
      <c r="AC9" s="15"/>
      <c r="AD9" s="16"/>
      <c r="AE9" s="15"/>
      <c r="AF9" s="16"/>
      <c r="AG9" s="600"/>
      <c r="AH9" s="602"/>
      <c r="AI9" s="569"/>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561">
        <f t="shared" si="0"/>
        <v>1</v>
      </c>
      <c r="BO9" s="559">
        <f t="shared" si="1"/>
        <v>1</v>
      </c>
      <c r="BP9" s="558">
        <f t="shared" si="2"/>
        <v>1</v>
      </c>
      <c r="BQ9" s="559">
        <f t="shared" si="3"/>
        <v>1</v>
      </c>
    </row>
    <row r="10" spans="2:69" s="4" customFormat="1" ht="50.1" customHeight="1">
      <c r="B10" s="201" t="s">
        <v>355</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600"/>
      <c r="AH10" s="602"/>
      <c r="AI10" s="569"/>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561">
        <f t="shared" si="0"/>
        <v>0</v>
      </c>
      <c r="BO10" s="559">
        <f t="shared" si="1"/>
        <v>0</v>
      </c>
      <c r="BP10" s="558">
        <f t="shared" si="2"/>
        <v>0</v>
      </c>
      <c r="BQ10" s="559">
        <f t="shared" si="3"/>
        <v>0</v>
      </c>
    </row>
    <row r="11" spans="2:69" s="4" customFormat="1" ht="50.1" customHeight="1">
      <c r="B11" s="201" t="s">
        <v>207</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600"/>
      <c r="AH11" s="602"/>
      <c r="AI11" s="569"/>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561">
        <f t="shared" si="0"/>
        <v>0</v>
      </c>
      <c r="BO11" s="559">
        <f t="shared" si="1"/>
        <v>0</v>
      </c>
      <c r="BP11" s="558">
        <f t="shared" si="2"/>
        <v>0</v>
      </c>
      <c r="BQ11" s="559">
        <f t="shared" si="3"/>
        <v>0</v>
      </c>
    </row>
    <row r="12" spans="2:69" s="4" customFormat="1" ht="50.1" customHeight="1">
      <c r="B12" s="201" t="s">
        <v>13</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600"/>
      <c r="AH12" s="602"/>
      <c r="AI12" s="569"/>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561">
        <f t="shared" si="0"/>
        <v>0</v>
      </c>
      <c r="BO12" s="559">
        <f t="shared" si="1"/>
        <v>0</v>
      </c>
      <c r="BP12" s="558">
        <f t="shared" si="2"/>
        <v>0</v>
      </c>
      <c r="BQ12" s="559">
        <f t="shared" si="3"/>
        <v>0</v>
      </c>
    </row>
    <row r="13" spans="2:69" s="4" customFormat="1" ht="50.1" customHeight="1">
      <c r="B13" s="202" t="s">
        <v>139</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600"/>
      <c r="AH13" s="602"/>
      <c r="AI13" s="569"/>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561">
        <f t="shared" si="0"/>
        <v>0</v>
      </c>
      <c r="BO13" s="559">
        <f t="shared" si="1"/>
        <v>0</v>
      </c>
      <c r="BP13" s="558">
        <f t="shared" si="2"/>
        <v>0</v>
      </c>
      <c r="BQ13" s="559">
        <f t="shared" si="3"/>
        <v>0</v>
      </c>
    </row>
    <row r="14" spans="2:69" s="4" customFormat="1" ht="50.1" customHeight="1">
      <c r="B14" s="202" t="s">
        <v>34</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600"/>
      <c r="AH14" s="602"/>
      <c r="AI14" s="569"/>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561">
        <f t="shared" si="0"/>
        <v>0</v>
      </c>
      <c r="BO14" s="559">
        <f t="shared" si="1"/>
        <v>0</v>
      </c>
      <c r="BP14" s="558">
        <f t="shared" si="2"/>
        <v>0</v>
      </c>
      <c r="BQ14" s="559">
        <f t="shared" si="3"/>
        <v>0</v>
      </c>
    </row>
    <row r="15" spans="2:69" s="4" customFormat="1" ht="50.1" customHeight="1">
      <c r="B15" s="201" t="s">
        <v>206</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600"/>
      <c r="AH15" s="602"/>
      <c r="AI15" s="569"/>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561">
        <f t="shared" si="0"/>
        <v>0</v>
      </c>
      <c r="BO15" s="559">
        <f t="shared" si="1"/>
        <v>0</v>
      </c>
      <c r="BP15" s="558">
        <f t="shared" si="2"/>
        <v>0</v>
      </c>
      <c r="BQ15" s="559">
        <f t="shared" si="3"/>
        <v>0</v>
      </c>
    </row>
    <row r="16" spans="2:69" s="4" customFormat="1" ht="50.1" customHeight="1">
      <c r="B16" s="201" t="s">
        <v>184</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600"/>
      <c r="AH16" s="602"/>
      <c r="AI16" s="569"/>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561">
        <f t="shared" si="0"/>
        <v>0</v>
      </c>
      <c r="BO16" s="559">
        <f t="shared" si="1"/>
        <v>0</v>
      </c>
      <c r="BP16" s="558">
        <f t="shared" si="2"/>
        <v>0</v>
      </c>
      <c r="BQ16" s="559">
        <f t="shared" si="3"/>
        <v>0</v>
      </c>
    </row>
    <row r="17" spans="2:69" s="4" customFormat="1" ht="45" customHeight="1">
      <c r="B17" s="494" t="s">
        <v>510</v>
      </c>
      <c r="C17" s="484"/>
      <c r="D17" s="568"/>
      <c r="E17" s="486"/>
      <c r="F17" s="568"/>
      <c r="G17" s="486"/>
      <c r="H17" s="568"/>
      <c r="I17" s="486"/>
      <c r="J17" s="568"/>
      <c r="K17" s="486"/>
      <c r="L17" s="568"/>
      <c r="M17" s="486"/>
      <c r="N17" s="568"/>
      <c r="O17" s="486"/>
      <c r="P17" s="568"/>
      <c r="Q17" s="486"/>
      <c r="R17" s="568"/>
      <c r="S17" s="486"/>
      <c r="T17" s="568"/>
      <c r="U17" s="486"/>
      <c r="V17" s="568"/>
      <c r="W17" s="486"/>
      <c r="X17" s="568"/>
      <c r="Y17" s="486"/>
      <c r="Z17" s="568"/>
      <c r="AA17" s="487"/>
      <c r="AB17" s="502"/>
      <c r="AC17" s="487"/>
      <c r="AD17" s="502"/>
      <c r="AE17" s="487"/>
      <c r="AF17" s="502"/>
      <c r="AG17" s="557"/>
      <c r="AH17" s="602"/>
      <c r="AI17" s="569"/>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561">
        <f t="shared" si="0"/>
        <v>0</v>
      </c>
      <c r="BO17" s="559">
        <f t="shared" si="1"/>
        <v>0</v>
      </c>
      <c r="BP17" s="558">
        <f t="shared" si="2"/>
        <v>0</v>
      </c>
      <c r="BQ17" s="559">
        <f t="shared" si="3"/>
        <v>0</v>
      </c>
    </row>
    <row r="18" spans="2:69" s="4" customFormat="1" ht="15.95" customHeight="1">
      <c r="B18" s="154"/>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600"/>
      <c r="AH18" s="602"/>
      <c r="AI18" s="569"/>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561">
        <f t="shared" si="0"/>
        <v>0</v>
      </c>
      <c r="BO18" s="559">
        <f t="shared" si="1"/>
        <v>0</v>
      </c>
      <c r="BP18" s="558">
        <f t="shared" si="2"/>
        <v>0</v>
      </c>
      <c r="BQ18" s="559">
        <f t="shared" si="3"/>
        <v>0</v>
      </c>
    </row>
    <row r="19" spans="2:69" s="4" customFormat="1" ht="15.95" customHeight="1">
      <c r="B19" s="154"/>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600"/>
      <c r="AH19" s="602"/>
      <c r="AI19" s="569"/>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561">
        <f t="shared" si="0"/>
        <v>0</v>
      </c>
      <c r="BO19" s="559">
        <f t="shared" si="1"/>
        <v>0</v>
      </c>
      <c r="BP19" s="558">
        <f t="shared" si="2"/>
        <v>0</v>
      </c>
      <c r="BQ19" s="559">
        <f t="shared" si="3"/>
        <v>0</v>
      </c>
    </row>
    <row r="20" spans="2:69" s="4" customFormat="1" ht="15.95" customHeight="1">
      <c r="B20" s="154"/>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600"/>
      <c r="AH20" s="602"/>
      <c r="AI20" s="569"/>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561">
        <f t="shared" si="0"/>
        <v>0</v>
      </c>
      <c r="BO20" s="559">
        <f t="shared" si="1"/>
        <v>0</v>
      </c>
      <c r="BP20" s="558">
        <f t="shared" si="2"/>
        <v>0</v>
      </c>
      <c r="BQ20" s="559">
        <f t="shared" si="3"/>
        <v>0</v>
      </c>
    </row>
    <row r="21" spans="2:69" s="4" customFormat="1" ht="15.95" customHeight="1">
      <c r="B21" s="154"/>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600"/>
      <c r="AH21" s="602"/>
      <c r="AI21" s="569"/>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561">
        <f t="shared" si="0"/>
        <v>0</v>
      </c>
      <c r="BO21" s="559">
        <f t="shared" si="1"/>
        <v>0</v>
      </c>
      <c r="BP21" s="558">
        <f t="shared" si="2"/>
        <v>0</v>
      </c>
      <c r="BQ21" s="559">
        <f t="shared" si="3"/>
        <v>0</v>
      </c>
    </row>
    <row r="22" spans="2:69" s="4" customFormat="1" ht="15.95" customHeight="1">
      <c r="B22" s="154"/>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600"/>
      <c r="AH22" s="603"/>
      <c r="AI22" s="593"/>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1"/>
      <c r="BN22" s="561">
        <f t="shared" si="0"/>
        <v>0</v>
      </c>
      <c r="BO22" s="559">
        <f t="shared" si="1"/>
        <v>0</v>
      </c>
      <c r="BP22" s="558">
        <f t="shared" si="2"/>
        <v>0</v>
      </c>
      <c r="BQ22" s="559">
        <f t="shared" si="3"/>
        <v>0</v>
      </c>
    </row>
    <row r="23" spans="2:69" s="4" customFormat="1" ht="50.1" customHeight="1" thickBot="1">
      <c r="B23" s="112" t="s">
        <v>70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600"/>
      <c r="AH23" s="26"/>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5"/>
      <c r="BN23" s="561">
        <f t="shared" si="0"/>
        <v>0</v>
      </c>
      <c r="BO23" s="559">
        <f t="shared" si="1"/>
        <v>0</v>
      </c>
      <c r="BP23" s="558">
        <f t="shared" si="2"/>
        <v>0</v>
      </c>
      <c r="BQ23" s="559">
        <f t="shared" si="3"/>
        <v>0</v>
      </c>
    </row>
    <row r="24" spans="2:69" s="4" customFormat="1" ht="54" customHeight="1" thickBot="1">
      <c r="B24" s="119" t="s">
        <v>101</v>
      </c>
      <c r="C24" s="149"/>
      <c r="D24" s="28">
        <f t="shared" ref="D24:AI24" si="4">SUM(D4:D23)</f>
        <v>0</v>
      </c>
      <c r="E24" s="29">
        <f t="shared" si="4"/>
        <v>0</v>
      </c>
      <c r="F24" s="30">
        <f t="shared" si="4"/>
        <v>0</v>
      </c>
      <c r="G24" s="31">
        <f t="shared" si="4"/>
        <v>0</v>
      </c>
      <c r="H24" s="30">
        <f t="shared" si="4"/>
        <v>0</v>
      </c>
      <c r="I24" s="31">
        <f t="shared" si="4"/>
        <v>0</v>
      </c>
      <c r="J24" s="30">
        <f t="shared" si="4"/>
        <v>0</v>
      </c>
      <c r="K24" s="31">
        <f t="shared" si="4"/>
        <v>0</v>
      </c>
      <c r="L24" s="30">
        <f t="shared" si="4"/>
        <v>0</v>
      </c>
      <c r="M24" s="31">
        <f t="shared" si="4"/>
        <v>0</v>
      </c>
      <c r="N24" s="30">
        <f t="shared" si="4"/>
        <v>0</v>
      </c>
      <c r="O24" s="31">
        <f t="shared" si="4"/>
        <v>0</v>
      </c>
      <c r="P24" s="30">
        <f t="shared" si="4"/>
        <v>1</v>
      </c>
      <c r="Q24" s="31">
        <f t="shared" si="4"/>
        <v>1</v>
      </c>
      <c r="R24" s="30">
        <f t="shared" si="4"/>
        <v>0</v>
      </c>
      <c r="S24" s="31">
        <f t="shared" si="4"/>
        <v>0</v>
      </c>
      <c r="T24" s="30">
        <f t="shared" si="4"/>
        <v>0</v>
      </c>
      <c r="U24" s="31">
        <f t="shared" si="4"/>
        <v>0</v>
      </c>
      <c r="V24" s="30">
        <f t="shared" si="4"/>
        <v>0</v>
      </c>
      <c r="W24" s="31">
        <f t="shared" si="4"/>
        <v>0</v>
      </c>
      <c r="X24" s="30">
        <f t="shared" si="4"/>
        <v>0</v>
      </c>
      <c r="Y24" s="31">
        <f t="shared" si="4"/>
        <v>0</v>
      </c>
      <c r="Z24" s="30">
        <f t="shared" si="4"/>
        <v>0</v>
      </c>
      <c r="AA24" s="31">
        <f t="shared" si="4"/>
        <v>0</v>
      </c>
      <c r="AB24" s="30">
        <f t="shared" si="4"/>
        <v>0</v>
      </c>
      <c r="AC24" s="31">
        <f t="shared" si="4"/>
        <v>0</v>
      </c>
      <c r="AD24" s="30">
        <f t="shared" si="4"/>
        <v>0</v>
      </c>
      <c r="AE24" s="31">
        <f t="shared" si="4"/>
        <v>0</v>
      </c>
      <c r="AF24" s="30">
        <f t="shared" si="4"/>
        <v>0</v>
      </c>
      <c r="AG24" s="41">
        <f t="shared" si="4"/>
        <v>0</v>
      </c>
      <c r="AH24" s="30">
        <f t="shared" si="4"/>
        <v>0</v>
      </c>
      <c r="AI24" s="91">
        <f t="shared" si="4"/>
        <v>0</v>
      </c>
      <c r="AJ24" s="30">
        <f t="shared" ref="AJ24:BO24" si="5">SUM(AJ4:AJ23)</f>
        <v>0</v>
      </c>
      <c r="AK24" s="31">
        <f t="shared" si="5"/>
        <v>0</v>
      </c>
      <c r="AL24" s="30">
        <f t="shared" si="5"/>
        <v>0</v>
      </c>
      <c r="AM24" s="31">
        <f t="shared" si="5"/>
        <v>0</v>
      </c>
      <c r="AN24" s="30">
        <f t="shared" si="5"/>
        <v>0</v>
      </c>
      <c r="AO24" s="31">
        <f t="shared" si="5"/>
        <v>0</v>
      </c>
      <c r="AP24" s="30">
        <f t="shared" si="5"/>
        <v>0</v>
      </c>
      <c r="AQ24" s="31">
        <f t="shared" si="5"/>
        <v>0</v>
      </c>
      <c r="AR24" s="30">
        <f t="shared" si="5"/>
        <v>0</v>
      </c>
      <c r="AS24" s="31">
        <f t="shared" si="5"/>
        <v>0</v>
      </c>
      <c r="AT24" s="30">
        <f t="shared" si="5"/>
        <v>0</v>
      </c>
      <c r="AU24" s="31">
        <f t="shared" si="5"/>
        <v>0</v>
      </c>
      <c r="AV24" s="30">
        <f t="shared" si="5"/>
        <v>0</v>
      </c>
      <c r="AW24" s="31">
        <f t="shared" si="5"/>
        <v>0</v>
      </c>
      <c r="AX24" s="30">
        <f t="shared" si="5"/>
        <v>0</v>
      </c>
      <c r="AY24" s="31">
        <f t="shared" si="5"/>
        <v>0</v>
      </c>
      <c r="AZ24" s="30">
        <f t="shared" si="5"/>
        <v>0</v>
      </c>
      <c r="BA24" s="31">
        <f t="shared" si="5"/>
        <v>0</v>
      </c>
      <c r="BB24" s="30">
        <f t="shared" si="5"/>
        <v>0</v>
      </c>
      <c r="BC24" s="31">
        <f t="shared" si="5"/>
        <v>0</v>
      </c>
      <c r="BD24" s="30">
        <f t="shared" si="5"/>
        <v>0</v>
      </c>
      <c r="BE24" s="31">
        <f t="shared" si="5"/>
        <v>0</v>
      </c>
      <c r="BF24" s="30">
        <f t="shared" si="5"/>
        <v>0</v>
      </c>
      <c r="BG24" s="31">
        <f t="shared" si="5"/>
        <v>0</v>
      </c>
      <c r="BH24" s="30">
        <f t="shared" si="5"/>
        <v>0</v>
      </c>
      <c r="BI24" s="31">
        <f t="shared" si="5"/>
        <v>0</v>
      </c>
      <c r="BJ24" s="30">
        <f t="shared" si="5"/>
        <v>0</v>
      </c>
      <c r="BK24" s="31">
        <f t="shared" si="5"/>
        <v>0</v>
      </c>
      <c r="BL24" s="30">
        <f t="shared" si="5"/>
        <v>0</v>
      </c>
      <c r="BM24" s="31">
        <f t="shared" si="5"/>
        <v>0</v>
      </c>
      <c r="BN24" s="32">
        <f t="shared" si="5"/>
        <v>1</v>
      </c>
      <c r="BO24" s="33">
        <f t="shared" si="5"/>
        <v>1</v>
      </c>
      <c r="BP24" s="243">
        <f>SUM(BP4:BP23)</f>
        <v>1</v>
      </c>
      <c r="BQ24" s="244">
        <f>SUM(BQ4:BQ23)</f>
        <v>1</v>
      </c>
    </row>
    <row r="25" spans="2:69" ht="24" customHeight="1" thickBot="1">
      <c r="B25" s="120"/>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245"/>
      <c r="BQ25" s="246"/>
    </row>
    <row r="26" spans="2:69" ht="28.5" customHeight="1" thickBot="1">
      <c r="B26" s="120"/>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43" t="s">
        <v>213</v>
      </c>
      <c r="C27" s="749">
        <f>COUNTIF(B30:B53,"*")</f>
        <v>17</v>
      </c>
      <c r="D27" s="751">
        <v>1</v>
      </c>
      <c r="E27" s="738"/>
      <c r="F27" s="737">
        <v>2</v>
      </c>
      <c r="G27" s="738"/>
      <c r="H27" s="737">
        <v>3</v>
      </c>
      <c r="I27" s="738"/>
      <c r="J27" s="737">
        <v>4</v>
      </c>
      <c r="K27" s="738"/>
      <c r="L27" s="737">
        <v>5</v>
      </c>
      <c r="M27" s="738"/>
      <c r="N27" s="737">
        <v>6</v>
      </c>
      <c r="O27" s="738"/>
      <c r="P27" s="737">
        <v>7</v>
      </c>
      <c r="Q27" s="738"/>
      <c r="R27" s="737">
        <v>8</v>
      </c>
      <c r="S27" s="738"/>
      <c r="T27" s="737">
        <v>9</v>
      </c>
      <c r="U27" s="738"/>
      <c r="V27" s="737">
        <v>10</v>
      </c>
      <c r="W27" s="738"/>
      <c r="X27" s="737">
        <v>11</v>
      </c>
      <c r="Y27" s="738"/>
      <c r="Z27" s="737">
        <v>12</v>
      </c>
      <c r="AA27" s="738"/>
      <c r="AB27" s="737">
        <v>13</v>
      </c>
      <c r="AC27" s="738"/>
      <c r="AD27" s="737">
        <v>14</v>
      </c>
      <c r="AE27" s="738"/>
      <c r="AF27" s="737">
        <v>15</v>
      </c>
      <c r="AG27" s="738"/>
      <c r="AH27" s="738">
        <v>16</v>
      </c>
      <c r="AI27" s="741"/>
      <c r="AJ27" s="741">
        <v>17</v>
      </c>
      <c r="AK27" s="741"/>
      <c r="AL27" s="741">
        <v>18</v>
      </c>
      <c r="AM27" s="741"/>
      <c r="AN27" s="741">
        <v>19</v>
      </c>
      <c r="AO27" s="741"/>
      <c r="AP27" s="741">
        <v>20</v>
      </c>
      <c r="AQ27" s="741"/>
      <c r="AR27" s="741">
        <v>21</v>
      </c>
      <c r="AS27" s="741"/>
      <c r="AT27" s="741">
        <v>22</v>
      </c>
      <c r="AU27" s="741"/>
      <c r="AV27" s="741">
        <v>23</v>
      </c>
      <c r="AW27" s="741"/>
      <c r="AX27" s="741">
        <v>24</v>
      </c>
      <c r="AY27" s="741"/>
      <c r="AZ27" s="741">
        <v>25</v>
      </c>
      <c r="BA27" s="741"/>
      <c r="BB27" s="741">
        <v>26</v>
      </c>
      <c r="BC27" s="741"/>
      <c r="BD27" s="741">
        <v>27</v>
      </c>
      <c r="BE27" s="741"/>
      <c r="BF27" s="741">
        <v>28</v>
      </c>
      <c r="BG27" s="741"/>
      <c r="BH27" s="741">
        <v>29</v>
      </c>
      <c r="BI27" s="741"/>
      <c r="BJ27" s="741">
        <v>30</v>
      </c>
      <c r="BK27" s="741"/>
      <c r="BL27" s="741">
        <v>31</v>
      </c>
      <c r="BM27" s="741"/>
      <c r="BN27" s="738" t="s">
        <v>251</v>
      </c>
      <c r="BO27" s="760"/>
      <c r="BP27" s="763" t="s">
        <v>354</v>
      </c>
      <c r="BQ27" s="764"/>
    </row>
    <row r="28" spans="2:69" ht="24.95" customHeight="1">
      <c r="B28" s="744"/>
      <c r="C28" s="747"/>
      <c r="D28" s="752" t="str">
        <f>D2</f>
        <v>水</v>
      </c>
      <c r="E28" s="740"/>
      <c r="F28" s="739" t="str">
        <f>F2</f>
        <v>木</v>
      </c>
      <c r="G28" s="740"/>
      <c r="H28" s="739" t="str">
        <f>H2</f>
        <v>金</v>
      </c>
      <c r="I28" s="740"/>
      <c r="J28" s="739" t="str">
        <f>J2</f>
        <v>土</v>
      </c>
      <c r="K28" s="740"/>
      <c r="L28" s="739" t="str">
        <f>L2</f>
        <v>日</v>
      </c>
      <c r="M28" s="740"/>
      <c r="N28" s="739" t="str">
        <f>N2</f>
        <v>月</v>
      </c>
      <c r="O28" s="740"/>
      <c r="P28" s="739" t="str">
        <f>P2</f>
        <v>火</v>
      </c>
      <c r="Q28" s="740"/>
      <c r="R28" s="739" t="str">
        <f>R2</f>
        <v>水</v>
      </c>
      <c r="S28" s="740"/>
      <c r="T28" s="739" t="str">
        <f>T2</f>
        <v>木</v>
      </c>
      <c r="U28" s="740"/>
      <c r="V28" s="739" t="str">
        <f>V2</f>
        <v>金</v>
      </c>
      <c r="W28" s="740"/>
      <c r="X28" s="739" t="str">
        <f>X2</f>
        <v>土</v>
      </c>
      <c r="Y28" s="740"/>
      <c r="Z28" s="739" t="str">
        <f>Z2</f>
        <v>日</v>
      </c>
      <c r="AA28" s="740"/>
      <c r="AB28" s="739" t="str">
        <f>AB2</f>
        <v>月</v>
      </c>
      <c r="AC28" s="740"/>
      <c r="AD28" s="739" t="str">
        <f>AD2</f>
        <v>火</v>
      </c>
      <c r="AE28" s="740"/>
      <c r="AF28" s="739" t="str">
        <f>AF2</f>
        <v>水</v>
      </c>
      <c r="AG28" s="740"/>
      <c r="AH28" s="767" t="str">
        <f>AH2</f>
        <v>木</v>
      </c>
      <c r="AI28" s="767"/>
      <c r="AJ28" s="768" t="str">
        <f>AJ2</f>
        <v>金</v>
      </c>
      <c r="AK28" s="769"/>
      <c r="AL28" s="768" t="str">
        <f>AL2</f>
        <v>土</v>
      </c>
      <c r="AM28" s="769"/>
      <c r="AN28" s="768" t="str">
        <f>AN2</f>
        <v>日</v>
      </c>
      <c r="AO28" s="769"/>
      <c r="AP28" s="768" t="str">
        <f>AP2</f>
        <v>月</v>
      </c>
      <c r="AQ28" s="769"/>
      <c r="AR28" s="768" t="str">
        <f>AR2</f>
        <v>火</v>
      </c>
      <c r="AS28" s="769"/>
      <c r="AT28" s="768" t="str">
        <f>AT2</f>
        <v>水</v>
      </c>
      <c r="AU28" s="769"/>
      <c r="AV28" s="768" t="str">
        <f>AV2</f>
        <v>木</v>
      </c>
      <c r="AW28" s="769"/>
      <c r="AX28" s="768" t="str">
        <f>AX2</f>
        <v>金</v>
      </c>
      <c r="AY28" s="769"/>
      <c r="AZ28" s="768" t="str">
        <f>AZ2</f>
        <v>土</v>
      </c>
      <c r="BA28" s="769"/>
      <c r="BB28" s="768" t="str">
        <f>BB2</f>
        <v>日</v>
      </c>
      <c r="BC28" s="769"/>
      <c r="BD28" s="768" t="str">
        <f>BD2</f>
        <v>月</v>
      </c>
      <c r="BE28" s="769"/>
      <c r="BF28" s="768" t="str">
        <f>BF2</f>
        <v>火</v>
      </c>
      <c r="BG28" s="769"/>
      <c r="BH28" s="768" t="str">
        <f>BH2</f>
        <v>水</v>
      </c>
      <c r="BI28" s="769"/>
      <c r="BJ28" s="768" t="str">
        <f>BJ2</f>
        <v>木</v>
      </c>
      <c r="BK28" s="769"/>
      <c r="BL28" s="768" t="str">
        <f>BL2</f>
        <v>金</v>
      </c>
      <c r="BM28" s="769"/>
      <c r="BN28" s="761"/>
      <c r="BO28" s="762"/>
      <c r="BP28" s="765"/>
      <c r="BQ28" s="766"/>
    </row>
    <row r="29" spans="2:69" ht="24.95" customHeight="1" thickBot="1">
      <c r="B29" s="748"/>
      <c r="C29" s="750"/>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3"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
        <v>37</v>
      </c>
      <c r="C30" s="145"/>
      <c r="D30" s="18"/>
      <c r="E30" s="14"/>
      <c r="F30" s="18"/>
      <c r="G30" s="14"/>
      <c r="H30" s="18">
        <v>2</v>
      </c>
      <c r="I30" s="14">
        <v>4</v>
      </c>
      <c r="J30" s="18"/>
      <c r="K30" s="14"/>
      <c r="L30" s="18"/>
      <c r="M30" s="14"/>
      <c r="N30" s="18"/>
      <c r="O30" s="14"/>
      <c r="P30" s="18"/>
      <c r="Q30" s="14"/>
      <c r="R30" s="18"/>
      <c r="S30" s="14"/>
      <c r="T30" s="18"/>
      <c r="U30" s="14"/>
      <c r="V30" s="18"/>
      <c r="W30" s="14"/>
      <c r="X30" s="18"/>
      <c r="Y30" s="14"/>
      <c r="Z30" s="18"/>
      <c r="AA30" s="14"/>
      <c r="AB30" s="18"/>
      <c r="AC30" s="14"/>
      <c r="AD30" s="18"/>
      <c r="AE30" s="14"/>
      <c r="AF30" s="601"/>
      <c r="AG30" s="569"/>
      <c r="AH30" s="567"/>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8"/>
      <c r="BK30" s="15"/>
      <c r="BL30" s="16"/>
      <c r="BM30" s="15"/>
      <c r="BN30" s="561">
        <f>SUM(D30,F30,H30,J30,L30,N30,P30,R30,T30,V30,X30,Z30,AB30,AD30,AF30,AH30,AJ30,AL30,AN30,AP30,AR30,AT30,AV30,AX30,AZ30,BB30,BD30,BF30,BH30,BJ30,BL30)</f>
        <v>2</v>
      </c>
      <c r="BO30" s="559">
        <f>SUM(E30,G30,I30,K30,M30,O30,Q30,S30,U30,W30,Y30,AA30,AC30,AE30,AG30,AI30,AK30,AM30,AO30,AQ30,AS30,AU30,AW30,AY30,BA30,BC30,BE30,BG30,BI30,BK30,BM30)</f>
        <v>4</v>
      </c>
      <c r="BP30" s="558">
        <f>BN30</f>
        <v>2</v>
      </c>
      <c r="BQ30" s="559">
        <f>BO30</f>
        <v>4</v>
      </c>
    </row>
    <row r="31" spans="2:69" s="4" customFormat="1" ht="50.1" customHeight="1">
      <c r="B31" s="201" t="s">
        <v>8</v>
      </c>
      <c r="C31" s="146"/>
      <c r="D31" s="13"/>
      <c r="E31" s="14"/>
      <c r="F31" s="13"/>
      <c r="G31" s="14"/>
      <c r="H31" s="13"/>
      <c r="I31" s="14"/>
      <c r="J31" s="13"/>
      <c r="K31" s="14"/>
      <c r="L31" s="13"/>
      <c r="M31" s="14"/>
      <c r="N31" s="13">
        <v>1</v>
      </c>
      <c r="O31" s="14">
        <v>3</v>
      </c>
      <c r="P31" s="13"/>
      <c r="Q31" s="14"/>
      <c r="R31" s="13"/>
      <c r="S31" s="14"/>
      <c r="T31" s="13"/>
      <c r="U31" s="14"/>
      <c r="V31" s="13"/>
      <c r="W31" s="14"/>
      <c r="X31" s="13"/>
      <c r="Y31" s="14"/>
      <c r="Z31" s="13"/>
      <c r="AA31" s="15"/>
      <c r="AB31" s="16"/>
      <c r="AC31" s="15"/>
      <c r="AD31" s="16"/>
      <c r="AE31" s="15"/>
      <c r="AF31" s="602"/>
      <c r="AG31" s="569"/>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561">
        <f t="shared" ref="BN31:BN46" si="6">SUM(D31,F31,H31,J31,L31,N31,P31,R31,T31,V31,X31,Z31,AB31,AD31,AF31,AH31,AJ31,AL31,AN31,AP31,AR31,AT31,AV31,AX31,AZ31,BB31,BD31,BF31,BH31,BJ31,BL31)</f>
        <v>1</v>
      </c>
      <c r="BO31" s="559">
        <f t="shared" ref="BO31:BO46" si="7">SUM(E31,G31,I31,K31,M31,O31,Q31,S31,U31,W31,Y31,AA31,AC31,AE31,AG31,AI31,AK31,AM31,AO31,AQ31,AS31,AU31,AW31,AY31,BA31,BC31,BE31,BG31,BI31,BK31,BM31)</f>
        <v>3</v>
      </c>
      <c r="BP31" s="558">
        <f t="shared" ref="BP31:BP46" si="8">BN31</f>
        <v>1</v>
      </c>
      <c r="BQ31" s="559">
        <f t="shared" ref="BQ31:BQ46" si="9">BO31</f>
        <v>3</v>
      </c>
    </row>
    <row r="32" spans="2:69" s="4" customFormat="1" ht="50.1" customHeight="1">
      <c r="B32" s="201" t="s">
        <v>219</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v>2</v>
      </c>
      <c r="AE32" s="15">
        <v>2</v>
      </c>
      <c r="AF32" s="602">
        <v>1</v>
      </c>
      <c r="AG32" s="569">
        <v>1</v>
      </c>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561">
        <f t="shared" si="6"/>
        <v>3</v>
      </c>
      <c r="BO32" s="559">
        <f t="shared" si="7"/>
        <v>3</v>
      </c>
      <c r="BP32" s="558">
        <f t="shared" si="8"/>
        <v>3</v>
      </c>
      <c r="BQ32" s="559">
        <f t="shared" si="9"/>
        <v>3</v>
      </c>
    </row>
    <row r="33" spans="2:69" s="4" customFormat="1" ht="50.1" customHeight="1">
      <c r="B33" s="201" t="s">
        <v>17</v>
      </c>
      <c r="C33" s="146"/>
      <c r="D33" s="13"/>
      <c r="E33" s="14"/>
      <c r="F33" s="13"/>
      <c r="G33" s="14"/>
      <c r="H33" s="13">
        <v>2</v>
      </c>
      <c r="I33" s="14">
        <v>2</v>
      </c>
      <c r="J33" s="13"/>
      <c r="K33" s="14"/>
      <c r="L33" s="13"/>
      <c r="M33" s="14"/>
      <c r="N33" s="13"/>
      <c r="O33" s="14"/>
      <c r="P33" s="13"/>
      <c r="Q33" s="14"/>
      <c r="R33" s="13"/>
      <c r="S33" s="14"/>
      <c r="T33" s="13"/>
      <c r="U33" s="14"/>
      <c r="V33" s="13"/>
      <c r="W33" s="14"/>
      <c r="X33" s="13"/>
      <c r="Y33" s="14"/>
      <c r="Z33" s="13"/>
      <c r="AA33" s="15"/>
      <c r="AB33" s="16"/>
      <c r="AC33" s="15"/>
      <c r="AD33" s="16"/>
      <c r="AE33" s="15"/>
      <c r="AF33" s="602"/>
      <c r="AG33" s="569"/>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561">
        <f t="shared" si="6"/>
        <v>2</v>
      </c>
      <c r="BO33" s="559">
        <f t="shared" si="7"/>
        <v>2</v>
      </c>
      <c r="BP33" s="558">
        <f t="shared" si="8"/>
        <v>2</v>
      </c>
      <c r="BQ33" s="559">
        <f t="shared" si="9"/>
        <v>2</v>
      </c>
    </row>
    <row r="34" spans="2:69" s="4" customFormat="1" ht="50.1" customHeight="1">
      <c r="B34" s="201" t="s">
        <v>10</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602"/>
      <c r="AG34" s="569"/>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561">
        <f t="shared" si="6"/>
        <v>0</v>
      </c>
      <c r="BO34" s="559">
        <f t="shared" si="7"/>
        <v>0</v>
      </c>
      <c r="BP34" s="558">
        <f t="shared" si="8"/>
        <v>0</v>
      </c>
      <c r="BQ34" s="559">
        <f t="shared" si="9"/>
        <v>0</v>
      </c>
    </row>
    <row r="35" spans="2:69" s="4" customFormat="1" ht="50.1" customHeight="1">
      <c r="B35" s="201" t="s">
        <v>124</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602"/>
      <c r="AG35" s="569"/>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561">
        <f t="shared" si="6"/>
        <v>0</v>
      </c>
      <c r="BO35" s="559">
        <f t="shared" si="7"/>
        <v>0</v>
      </c>
      <c r="BP35" s="558">
        <f t="shared" si="8"/>
        <v>0</v>
      </c>
      <c r="BQ35" s="559">
        <f t="shared" si="9"/>
        <v>0</v>
      </c>
    </row>
    <row r="36" spans="2:69" s="4" customFormat="1" ht="50.1" customHeight="1">
      <c r="B36" s="201" t="s">
        <v>166</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602"/>
      <c r="AG36" s="569"/>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561">
        <f t="shared" si="6"/>
        <v>0</v>
      </c>
      <c r="BO36" s="559">
        <f t="shared" si="7"/>
        <v>0</v>
      </c>
      <c r="BP36" s="558">
        <f t="shared" si="8"/>
        <v>0</v>
      </c>
      <c r="BQ36" s="559">
        <f t="shared" si="9"/>
        <v>0</v>
      </c>
    </row>
    <row r="37" spans="2:69" s="4" customFormat="1" ht="50.1" customHeight="1">
      <c r="B37" s="201" t="s">
        <v>220</v>
      </c>
      <c r="C37" s="146"/>
      <c r="D37" s="13"/>
      <c r="E37" s="14"/>
      <c r="F37" s="13"/>
      <c r="G37" s="14"/>
      <c r="H37" s="13"/>
      <c r="I37" s="14"/>
      <c r="J37" s="13"/>
      <c r="K37" s="14"/>
      <c r="L37" s="13"/>
      <c r="M37" s="14"/>
      <c r="N37" s="13"/>
      <c r="O37" s="14"/>
      <c r="P37" s="13"/>
      <c r="Q37" s="14"/>
      <c r="R37" s="13"/>
      <c r="S37" s="14"/>
      <c r="T37" s="13">
        <v>1</v>
      </c>
      <c r="U37" s="14">
        <v>2</v>
      </c>
      <c r="V37" s="13"/>
      <c r="W37" s="14"/>
      <c r="X37" s="13"/>
      <c r="Y37" s="14"/>
      <c r="Z37" s="13"/>
      <c r="AA37" s="15"/>
      <c r="AB37" s="16"/>
      <c r="AC37" s="15"/>
      <c r="AD37" s="16"/>
      <c r="AE37" s="15"/>
      <c r="AF37" s="602">
        <v>1</v>
      </c>
      <c r="AG37" s="569">
        <v>1</v>
      </c>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561">
        <f t="shared" si="6"/>
        <v>2</v>
      </c>
      <c r="BO37" s="559">
        <f t="shared" si="7"/>
        <v>3</v>
      </c>
      <c r="BP37" s="558">
        <f t="shared" si="8"/>
        <v>2</v>
      </c>
      <c r="BQ37" s="559">
        <f t="shared" si="9"/>
        <v>3</v>
      </c>
    </row>
    <row r="38" spans="2:69" s="4" customFormat="1" ht="50.1" customHeight="1">
      <c r="B38" s="201" t="s">
        <v>0</v>
      </c>
      <c r="C38" s="146"/>
      <c r="D38" s="13"/>
      <c r="E38" s="14"/>
      <c r="F38" s="13"/>
      <c r="G38" s="14"/>
      <c r="H38" s="13">
        <v>1</v>
      </c>
      <c r="I38" s="14">
        <v>1</v>
      </c>
      <c r="J38" s="13"/>
      <c r="K38" s="14"/>
      <c r="L38" s="13"/>
      <c r="M38" s="14"/>
      <c r="N38" s="13"/>
      <c r="O38" s="14"/>
      <c r="P38" s="13"/>
      <c r="Q38" s="14"/>
      <c r="R38" s="13"/>
      <c r="S38" s="14"/>
      <c r="T38" s="13"/>
      <c r="U38" s="14"/>
      <c r="V38" s="13"/>
      <c r="W38" s="14"/>
      <c r="X38" s="13"/>
      <c r="Y38" s="14"/>
      <c r="Z38" s="13"/>
      <c r="AA38" s="15"/>
      <c r="AB38" s="16"/>
      <c r="AC38" s="15"/>
      <c r="AD38" s="16"/>
      <c r="AE38" s="15"/>
      <c r="AF38" s="602"/>
      <c r="AG38" s="569"/>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561">
        <f t="shared" si="6"/>
        <v>1</v>
      </c>
      <c r="BO38" s="559">
        <f t="shared" si="7"/>
        <v>1</v>
      </c>
      <c r="BP38" s="558">
        <f t="shared" si="8"/>
        <v>1</v>
      </c>
      <c r="BQ38" s="559">
        <f t="shared" si="9"/>
        <v>1</v>
      </c>
    </row>
    <row r="39" spans="2:69" s="4" customFormat="1" ht="50.1" customHeight="1">
      <c r="B39" s="201" t="s">
        <v>33</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602"/>
      <c r="AG39" s="569"/>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561">
        <f t="shared" si="6"/>
        <v>0</v>
      </c>
      <c r="BO39" s="559">
        <f t="shared" si="7"/>
        <v>0</v>
      </c>
      <c r="BP39" s="558">
        <f t="shared" si="8"/>
        <v>0</v>
      </c>
      <c r="BQ39" s="559">
        <f t="shared" si="9"/>
        <v>0</v>
      </c>
    </row>
    <row r="40" spans="2:69" s="4" customFormat="1" ht="50.1" customHeight="1">
      <c r="B40" s="201" t="s">
        <v>1</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602"/>
      <c r="AG40" s="569"/>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561">
        <f t="shared" si="6"/>
        <v>0</v>
      </c>
      <c r="BO40" s="559">
        <f t="shared" si="7"/>
        <v>0</v>
      </c>
      <c r="BP40" s="558">
        <f t="shared" si="8"/>
        <v>0</v>
      </c>
      <c r="BQ40" s="559">
        <f t="shared" si="9"/>
        <v>0</v>
      </c>
    </row>
    <row r="41" spans="2:69" s="4" customFormat="1" ht="50.1" customHeight="1">
      <c r="B41" s="201" t="s">
        <v>315</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602"/>
      <c r="AG41" s="569"/>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561">
        <f t="shared" si="6"/>
        <v>0</v>
      </c>
      <c r="BO41" s="559">
        <f t="shared" si="7"/>
        <v>0</v>
      </c>
      <c r="BP41" s="558">
        <f t="shared" si="8"/>
        <v>0</v>
      </c>
      <c r="BQ41" s="559">
        <f t="shared" si="9"/>
        <v>0</v>
      </c>
    </row>
    <row r="42" spans="2:69" s="4" customFormat="1" ht="50.1" customHeight="1">
      <c r="B42" s="202" t="s">
        <v>106</v>
      </c>
      <c r="C42" s="146"/>
      <c r="D42" s="13"/>
      <c r="E42" s="14"/>
      <c r="F42" s="13"/>
      <c r="G42" s="14"/>
      <c r="H42" s="13"/>
      <c r="I42" s="14"/>
      <c r="J42" s="13"/>
      <c r="K42" s="14"/>
      <c r="L42" s="13"/>
      <c r="M42" s="14"/>
      <c r="N42" s="13">
        <v>1</v>
      </c>
      <c r="O42" s="14">
        <v>2</v>
      </c>
      <c r="P42" s="13"/>
      <c r="Q42" s="14"/>
      <c r="R42" s="13"/>
      <c r="S42" s="14"/>
      <c r="T42" s="13"/>
      <c r="U42" s="14"/>
      <c r="V42" s="13"/>
      <c r="W42" s="14"/>
      <c r="X42" s="13"/>
      <c r="Y42" s="14"/>
      <c r="Z42" s="13"/>
      <c r="AA42" s="15"/>
      <c r="AB42" s="16"/>
      <c r="AC42" s="15"/>
      <c r="AD42" s="16"/>
      <c r="AE42" s="15"/>
      <c r="AF42" s="602"/>
      <c r="AG42" s="569"/>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561">
        <f t="shared" si="6"/>
        <v>1</v>
      </c>
      <c r="BO42" s="559">
        <f t="shared" si="7"/>
        <v>2</v>
      </c>
      <c r="BP42" s="558">
        <f t="shared" si="8"/>
        <v>1</v>
      </c>
      <c r="BQ42" s="559">
        <f t="shared" si="9"/>
        <v>2</v>
      </c>
    </row>
    <row r="43" spans="2:69" s="4" customFormat="1" ht="50.1" customHeight="1">
      <c r="B43" s="201" t="s">
        <v>15</v>
      </c>
      <c r="C43" s="146"/>
      <c r="D43" s="13"/>
      <c r="E43" s="14"/>
      <c r="F43" s="13"/>
      <c r="G43" s="14"/>
      <c r="H43" s="13">
        <v>1</v>
      </c>
      <c r="I43" s="14">
        <v>2</v>
      </c>
      <c r="J43" s="13"/>
      <c r="K43" s="14"/>
      <c r="L43" s="13"/>
      <c r="M43" s="14"/>
      <c r="N43" s="13"/>
      <c r="O43" s="14"/>
      <c r="P43" s="13"/>
      <c r="Q43" s="14"/>
      <c r="R43" s="13"/>
      <c r="S43" s="14"/>
      <c r="T43" s="13"/>
      <c r="U43" s="14"/>
      <c r="V43" s="13"/>
      <c r="W43" s="14"/>
      <c r="X43" s="13"/>
      <c r="Y43" s="14"/>
      <c r="Z43" s="13"/>
      <c r="AA43" s="15"/>
      <c r="AB43" s="16"/>
      <c r="AC43" s="15"/>
      <c r="AD43" s="16"/>
      <c r="AE43" s="15"/>
      <c r="AF43" s="602"/>
      <c r="AG43" s="569"/>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561">
        <f t="shared" si="6"/>
        <v>1</v>
      </c>
      <c r="BO43" s="559">
        <f t="shared" si="7"/>
        <v>2</v>
      </c>
      <c r="BP43" s="558">
        <f t="shared" si="8"/>
        <v>1</v>
      </c>
      <c r="BQ43" s="559">
        <f t="shared" si="9"/>
        <v>2</v>
      </c>
    </row>
    <row r="44" spans="2:69" s="4" customFormat="1" ht="50.1" customHeight="1">
      <c r="B44" s="201" t="s">
        <v>221</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602">
        <v>1</v>
      </c>
      <c r="AG44" s="569">
        <v>2</v>
      </c>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561">
        <f t="shared" si="6"/>
        <v>1</v>
      </c>
      <c r="BO44" s="559">
        <f t="shared" si="7"/>
        <v>2</v>
      </c>
      <c r="BP44" s="558">
        <f t="shared" si="8"/>
        <v>1</v>
      </c>
      <c r="BQ44" s="559">
        <f t="shared" si="9"/>
        <v>2</v>
      </c>
    </row>
    <row r="45" spans="2:69" s="4" customFormat="1" ht="50.1" customHeight="1">
      <c r="B45" s="203" t="s">
        <v>18</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v>2</v>
      </c>
      <c r="AE45" s="15">
        <v>3</v>
      </c>
      <c r="AF45" s="602"/>
      <c r="AG45" s="569"/>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561">
        <f t="shared" si="6"/>
        <v>2</v>
      </c>
      <c r="BO45" s="559">
        <f t="shared" si="7"/>
        <v>3</v>
      </c>
      <c r="BP45" s="558">
        <f t="shared" si="8"/>
        <v>2</v>
      </c>
      <c r="BQ45" s="559">
        <f t="shared" si="9"/>
        <v>3</v>
      </c>
    </row>
    <row r="46" spans="2:69" s="4" customFormat="1" ht="50.1" customHeight="1">
      <c r="B46" s="204" t="s">
        <v>146</v>
      </c>
      <c r="C46" s="146"/>
      <c r="D46" s="13"/>
      <c r="E46" s="14"/>
      <c r="F46" s="13"/>
      <c r="G46" s="14"/>
      <c r="H46" s="13">
        <v>2</v>
      </c>
      <c r="I46" s="14">
        <v>3</v>
      </c>
      <c r="J46" s="13"/>
      <c r="K46" s="14"/>
      <c r="L46" s="13"/>
      <c r="M46" s="14"/>
      <c r="N46" s="13"/>
      <c r="O46" s="14"/>
      <c r="P46" s="13"/>
      <c r="Q46" s="14"/>
      <c r="R46" s="13"/>
      <c r="S46" s="14"/>
      <c r="T46" s="13"/>
      <c r="U46" s="14"/>
      <c r="V46" s="13"/>
      <c r="W46" s="14"/>
      <c r="X46" s="13"/>
      <c r="Y46" s="14"/>
      <c r="Z46" s="13"/>
      <c r="AA46" s="15"/>
      <c r="AB46" s="16"/>
      <c r="AC46" s="15"/>
      <c r="AD46" s="16">
        <v>2</v>
      </c>
      <c r="AE46" s="15">
        <v>2</v>
      </c>
      <c r="AF46" s="602"/>
      <c r="AG46" s="569"/>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561">
        <f t="shared" si="6"/>
        <v>4</v>
      </c>
      <c r="BO46" s="559">
        <f t="shared" si="7"/>
        <v>5</v>
      </c>
      <c r="BP46" s="558">
        <f t="shared" si="8"/>
        <v>4</v>
      </c>
      <c r="BQ46" s="559">
        <f t="shared" si="9"/>
        <v>5</v>
      </c>
    </row>
    <row r="47" spans="2:69" s="4" customFormat="1" ht="50.1" customHeight="1">
      <c r="B47" s="201"/>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602"/>
      <c r="AG47" s="569"/>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c r="BO47" s="47"/>
      <c r="BP47" s="242"/>
      <c r="BQ47" s="244"/>
    </row>
    <row r="48" spans="2:69" s="4" customFormat="1" ht="50.1" customHeight="1">
      <c r="B48" s="154"/>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602"/>
      <c r="AG48" s="569"/>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c r="BO48" s="47"/>
      <c r="BP48" s="242"/>
      <c r="BQ48" s="244"/>
    </row>
    <row r="49" spans="2:69" s="4" customFormat="1" ht="15.95" customHeight="1">
      <c r="B49" s="155"/>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602"/>
      <c r="AG49" s="569"/>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c r="BO49" s="47"/>
      <c r="BP49" s="242"/>
      <c r="BQ49" s="244"/>
    </row>
    <row r="50" spans="2:69" s="4" customFormat="1" ht="15.95" customHeight="1">
      <c r="B50" s="154"/>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602"/>
      <c r="AG50" s="569"/>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c r="BO50" s="47"/>
      <c r="BP50" s="242"/>
      <c r="BQ50" s="244"/>
    </row>
    <row r="51" spans="2:69" s="4" customFormat="1" ht="15.95" customHeight="1">
      <c r="B51" s="154"/>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602"/>
      <c r="AG51" s="569"/>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c r="BO51" s="47"/>
      <c r="BP51" s="242"/>
      <c r="BQ51" s="244"/>
    </row>
    <row r="52" spans="2:69" s="4" customFormat="1" ht="15.95" customHeight="1">
      <c r="B52" s="154"/>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602"/>
      <c r="AG52" s="569"/>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c r="BO52" s="47"/>
      <c r="BP52" s="242"/>
      <c r="BQ52" s="244"/>
    </row>
    <row r="53" spans="2:69" s="4" customFormat="1" ht="15.95" customHeight="1" thickBot="1">
      <c r="B53" s="112"/>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602"/>
      <c r="AG53" s="569"/>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c r="BO53" s="47"/>
      <c r="BP53" s="258"/>
      <c r="BQ53" s="263"/>
    </row>
    <row r="54" spans="2:69" s="4" customFormat="1" ht="37.5" customHeight="1" thickBot="1">
      <c r="B54" s="119" t="s">
        <v>101</v>
      </c>
      <c r="C54" s="149"/>
      <c r="D54" s="28">
        <f t="shared" ref="D54:AG54" si="10">SUM(D30:D53)</f>
        <v>0</v>
      </c>
      <c r="E54" s="29">
        <f t="shared" si="10"/>
        <v>0</v>
      </c>
      <c r="F54" s="30">
        <f t="shared" si="10"/>
        <v>0</v>
      </c>
      <c r="G54" s="31">
        <f t="shared" si="10"/>
        <v>0</v>
      </c>
      <c r="H54" s="30">
        <f t="shared" si="10"/>
        <v>8</v>
      </c>
      <c r="I54" s="31">
        <f t="shared" si="10"/>
        <v>12</v>
      </c>
      <c r="J54" s="30">
        <f t="shared" si="10"/>
        <v>0</v>
      </c>
      <c r="K54" s="31">
        <f t="shared" si="10"/>
        <v>0</v>
      </c>
      <c r="L54" s="30">
        <f t="shared" si="10"/>
        <v>0</v>
      </c>
      <c r="M54" s="31">
        <f t="shared" si="10"/>
        <v>0</v>
      </c>
      <c r="N54" s="30">
        <f t="shared" si="10"/>
        <v>2</v>
      </c>
      <c r="O54" s="31">
        <f t="shared" si="10"/>
        <v>5</v>
      </c>
      <c r="P54" s="30">
        <f t="shared" si="10"/>
        <v>0</v>
      </c>
      <c r="Q54" s="31">
        <f t="shared" si="10"/>
        <v>0</v>
      </c>
      <c r="R54" s="30">
        <f t="shared" si="10"/>
        <v>0</v>
      </c>
      <c r="S54" s="31">
        <f t="shared" si="10"/>
        <v>0</v>
      </c>
      <c r="T54" s="30">
        <f t="shared" si="10"/>
        <v>1</v>
      </c>
      <c r="U54" s="31">
        <f t="shared" si="10"/>
        <v>2</v>
      </c>
      <c r="V54" s="30">
        <f t="shared" si="10"/>
        <v>0</v>
      </c>
      <c r="W54" s="31">
        <f t="shared" si="10"/>
        <v>0</v>
      </c>
      <c r="X54" s="30">
        <f t="shared" si="10"/>
        <v>0</v>
      </c>
      <c r="Y54" s="31">
        <f t="shared" si="10"/>
        <v>0</v>
      </c>
      <c r="Z54" s="30">
        <f t="shared" si="10"/>
        <v>0</v>
      </c>
      <c r="AA54" s="31">
        <f t="shared" si="10"/>
        <v>0</v>
      </c>
      <c r="AB54" s="30">
        <f t="shared" si="10"/>
        <v>0</v>
      </c>
      <c r="AC54" s="31">
        <f t="shared" si="10"/>
        <v>0</v>
      </c>
      <c r="AD54" s="30">
        <f t="shared" si="10"/>
        <v>6</v>
      </c>
      <c r="AE54" s="31">
        <f t="shared" si="10"/>
        <v>7</v>
      </c>
      <c r="AF54" s="30">
        <f t="shared" si="10"/>
        <v>3</v>
      </c>
      <c r="AG54" s="31">
        <f t="shared" si="10"/>
        <v>4</v>
      </c>
      <c r="AH54" s="28">
        <f t="shared" ref="AH54:BO54" si="11">SUM(AH30:AH53)</f>
        <v>0</v>
      </c>
      <c r="AI54" s="29">
        <f t="shared" si="11"/>
        <v>0</v>
      </c>
      <c r="AJ54" s="30">
        <f t="shared" si="11"/>
        <v>0</v>
      </c>
      <c r="AK54" s="31">
        <f t="shared" si="11"/>
        <v>0</v>
      </c>
      <c r="AL54" s="30">
        <f t="shared" si="11"/>
        <v>0</v>
      </c>
      <c r="AM54" s="31">
        <f t="shared" si="11"/>
        <v>0</v>
      </c>
      <c r="AN54" s="30">
        <f t="shared" si="11"/>
        <v>0</v>
      </c>
      <c r="AO54" s="31">
        <f t="shared" si="11"/>
        <v>0</v>
      </c>
      <c r="AP54" s="30">
        <f t="shared" si="11"/>
        <v>0</v>
      </c>
      <c r="AQ54" s="31">
        <f t="shared" si="11"/>
        <v>0</v>
      </c>
      <c r="AR54" s="30">
        <f t="shared" si="11"/>
        <v>0</v>
      </c>
      <c r="AS54" s="31">
        <f t="shared" si="11"/>
        <v>0</v>
      </c>
      <c r="AT54" s="30">
        <f t="shared" si="11"/>
        <v>0</v>
      </c>
      <c r="AU54" s="31">
        <f t="shared" si="11"/>
        <v>0</v>
      </c>
      <c r="AV54" s="30">
        <f t="shared" si="11"/>
        <v>0</v>
      </c>
      <c r="AW54" s="31">
        <f t="shared" si="11"/>
        <v>0</v>
      </c>
      <c r="AX54" s="30">
        <f t="shared" si="11"/>
        <v>0</v>
      </c>
      <c r="AY54" s="31">
        <f t="shared" si="11"/>
        <v>0</v>
      </c>
      <c r="AZ54" s="30">
        <f t="shared" si="11"/>
        <v>0</v>
      </c>
      <c r="BA54" s="31">
        <f t="shared" si="11"/>
        <v>0</v>
      </c>
      <c r="BB54" s="30">
        <f t="shared" si="11"/>
        <v>0</v>
      </c>
      <c r="BC54" s="31">
        <f t="shared" si="11"/>
        <v>0</v>
      </c>
      <c r="BD54" s="30">
        <f t="shared" si="11"/>
        <v>0</v>
      </c>
      <c r="BE54" s="31">
        <f t="shared" si="11"/>
        <v>0</v>
      </c>
      <c r="BF54" s="30">
        <f t="shared" si="11"/>
        <v>0</v>
      </c>
      <c r="BG54" s="31">
        <f t="shared" si="11"/>
        <v>0</v>
      </c>
      <c r="BH54" s="30">
        <f t="shared" si="11"/>
        <v>0</v>
      </c>
      <c r="BI54" s="31">
        <f t="shared" si="11"/>
        <v>0</v>
      </c>
      <c r="BJ54" s="30">
        <f t="shared" si="11"/>
        <v>0</v>
      </c>
      <c r="BK54" s="31">
        <f t="shared" si="11"/>
        <v>0</v>
      </c>
      <c r="BL54" s="30">
        <f t="shared" si="11"/>
        <v>0</v>
      </c>
      <c r="BM54" s="31">
        <f t="shared" si="11"/>
        <v>0</v>
      </c>
      <c r="BN54" s="32">
        <f t="shared" si="11"/>
        <v>20</v>
      </c>
      <c r="BO54" s="33">
        <f t="shared" si="11"/>
        <v>30</v>
      </c>
      <c r="BP54" s="245">
        <f>SUM(BP30:BP53)</f>
        <v>20</v>
      </c>
      <c r="BQ54" s="246">
        <f>SUM(BQ30:BQ53)</f>
        <v>30</v>
      </c>
    </row>
    <row r="55" spans="2:69" ht="28.5" customHeight="1">
      <c r="B55" s="120"/>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43" t="s">
        <v>172</v>
      </c>
      <c r="C57" s="749">
        <f>COUNTIF(B60:B65,"*")</f>
        <v>6</v>
      </c>
      <c r="D57" s="751">
        <v>1</v>
      </c>
      <c r="E57" s="738"/>
      <c r="F57" s="737">
        <v>2</v>
      </c>
      <c r="G57" s="738"/>
      <c r="H57" s="737">
        <v>3</v>
      </c>
      <c r="I57" s="738"/>
      <c r="J57" s="737">
        <v>4</v>
      </c>
      <c r="K57" s="738"/>
      <c r="L57" s="737">
        <v>5</v>
      </c>
      <c r="M57" s="738"/>
      <c r="N57" s="737">
        <v>6</v>
      </c>
      <c r="O57" s="738"/>
      <c r="P57" s="737">
        <v>7</v>
      </c>
      <c r="Q57" s="738"/>
      <c r="R57" s="737">
        <v>8</v>
      </c>
      <c r="S57" s="738"/>
      <c r="T57" s="737">
        <v>9</v>
      </c>
      <c r="U57" s="738"/>
      <c r="V57" s="737">
        <v>10</v>
      </c>
      <c r="W57" s="738"/>
      <c r="X57" s="737">
        <v>11</v>
      </c>
      <c r="Y57" s="738"/>
      <c r="Z57" s="737">
        <v>12</v>
      </c>
      <c r="AA57" s="738"/>
      <c r="AB57" s="737">
        <v>13</v>
      </c>
      <c r="AC57" s="738"/>
      <c r="AD57" s="737">
        <v>14</v>
      </c>
      <c r="AE57" s="738"/>
      <c r="AF57" s="737">
        <v>15</v>
      </c>
      <c r="AG57" s="738"/>
      <c r="AH57" s="742">
        <v>16</v>
      </c>
      <c r="AI57" s="738"/>
      <c r="AJ57" s="737">
        <v>17</v>
      </c>
      <c r="AK57" s="738"/>
      <c r="AL57" s="737">
        <v>18</v>
      </c>
      <c r="AM57" s="738"/>
      <c r="AN57" s="737">
        <v>19</v>
      </c>
      <c r="AO57" s="738"/>
      <c r="AP57" s="737">
        <v>20</v>
      </c>
      <c r="AQ57" s="738"/>
      <c r="AR57" s="737">
        <v>21</v>
      </c>
      <c r="AS57" s="738"/>
      <c r="AT57" s="737">
        <v>22</v>
      </c>
      <c r="AU57" s="738"/>
      <c r="AV57" s="737">
        <v>23</v>
      </c>
      <c r="AW57" s="738"/>
      <c r="AX57" s="737">
        <v>24</v>
      </c>
      <c r="AY57" s="738"/>
      <c r="AZ57" s="737">
        <v>25</v>
      </c>
      <c r="BA57" s="738"/>
      <c r="BB57" s="737">
        <v>26</v>
      </c>
      <c r="BC57" s="738"/>
      <c r="BD57" s="737">
        <v>27</v>
      </c>
      <c r="BE57" s="738"/>
      <c r="BF57" s="737">
        <v>28</v>
      </c>
      <c r="BG57" s="738"/>
      <c r="BH57" s="737">
        <v>29</v>
      </c>
      <c r="BI57" s="738"/>
      <c r="BJ57" s="737">
        <v>30</v>
      </c>
      <c r="BK57" s="738"/>
      <c r="BL57" s="741">
        <v>31</v>
      </c>
      <c r="BM57" s="741"/>
      <c r="BN57" s="738" t="s">
        <v>251</v>
      </c>
      <c r="BO57" s="760"/>
      <c r="BP57" s="763" t="s">
        <v>354</v>
      </c>
      <c r="BQ57" s="764"/>
    </row>
    <row r="58" spans="2:69" ht="24.95" customHeight="1">
      <c r="B58" s="744"/>
      <c r="C58" s="747"/>
      <c r="D58" s="752" t="str">
        <f>D2</f>
        <v>水</v>
      </c>
      <c r="E58" s="740"/>
      <c r="F58" s="739" t="str">
        <f>F2</f>
        <v>木</v>
      </c>
      <c r="G58" s="740"/>
      <c r="H58" s="739" t="str">
        <f>H2</f>
        <v>金</v>
      </c>
      <c r="I58" s="740"/>
      <c r="J58" s="739" t="str">
        <f>J2</f>
        <v>土</v>
      </c>
      <c r="K58" s="740"/>
      <c r="L58" s="739" t="str">
        <f>L2</f>
        <v>日</v>
      </c>
      <c r="M58" s="740"/>
      <c r="N58" s="739" t="str">
        <f>N2</f>
        <v>月</v>
      </c>
      <c r="O58" s="740"/>
      <c r="P58" s="739" t="str">
        <f>P2</f>
        <v>火</v>
      </c>
      <c r="Q58" s="740"/>
      <c r="R58" s="739" t="str">
        <f>R2</f>
        <v>水</v>
      </c>
      <c r="S58" s="740"/>
      <c r="T58" s="739" t="str">
        <f>T2</f>
        <v>木</v>
      </c>
      <c r="U58" s="740"/>
      <c r="V58" s="739" t="str">
        <f>V2</f>
        <v>金</v>
      </c>
      <c r="W58" s="740"/>
      <c r="X58" s="739" t="str">
        <f>X2</f>
        <v>土</v>
      </c>
      <c r="Y58" s="740"/>
      <c r="Z58" s="739" t="str">
        <f>Z2</f>
        <v>日</v>
      </c>
      <c r="AA58" s="740"/>
      <c r="AB58" s="739" t="str">
        <f>AB2</f>
        <v>月</v>
      </c>
      <c r="AC58" s="740"/>
      <c r="AD58" s="739" t="str">
        <f>AD2</f>
        <v>火</v>
      </c>
      <c r="AE58" s="740"/>
      <c r="AF58" s="739" t="str">
        <f>AF2</f>
        <v>水</v>
      </c>
      <c r="AG58" s="740"/>
      <c r="AH58" s="767" t="str">
        <f>AH2</f>
        <v>木</v>
      </c>
      <c r="AI58" s="767"/>
      <c r="AJ58" s="770" t="str">
        <f>AJ2</f>
        <v>金</v>
      </c>
      <c r="AK58" s="770"/>
      <c r="AL58" s="770" t="str">
        <f>AL2</f>
        <v>土</v>
      </c>
      <c r="AM58" s="770"/>
      <c r="AN58" s="770" t="str">
        <f>AN2</f>
        <v>日</v>
      </c>
      <c r="AO58" s="770"/>
      <c r="AP58" s="770" t="str">
        <f>AP2</f>
        <v>月</v>
      </c>
      <c r="AQ58" s="770"/>
      <c r="AR58" s="770" t="str">
        <f>AR2</f>
        <v>火</v>
      </c>
      <c r="AS58" s="770"/>
      <c r="AT58" s="770" t="str">
        <f>AT2</f>
        <v>水</v>
      </c>
      <c r="AU58" s="770"/>
      <c r="AV58" s="770" t="str">
        <f>AV2</f>
        <v>木</v>
      </c>
      <c r="AW58" s="770"/>
      <c r="AX58" s="770" t="str">
        <f>AX2</f>
        <v>金</v>
      </c>
      <c r="AY58" s="770"/>
      <c r="AZ58" s="770" t="str">
        <f>AZ2</f>
        <v>土</v>
      </c>
      <c r="BA58" s="770"/>
      <c r="BB58" s="770" t="str">
        <f>BB2</f>
        <v>日</v>
      </c>
      <c r="BC58" s="770"/>
      <c r="BD58" s="770" t="str">
        <f>BD2</f>
        <v>月</v>
      </c>
      <c r="BE58" s="770"/>
      <c r="BF58" s="770" t="str">
        <f>BF2</f>
        <v>火</v>
      </c>
      <c r="BG58" s="770"/>
      <c r="BH58" s="770" t="str">
        <f>BH2</f>
        <v>水</v>
      </c>
      <c r="BI58" s="770"/>
      <c r="BJ58" s="770" t="str">
        <f>BJ2</f>
        <v>木</v>
      </c>
      <c r="BK58" s="770"/>
      <c r="BL58" s="770" t="str">
        <f>BL2</f>
        <v>金</v>
      </c>
      <c r="BM58" s="770"/>
      <c r="BN58" s="761"/>
      <c r="BO58" s="762"/>
      <c r="BP58" s="765"/>
      <c r="BQ58" s="766"/>
    </row>
    <row r="59" spans="2:69" ht="24.75" customHeight="1">
      <c r="B59" s="744"/>
      <c r="C59" s="747"/>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552" t="s">
        <v>72</v>
      </c>
      <c r="AG59" s="583" t="s">
        <v>73</v>
      </c>
      <c r="AH59" s="482" t="s">
        <v>72</v>
      </c>
      <c r="AI59" s="481" t="s">
        <v>73</v>
      </c>
      <c r="AJ59" s="480" t="s">
        <v>72</v>
      </c>
      <c r="AK59" s="481" t="s">
        <v>73</v>
      </c>
      <c r="AL59" s="480" t="s">
        <v>72</v>
      </c>
      <c r="AM59" s="481" t="s">
        <v>73</v>
      </c>
      <c r="AN59" s="482" t="s">
        <v>72</v>
      </c>
      <c r="AO59" s="481" t="s">
        <v>73</v>
      </c>
      <c r="AP59" s="482" t="s">
        <v>72</v>
      </c>
      <c r="AQ59" s="481" t="s">
        <v>73</v>
      </c>
      <c r="AR59" s="482" t="s">
        <v>72</v>
      </c>
      <c r="AS59" s="481" t="s">
        <v>73</v>
      </c>
      <c r="AT59" s="482" t="s">
        <v>72</v>
      </c>
      <c r="AU59" s="481" t="s">
        <v>73</v>
      </c>
      <c r="AV59" s="482" t="s">
        <v>72</v>
      </c>
      <c r="AW59" s="481" t="s">
        <v>73</v>
      </c>
      <c r="AX59" s="482" t="s">
        <v>72</v>
      </c>
      <c r="AY59" s="481" t="s">
        <v>73</v>
      </c>
      <c r="AZ59" s="482" t="s">
        <v>72</v>
      </c>
      <c r="BA59" s="481" t="s">
        <v>73</v>
      </c>
      <c r="BB59" s="482" t="s">
        <v>72</v>
      </c>
      <c r="BC59" s="481" t="s">
        <v>73</v>
      </c>
      <c r="BD59" s="482" t="s">
        <v>72</v>
      </c>
      <c r="BE59" s="107" t="s">
        <v>73</v>
      </c>
      <c r="BF59" s="194" t="s">
        <v>72</v>
      </c>
      <c r="BG59" s="107" t="s">
        <v>73</v>
      </c>
      <c r="BH59" s="194" t="s">
        <v>72</v>
      </c>
      <c r="BI59" s="107" t="s">
        <v>73</v>
      </c>
      <c r="BJ59" s="194" t="s">
        <v>72</v>
      </c>
      <c r="BK59" s="107" t="s">
        <v>73</v>
      </c>
      <c r="BL59" s="194" t="s">
        <v>72</v>
      </c>
      <c r="BM59" s="107" t="s">
        <v>73</v>
      </c>
      <c r="BN59" s="98" t="s">
        <v>72</v>
      </c>
      <c r="BO59" s="99" t="s">
        <v>73</v>
      </c>
      <c r="BP59" s="419" t="s">
        <v>253</v>
      </c>
      <c r="BQ59" s="99" t="s">
        <v>73</v>
      </c>
    </row>
    <row r="60" spans="2:69" ht="45" customHeight="1">
      <c r="B60" s="201" t="s">
        <v>224</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v>2</v>
      </c>
      <c r="AE60" s="164">
        <v>2</v>
      </c>
      <c r="AF60" s="673"/>
      <c r="AG60" s="674"/>
      <c r="AH60" s="672"/>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561">
        <f t="shared" ref="BN60:BO65" si="12">SUM(D60,F60,H60,J60,L60,N60,P60,R60,T60,V60,X60,Z60,AB60,AD60,AF60,AH60,AJ60,AL60,AN60,AP60,AR60,AT60,AV60,AX60,AZ60,BB60,BD60,BF60,BH60,BJ60,BL60)</f>
        <v>2</v>
      </c>
      <c r="BO60" s="559">
        <f t="shared" si="12"/>
        <v>2</v>
      </c>
      <c r="BP60" s="558">
        <f t="shared" ref="BP60:BQ65" si="13">BN60</f>
        <v>2</v>
      </c>
      <c r="BQ60" s="559">
        <f t="shared" si="13"/>
        <v>2</v>
      </c>
    </row>
    <row r="61" spans="2:69" ht="45" customHeight="1">
      <c r="B61" s="204" t="s">
        <v>165</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673"/>
      <c r="AG61" s="675"/>
      <c r="AH61" s="672"/>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561">
        <f t="shared" si="12"/>
        <v>0</v>
      </c>
      <c r="BO61" s="559">
        <f t="shared" si="12"/>
        <v>0</v>
      </c>
      <c r="BP61" s="558">
        <f t="shared" si="13"/>
        <v>0</v>
      </c>
      <c r="BQ61" s="559">
        <f t="shared" si="13"/>
        <v>0</v>
      </c>
    </row>
    <row r="62" spans="2:69" ht="45" customHeight="1">
      <c r="B62" s="225" t="s">
        <v>240</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673"/>
      <c r="AG62" s="115"/>
      <c r="AH62" s="672"/>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561">
        <f t="shared" si="12"/>
        <v>0</v>
      </c>
      <c r="BO62" s="559">
        <f t="shared" si="12"/>
        <v>0</v>
      </c>
      <c r="BP62" s="558">
        <f t="shared" si="13"/>
        <v>0</v>
      </c>
      <c r="BQ62" s="559">
        <f t="shared" si="13"/>
        <v>0</v>
      </c>
    </row>
    <row r="63" spans="2:69" ht="45" customHeight="1">
      <c r="B63" s="201" t="s">
        <v>116</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673"/>
      <c r="AG63" s="675"/>
      <c r="AH63" s="672"/>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561">
        <f t="shared" si="12"/>
        <v>0</v>
      </c>
      <c r="BO63" s="559">
        <f t="shared" si="12"/>
        <v>0</v>
      </c>
      <c r="BP63" s="558">
        <f t="shared" si="13"/>
        <v>0</v>
      </c>
      <c r="BQ63" s="559">
        <f t="shared" si="13"/>
        <v>0</v>
      </c>
    </row>
    <row r="64" spans="2:69" ht="45" customHeight="1">
      <c r="B64" s="201" t="s">
        <v>163</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673"/>
      <c r="AG64" s="169"/>
      <c r="AH64" s="672"/>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561">
        <f t="shared" si="12"/>
        <v>0</v>
      </c>
      <c r="BO64" s="559">
        <f t="shared" si="12"/>
        <v>0</v>
      </c>
      <c r="BP64" s="558">
        <f t="shared" si="13"/>
        <v>0</v>
      </c>
      <c r="BQ64" s="559">
        <f t="shared" si="13"/>
        <v>0</v>
      </c>
    </row>
    <row r="65" spans="2:69" s="4" customFormat="1" ht="45" customHeight="1" thickBot="1">
      <c r="B65" s="204" t="s">
        <v>20</v>
      </c>
      <c r="C65" s="147"/>
      <c r="D65" s="165"/>
      <c r="E65" s="163"/>
      <c r="F65" s="165"/>
      <c r="G65" s="163"/>
      <c r="H65" s="165"/>
      <c r="I65" s="163"/>
      <c r="J65" s="165"/>
      <c r="K65" s="163"/>
      <c r="L65" s="165"/>
      <c r="M65" s="163"/>
      <c r="N65" s="165"/>
      <c r="O65" s="163"/>
      <c r="P65" s="165"/>
      <c r="Q65" s="163"/>
      <c r="R65" s="165"/>
      <c r="S65" s="163"/>
      <c r="T65" s="165"/>
      <c r="U65" s="163"/>
      <c r="V65" s="165"/>
      <c r="W65" s="163"/>
      <c r="X65" s="165"/>
      <c r="Y65" s="163"/>
      <c r="Z65" s="165"/>
      <c r="AA65" s="163"/>
      <c r="AB65" s="165"/>
      <c r="AC65" s="163"/>
      <c r="AD65" s="165"/>
      <c r="AE65" s="163"/>
      <c r="AF65" s="673"/>
      <c r="AG65" s="674"/>
      <c r="AH65" s="592"/>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561">
        <f t="shared" si="12"/>
        <v>0</v>
      </c>
      <c r="BO65" s="559">
        <f t="shared" si="12"/>
        <v>0</v>
      </c>
      <c r="BP65" s="558">
        <f t="shared" si="13"/>
        <v>0</v>
      </c>
      <c r="BQ65" s="559">
        <f t="shared" si="13"/>
        <v>0</v>
      </c>
    </row>
    <row r="66" spans="2:69" s="4" customFormat="1" ht="45" customHeight="1" thickBot="1">
      <c r="B66" s="119" t="s">
        <v>101</v>
      </c>
      <c r="C66" s="149"/>
      <c r="D66" s="39">
        <f t="shared" ref="D66:AG66" si="14">SUM(D60:D65)</f>
        <v>0</v>
      </c>
      <c r="E66" s="31">
        <f t="shared" si="14"/>
        <v>0</v>
      </c>
      <c r="F66" s="39">
        <f t="shared" si="14"/>
        <v>0</v>
      </c>
      <c r="G66" s="31">
        <f t="shared" si="14"/>
        <v>0</v>
      </c>
      <c r="H66" s="39">
        <f t="shared" si="14"/>
        <v>0</v>
      </c>
      <c r="I66" s="31">
        <f t="shared" si="14"/>
        <v>0</v>
      </c>
      <c r="J66" s="39">
        <f t="shared" si="14"/>
        <v>0</v>
      </c>
      <c r="K66" s="31">
        <f t="shared" si="14"/>
        <v>0</v>
      </c>
      <c r="L66" s="39">
        <f t="shared" si="14"/>
        <v>0</v>
      </c>
      <c r="M66" s="31">
        <f t="shared" si="14"/>
        <v>0</v>
      </c>
      <c r="N66" s="39">
        <f t="shared" si="14"/>
        <v>0</v>
      </c>
      <c r="O66" s="31">
        <f t="shared" si="14"/>
        <v>0</v>
      </c>
      <c r="P66" s="39">
        <f t="shared" si="14"/>
        <v>0</v>
      </c>
      <c r="Q66" s="31">
        <f t="shared" si="14"/>
        <v>0</v>
      </c>
      <c r="R66" s="39">
        <f t="shared" si="14"/>
        <v>0</v>
      </c>
      <c r="S66" s="31">
        <f t="shared" si="14"/>
        <v>0</v>
      </c>
      <c r="T66" s="39">
        <f t="shared" si="14"/>
        <v>0</v>
      </c>
      <c r="U66" s="31">
        <f t="shared" si="14"/>
        <v>0</v>
      </c>
      <c r="V66" s="39">
        <f t="shared" si="14"/>
        <v>0</v>
      </c>
      <c r="W66" s="31">
        <f t="shared" si="14"/>
        <v>0</v>
      </c>
      <c r="X66" s="39">
        <f t="shared" si="14"/>
        <v>0</v>
      </c>
      <c r="Y66" s="31">
        <f t="shared" si="14"/>
        <v>0</v>
      </c>
      <c r="Z66" s="39">
        <f t="shared" si="14"/>
        <v>0</v>
      </c>
      <c r="AA66" s="31">
        <f t="shared" si="14"/>
        <v>0</v>
      </c>
      <c r="AB66" s="39">
        <f t="shared" si="14"/>
        <v>0</v>
      </c>
      <c r="AC66" s="31">
        <f t="shared" si="14"/>
        <v>0</v>
      </c>
      <c r="AD66" s="39">
        <f t="shared" si="14"/>
        <v>2</v>
      </c>
      <c r="AE66" s="31">
        <f t="shared" si="14"/>
        <v>2</v>
      </c>
      <c r="AF66" s="39">
        <f t="shared" si="14"/>
        <v>0</v>
      </c>
      <c r="AG66" s="31">
        <f t="shared" si="14"/>
        <v>0</v>
      </c>
      <c r="AH66" s="29">
        <f t="shared" ref="AH66:BQ66" si="15">SUM(AH60:AH65)</f>
        <v>0</v>
      </c>
      <c r="AI66" s="31">
        <f t="shared" si="15"/>
        <v>0</v>
      </c>
      <c r="AJ66" s="39">
        <f t="shared" si="15"/>
        <v>0</v>
      </c>
      <c r="AK66" s="31">
        <f t="shared" si="15"/>
        <v>0</v>
      </c>
      <c r="AL66" s="39">
        <f t="shared" si="15"/>
        <v>0</v>
      </c>
      <c r="AM66" s="31">
        <f t="shared" si="15"/>
        <v>0</v>
      </c>
      <c r="AN66" s="39">
        <f t="shared" si="15"/>
        <v>0</v>
      </c>
      <c r="AO66" s="31">
        <f t="shared" si="15"/>
        <v>0</v>
      </c>
      <c r="AP66" s="39">
        <f t="shared" si="15"/>
        <v>0</v>
      </c>
      <c r="AQ66" s="31">
        <f t="shared" si="15"/>
        <v>0</v>
      </c>
      <c r="AR66" s="39">
        <f t="shared" si="15"/>
        <v>0</v>
      </c>
      <c r="AS66" s="31">
        <f t="shared" si="15"/>
        <v>0</v>
      </c>
      <c r="AT66" s="39">
        <f t="shared" si="15"/>
        <v>0</v>
      </c>
      <c r="AU66" s="31">
        <f t="shared" si="15"/>
        <v>0</v>
      </c>
      <c r="AV66" s="39">
        <f t="shared" si="15"/>
        <v>0</v>
      </c>
      <c r="AW66" s="31">
        <f t="shared" si="15"/>
        <v>0</v>
      </c>
      <c r="AX66" s="39">
        <f t="shared" si="15"/>
        <v>0</v>
      </c>
      <c r="AY66" s="31">
        <f t="shared" si="15"/>
        <v>0</v>
      </c>
      <c r="AZ66" s="39">
        <f t="shared" si="15"/>
        <v>0</v>
      </c>
      <c r="BA66" s="31">
        <f t="shared" si="15"/>
        <v>0</v>
      </c>
      <c r="BB66" s="39">
        <f t="shared" si="15"/>
        <v>0</v>
      </c>
      <c r="BC66" s="31">
        <f t="shared" si="15"/>
        <v>0</v>
      </c>
      <c r="BD66" s="39">
        <f t="shared" si="15"/>
        <v>0</v>
      </c>
      <c r="BE66" s="31">
        <f t="shared" si="15"/>
        <v>0</v>
      </c>
      <c r="BF66" s="39">
        <f t="shared" si="15"/>
        <v>0</v>
      </c>
      <c r="BG66" s="31">
        <f t="shared" si="15"/>
        <v>0</v>
      </c>
      <c r="BH66" s="39">
        <f t="shared" si="15"/>
        <v>0</v>
      </c>
      <c r="BI66" s="31">
        <f t="shared" si="15"/>
        <v>0</v>
      </c>
      <c r="BJ66" s="39">
        <f t="shared" si="15"/>
        <v>0</v>
      </c>
      <c r="BK66" s="41">
        <f t="shared" si="15"/>
        <v>0</v>
      </c>
      <c r="BL66" s="39">
        <f t="shared" si="15"/>
        <v>0</v>
      </c>
      <c r="BM66" s="41">
        <f t="shared" si="15"/>
        <v>0</v>
      </c>
      <c r="BN66" s="32">
        <f t="shared" si="15"/>
        <v>2</v>
      </c>
      <c r="BO66" s="40">
        <f t="shared" si="15"/>
        <v>2</v>
      </c>
      <c r="BP66" s="258">
        <f t="shared" si="15"/>
        <v>2</v>
      </c>
      <c r="BQ66" s="263">
        <f t="shared" si="15"/>
        <v>2</v>
      </c>
    </row>
    <row r="67" spans="2:69" ht="28.5" customHeight="1" thickBot="1">
      <c r="B67" s="120"/>
      <c r="AJ67" s="7"/>
      <c r="AK67" s="7"/>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c r="BP67" s="245"/>
      <c r="BQ67" s="246"/>
    </row>
    <row r="68" spans="2:69" ht="24.75" customHeight="1">
      <c r="B68" s="743" t="s">
        <v>80</v>
      </c>
      <c r="C68" s="749">
        <f>COUNTIF(B71:B74,"*")</f>
        <v>3</v>
      </c>
      <c r="D68" s="751">
        <v>1</v>
      </c>
      <c r="E68" s="738"/>
      <c r="F68" s="737">
        <v>2</v>
      </c>
      <c r="G68" s="738"/>
      <c r="H68" s="737">
        <v>3</v>
      </c>
      <c r="I68" s="738"/>
      <c r="J68" s="737">
        <v>4</v>
      </c>
      <c r="K68" s="738"/>
      <c r="L68" s="737">
        <v>5</v>
      </c>
      <c r="M68" s="738"/>
      <c r="N68" s="737">
        <v>6</v>
      </c>
      <c r="O68" s="738"/>
      <c r="P68" s="737">
        <v>7</v>
      </c>
      <c r="Q68" s="738"/>
      <c r="R68" s="737">
        <v>8</v>
      </c>
      <c r="S68" s="738"/>
      <c r="T68" s="737">
        <v>9</v>
      </c>
      <c r="U68" s="738"/>
      <c r="V68" s="737">
        <v>10</v>
      </c>
      <c r="W68" s="738"/>
      <c r="X68" s="737">
        <v>11</v>
      </c>
      <c r="Y68" s="738"/>
      <c r="Z68" s="737">
        <v>12</v>
      </c>
      <c r="AA68" s="738"/>
      <c r="AB68" s="737">
        <v>13</v>
      </c>
      <c r="AC68" s="738"/>
      <c r="AD68" s="737">
        <v>14</v>
      </c>
      <c r="AE68" s="738"/>
      <c r="AF68" s="737">
        <v>15</v>
      </c>
      <c r="AG68" s="738"/>
      <c r="AH68" s="742">
        <v>16</v>
      </c>
      <c r="AI68" s="738"/>
      <c r="AJ68" s="737">
        <v>17</v>
      </c>
      <c r="AK68" s="738"/>
      <c r="AL68" s="737">
        <v>18</v>
      </c>
      <c r="AM68" s="738"/>
      <c r="AN68" s="737">
        <v>19</v>
      </c>
      <c r="AO68" s="738"/>
      <c r="AP68" s="737">
        <v>20</v>
      </c>
      <c r="AQ68" s="738"/>
      <c r="AR68" s="737">
        <v>21</v>
      </c>
      <c r="AS68" s="738"/>
      <c r="AT68" s="737">
        <v>22</v>
      </c>
      <c r="AU68" s="738"/>
      <c r="AV68" s="737">
        <v>23</v>
      </c>
      <c r="AW68" s="738"/>
      <c r="AX68" s="737">
        <v>24</v>
      </c>
      <c r="AY68" s="738"/>
      <c r="AZ68" s="737">
        <v>25</v>
      </c>
      <c r="BA68" s="738"/>
      <c r="BB68" s="737">
        <v>26</v>
      </c>
      <c r="BC68" s="738"/>
      <c r="BD68" s="737">
        <v>27</v>
      </c>
      <c r="BE68" s="738"/>
      <c r="BF68" s="737">
        <v>28</v>
      </c>
      <c r="BG68" s="738"/>
      <c r="BH68" s="737">
        <v>29</v>
      </c>
      <c r="BI68" s="738"/>
      <c r="BJ68" s="737">
        <v>30</v>
      </c>
      <c r="BK68" s="738"/>
      <c r="BL68" s="741">
        <v>31</v>
      </c>
      <c r="BM68" s="741"/>
      <c r="BN68" s="738" t="s">
        <v>251</v>
      </c>
      <c r="BO68" s="760"/>
      <c r="BP68" s="763" t="s">
        <v>354</v>
      </c>
      <c r="BQ68" s="764"/>
    </row>
    <row r="69" spans="2:69" ht="24.75" customHeight="1">
      <c r="B69" s="744"/>
      <c r="C69" s="747"/>
      <c r="D69" s="752" t="str">
        <f>D2</f>
        <v>水</v>
      </c>
      <c r="E69" s="740"/>
      <c r="F69" s="739" t="str">
        <f>F2</f>
        <v>木</v>
      </c>
      <c r="G69" s="740"/>
      <c r="H69" s="739" t="str">
        <f>H2</f>
        <v>金</v>
      </c>
      <c r="I69" s="740"/>
      <c r="J69" s="739" t="str">
        <f>J2</f>
        <v>土</v>
      </c>
      <c r="K69" s="740"/>
      <c r="L69" s="739" t="str">
        <f>L2</f>
        <v>日</v>
      </c>
      <c r="M69" s="740"/>
      <c r="N69" s="739" t="str">
        <f>N2</f>
        <v>月</v>
      </c>
      <c r="O69" s="740"/>
      <c r="P69" s="739" t="str">
        <f>P2</f>
        <v>火</v>
      </c>
      <c r="Q69" s="740"/>
      <c r="R69" s="739" t="str">
        <f>R2</f>
        <v>水</v>
      </c>
      <c r="S69" s="740"/>
      <c r="T69" s="739" t="str">
        <f>T2</f>
        <v>木</v>
      </c>
      <c r="U69" s="740"/>
      <c r="V69" s="739" t="str">
        <f>V2</f>
        <v>金</v>
      </c>
      <c r="W69" s="740"/>
      <c r="X69" s="739" t="str">
        <f>X2</f>
        <v>土</v>
      </c>
      <c r="Y69" s="740"/>
      <c r="Z69" s="739" t="str">
        <f>Z2</f>
        <v>日</v>
      </c>
      <c r="AA69" s="740"/>
      <c r="AB69" s="739" t="str">
        <f>AB2</f>
        <v>月</v>
      </c>
      <c r="AC69" s="740"/>
      <c r="AD69" s="739" t="str">
        <f>AD2</f>
        <v>火</v>
      </c>
      <c r="AE69" s="740"/>
      <c r="AF69" s="739" t="str">
        <f>AF2</f>
        <v>水</v>
      </c>
      <c r="AG69" s="740"/>
      <c r="AH69" s="767" t="str">
        <f>AH2</f>
        <v>木</v>
      </c>
      <c r="AI69" s="767"/>
      <c r="AJ69" s="770" t="str">
        <f>AJ2</f>
        <v>金</v>
      </c>
      <c r="AK69" s="770"/>
      <c r="AL69" s="770" t="str">
        <f>AL2</f>
        <v>土</v>
      </c>
      <c r="AM69" s="770"/>
      <c r="AN69" s="770" t="str">
        <f>AN2</f>
        <v>日</v>
      </c>
      <c r="AO69" s="770"/>
      <c r="AP69" s="770" t="str">
        <f>AP2</f>
        <v>月</v>
      </c>
      <c r="AQ69" s="770"/>
      <c r="AR69" s="770" t="str">
        <f>AR2</f>
        <v>火</v>
      </c>
      <c r="AS69" s="770"/>
      <c r="AT69" s="770" t="str">
        <f>AT2</f>
        <v>水</v>
      </c>
      <c r="AU69" s="770"/>
      <c r="AV69" s="770" t="str">
        <f>AV2</f>
        <v>木</v>
      </c>
      <c r="AW69" s="770"/>
      <c r="AX69" s="770" t="str">
        <f>AX2</f>
        <v>金</v>
      </c>
      <c r="AY69" s="770"/>
      <c r="AZ69" s="770" t="str">
        <f>AZ2</f>
        <v>土</v>
      </c>
      <c r="BA69" s="770"/>
      <c r="BB69" s="770" t="str">
        <f>BB2</f>
        <v>日</v>
      </c>
      <c r="BC69" s="770"/>
      <c r="BD69" s="770" t="str">
        <f>BD2</f>
        <v>月</v>
      </c>
      <c r="BE69" s="770"/>
      <c r="BF69" s="770" t="str">
        <f>BF2</f>
        <v>火</v>
      </c>
      <c r="BG69" s="770"/>
      <c r="BH69" s="770" t="str">
        <f>BH2</f>
        <v>水</v>
      </c>
      <c r="BI69" s="770"/>
      <c r="BJ69" s="770" t="str">
        <f>BJ2</f>
        <v>木</v>
      </c>
      <c r="BK69" s="770"/>
      <c r="BL69" s="770" t="str">
        <f>BL2</f>
        <v>金</v>
      </c>
      <c r="BM69" s="770"/>
      <c r="BN69" s="761"/>
      <c r="BO69" s="762"/>
      <c r="BP69" s="765"/>
      <c r="BQ69" s="766"/>
    </row>
    <row r="70" spans="2:69" ht="24.95" customHeight="1" thickBot="1">
      <c r="B70" s="748"/>
      <c r="C70" s="750"/>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3"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45" customHeight="1" thickTop="1">
      <c r="B71" s="202" t="s">
        <v>262</v>
      </c>
      <c r="C71" s="145"/>
      <c r="D71" s="35"/>
      <c r="E71" s="36"/>
      <c r="F71" s="35"/>
      <c r="G71" s="36"/>
      <c r="H71" s="35">
        <v>2</v>
      </c>
      <c r="I71" s="36">
        <v>4</v>
      </c>
      <c r="J71" s="35"/>
      <c r="K71" s="36"/>
      <c r="L71" s="35"/>
      <c r="M71" s="36"/>
      <c r="N71" s="35"/>
      <c r="O71" s="36"/>
      <c r="P71" s="35"/>
      <c r="Q71" s="36"/>
      <c r="R71" s="35">
        <v>1</v>
      </c>
      <c r="S71" s="36">
        <v>2</v>
      </c>
      <c r="T71" s="35"/>
      <c r="U71" s="36"/>
      <c r="V71" s="35"/>
      <c r="W71" s="36"/>
      <c r="X71" s="35"/>
      <c r="Y71" s="36"/>
      <c r="Z71" s="35"/>
      <c r="AA71" s="36"/>
      <c r="AB71" s="35"/>
      <c r="AC71" s="36"/>
      <c r="AD71" s="35"/>
      <c r="AE71" s="36"/>
      <c r="AF71" s="35"/>
      <c r="AG71" s="9"/>
      <c r="AH71" s="89"/>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35"/>
      <c r="BK71" s="10"/>
      <c r="BL71" s="178"/>
      <c r="BM71" s="178"/>
      <c r="BN71" s="561">
        <f t="shared" ref="BN71:BO73" si="16">SUM(D71,F71,H71,J71,L71,N71,P71,R71,T71,V71,X71,Z71,AB71,AD71,AF71,AH71,AJ71,AL71,AN71,AP71,AR71,AT71,AV71,AX71,AZ71,BB71,BD71,BF71,BH71,BJ71,BL71)</f>
        <v>3</v>
      </c>
      <c r="BO71" s="559">
        <f t="shared" si="16"/>
        <v>6</v>
      </c>
      <c r="BP71" s="558">
        <f t="shared" ref="BP71:BQ73" si="17">BN71</f>
        <v>3</v>
      </c>
      <c r="BQ71" s="559">
        <f t="shared" si="17"/>
        <v>6</v>
      </c>
    </row>
    <row r="72" spans="2:69" s="6" customFormat="1" ht="45" customHeight="1">
      <c r="B72" s="201" t="s">
        <v>4</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601"/>
      <c r="AG72" s="569"/>
      <c r="AH72" s="56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561">
        <f t="shared" si="16"/>
        <v>0</v>
      </c>
      <c r="BO72" s="559">
        <f t="shared" si="16"/>
        <v>0</v>
      </c>
      <c r="BP72" s="558">
        <f t="shared" si="17"/>
        <v>0</v>
      </c>
      <c r="BQ72" s="559">
        <f t="shared" si="17"/>
        <v>0</v>
      </c>
    </row>
    <row r="73" spans="2:69" s="6" customFormat="1" ht="45" customHeight="1">
      <c r="B73" s="201" t="s">
        <v>11</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601"/>
      <c r="AG73" s="569"/>
      <c r="AH73" s="56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561">
        <f t="shared" si="16"/>
        <v>0</v>
      </c>
      <c r="BO73" s="559">
        <f t="shared" si="16"/>
        <v>0</v>
      </c>
      <c r="BP73" s="558">
        <f t="shared" si="17"/>
        <v>0</v>
      </c>
      <c r="BQ73" s="559">
        <f t="shared" si="17"/>
        <v>0</v>
      </c>
    </row>
    <row r="74" spans="2:69" ht="15.95" customHeight="1" thickBot="1">
      <c r="B74" s="155"/>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612"/>
      <c r="AG74" s="593"/>
      <c r="AH74" s="592"/>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c r="BO74" s="104"/>
      <c r="BP74" s="258"/>
      <c r="BQ74" s="263"/>
    </row>
    <row r="75" spans="2:69" ht="36" customHeight="1" thickBot="1">
      <c r="B75" s="119" t="s">
        <v>101</v>
      </c>
      <c r="C75" s="151"/>
      <c r="D75" s="32">
        <f t="shared" ref="D75:AG75" si="18">SUM(D71:D74)</f>
        <v>0</v>
      </c>
      <c r="E75" s="31">
        <f t="shared" si="18"/>
        <v>0</v>
      </c>
      <c r="F75" s="39">
        <f t="shared" si="18"/>
        <v>0</v>
      </c>
      <c r="G75" s="31">
        <f t="shared" si="18"/>
        <v>0</v>
      </c>
      <c r="H75" s="39">
        <f t="shared" si="18"/>
        <v>2</v>
      </c>
      <c r="I75" s="31">
        <f t="shared" si="18"/>
        <v>4</v>
      </c>
      <c r="J75" s="39">
        <f t="shared" si="18"/>
        <v>0</v>
      </c>
      <c r="K75" s="31">
        <f t="shared" si="18"/>
        <v>0</v>
      </c>
      <c r="L75" s="39">
        <f t="shared" si="18"/>
        <v>0</v>
      </c>
      <c r="M75" s="31">
        <f t="shared" si="18"/>
        <v>0</v>
      </c>
      <c r="N75" s="39">
        <f t="shared" si="18"/>
        <v>0</v>
      </c>
      <c r="O75" s="31">
        <f t="shared" si="18"/>
        <v>0</v>
      </c>
      <c r="P75" s="39">
        <f t="shared" si="18"/>
        <v>0</v>
      </c>
      <c r="Q75" s="31">
        <f t="shared" si="18"/>
        <v>0</v>
      </c>
      <c r="R75" s="39">
        <f t="shared" si="18"/>
        <v>1</v>
      </c>
      <c r="S75" s="31">
        <f t="shared" si="18"/>
        <v>2</v>
      </c>
      <c r="T75" s="39">
        <f t="shared" si="18"/>
        <v>0</v>
      </c>
      <c r="U75" s="31">
        <f t="shared" si="18"/>
        <v>0</v>
      </c>
      <c r="V75" s="39">
        <f t="shared" si="18"/>
        <v>0</v>
      </c>
      <c r="W75" s="31">
        <f t="shared" si="18"/>
        <v>0</v>
      </c>
      <c r="X75" s="39">
        <f t="shared" si="18"/>
        <v>0</v>
      </c>
      <c r="Y75" s="31">
        <f t="shared" si="18"/>
        <v>0</v>
      </c>
      <c r="Z75" s="39">
        <f t="shared" si="18"/>
        <v>0</v>
      </c>
      <c r="AA75" s="31">
        <f t="shared" si="18"/>
        <v>0</v>
      </c>
      <c r="AB75" s="39">
        <f t="shared" si="18"/>
        <v>0</v>
      </c>
      <c r="AC75" s="31">
        <f t="shared" si="18"/>
        <v>0</v>
      </c>
      <c r="AD75" s="39">
        <f t="shared" si="18"/>
        <v>0</v>
      </c>
      <c r="AE75" s="31">
        <f t="shared" si="18"/>
        <v>0</v>
      </c>
      <c r="AF75" s="39">
        <f t="shared" si="18"/>
        <v>0</v>
      </c>
      <c r="AG75" s="31">
        <f t="shared" si="18"/>
        <v>0</v>
      </c>
      <c r="AH75" s="28">
        <f t="shared" ref="AH75:BK75" si="19">SUM(AH71:AH74)</f>
        <v>0</v>
      </c>
      <c r="AI75" s="31">
        <f t="shared" si="19"/>
        <v>0</v>
      </c>
      <c r="AJ75" s="39">
        <f t="shared" si="19"/>
        <v>0</v>
      </c>
      <c r="AK75" s="31">
        <f t="shared" si="19"/>
        <v>0</v>
      </c>
      <c r="AL75" s="39">
        <f t="shared" si="19"/>
        <v>0</v>
      </c>
      <c r="AM75" s="31">
        <f t="shared" si="19"/>
        <v>0</v>
      </c>
      <c r="AN75" s="39">
        <f t="shared" si="19"/>
        <v>0</v>
      </c>
      <c r="AO75" s="31">
        <f t="shared" si="19"/>
        <v>0</v>
      </c>
      <c r="AP75" s="39">
        <f t="shared" si="19"/>
        <v>0</v>
      </c>
      <c r="AQ75" s="31">
        <f t="shared" si="19"/>
        <v>0</v>
      </c>
      <c r="AR75" s="39">
        <f t="shared" si="19"/>
        <v>0</v>
      </c>
      <c r="AS75" s="31">
        <f t="shared" si="19"/>
        <v>0</v>
      </c>
      <c r="AT75" s="39">
        <f t="shared" si="19"/>
        <v>0</v>
      </c>
      <c r="AU75" s="31">
        <f t="shared" si="19"/>
        <v>0</v>
      </c>
      <c r="AV75" s="39">
        <f t="shared" si="19"/>
        <v>0</v>
      </c>
      <c r="AW75" s="31">
        <f t="shared" si="19"/>
        <v>0</v>
      </c>
      <c r="AX75" s="39">
        <f t="shared" si="19"/>
        <v>0</v>
      </c>
      <c r="AY75" s="31">
        <f t="shared" si="19"/>
        <v>0</v>
      </c>
      <c r="AZ75" s="39">
        <f t="shared" si="19"/>
        <v>0</v>
      </c>
      <c r="BA75" s="31">
        <f t="shared" si="19"/>
        <v>0</v>
      </c>
      <c r="BB75" s="39">
        <f t="shared" si="19"/>
        <v>0</v>
      </c>
      <c r="BC75" s="31">
        <f t="shared" si="19"/>
        <v>0</v>
      </c>
      <c r="BD75" s="39">
        <f t="shared" si="19"/>
        <v>0</v>
      </c>
      <c r="BE75" s="31">
        <f t="shared" si="19"/>
        <v>0</v>
      </c>
      <c r="BF75" s="39">
        <f t="shared" si="19"/>
        <v>0</v>
      </c>
      <c r="BG75" s="31">
        <f t="shared" si="19"/>
        <v>0</v>
      </c>
      <c r="BH75" s="39">
        <f t="shared" si="19"/>
        <v>0</v>
      </c>
      <c r="BI75" s="31">
        <f t="shared" si="19"/>
        <v>0</v>
      </c>
      <c r="BJ75" s="39">
        <f t="shared" si="19"/>
        <v>0</v>
      </c>
      <c r="BK75" s="41">
        <f t="shared" si="19"/>
        <v>0</v>
      </c>
      <c r="BL75" s="182">
        <f t="shared" ref="BL75:BQ75" si="20">SUM(BL71:BL74)</f>
        <v>0</v>
      </c>
      <c r="BM75" s="182">
        <f t="shared" si="20"/>
        <v>0</v>
      </c>
      <c r="BN75" s="32">
        <f t="shared" si="20"/>
        <v>3</v>
      </c>
      <c r="BO75" s="40">
        <f t="shared" si="20"/>
        <v>6</v>
      </c>
      <c r="BP75" s="245">
        <f t="shared" si="20"/>
        <v>3</v>
      </c>
      <c r="BQ75" s="246">
        <f t="shared" si="20"/>
        <v>6</v>
      </c>
    </row>
    <row r="76" spans="2:69" ht="27.75" customHeight="1" thickBot="1">
      <c r="B76" s="120"/>
      <c r="AG76" s="34"/>
      <c r="AJ76" s="7"/>
      <c r="AK76" s="7"/>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43" t="s">
        <v>81</v>
      </c>
      <c r="C77" s="749">
        <f>COUNTIF(B80:B88,"*")</f>
        <v>7</v>
      </c>
      <c r="D77" s="751">
        <v>1</v>
      </c>
      <c r="E77" s="738"/>
      <c r="F77" s="737">
        <v>2</v>
      </c>
      <c r="G77" s="738"/>
      <c r="H77" s="737">
        <v>3</v>
      </c>
      <c r="I77" s="738"/>
      <c r="J77" s="737">
        <v>4</v>
      </c>
      <c r="K77" s="738"/>
      <c r="L77" s="737">
        <v>5</v>
      </c>
      <c r="M77" s="738"/>
      <c r="N77" s="737">
        <v>6</v>
      </c>
      <c r="O77" s="738"/>
      <c r="P77" s="737">
        <v>7</v>
      </c>
      <c r="Q77" s="738"/>
      <c r="R77" s="737">
        <v>8</v>
      </c>
      <c r="S77" s="738"/>
      <c r="T77" s="737">
        <v>9</v>
      </c>
      <c r="U77" s="738"/>
      <c r="V77" s="737">
        <v>10</v>
      </c>
      <c r="W77" s="738"/>
      <c r="X77" s="737">
        <v>11</v>
      </c>
      <c r="Y77" s="738"/>
      <c r="Z77" s="737">
        <v>12</v>
      </c>
      <c r="AA77" s="738"/>
      <c r="AB77" s="737">
        <v>13</v>
      </c>
      <c r="AC77" s="738"/>
      <c r="AD77" s="737">
        <v>14</v>
      </c>
      <c r="AE77" s="738"/>
      <c r="AF77" s="737">
        <v>15</v>
      </c>
      <c r="AG77" s="738"/>
      <c r="AH77" s="738">
        <v>16</v>
      </c>
      <c r="AI77" s="741"/>
      <c r="AJ77" s="741">
        <v>17</v>
      </c>
      <c r="AK77" s="741"/>
      <c r="AL77" s="741">
        <v>18</v>
      </c>
      <c r="AM77" s="741"/>
      <c r="AN77" s="741">
        <v>19</v>
      </c>
      <c r="AO77" s="741"/>
      <c r="AP77" s="741">
        <v>20</v>
      </c>
      <c r="AQ77" s="741"/>
      <c r="AR77" s="741">
        <v>21</v>
      </c>
      <c r="AS77" s="741"/>
      <c r="AT77" s="741">
        <v>22</v>
      </c>
      <c r="AU77" s="741"/>
      <c r="AV77" s="741">
        <v>23</v>
      </c>
      <c r="AW77" s="741"/>
      <c r="AX77" s="741">
        <v>24</v>
      </c>
      <c r="AY77" s="741"/>
      <c r="AZ77" s="741">
        <v>25</v>
      </c>
      <c r="BA77" s="741"/>
      <c r="BB77" s="741">
        <v>26</v>
      </c>
      <c r="BC77" s="741"/>
      <c r="BD77" s="741">
        <v>27</v>
      </c>
      <c r="BE77" s="741"/>
      <c r="BF77" s="741">
        <v>28</v>
      </c>
      <c r="BG77" s="741"/>
      <c r="BH77" s="741">
        <v>29</v>
      </c>
      <c r="BI77" s="741"/>
      <c r="BJ77" s="741">
        <v>30</v>
      </c>
      <c r="BK77" s="741"/>
      <c r="BL77" s="741">
        <v>31</v>
      </c>
      <c r="BM77" s="741"/>
      <c r="BN77" s="738" t="s">
        <v>251</v>
      </c>
      <c r="BO77" s="760"/>
      <c r="BP77" s="771" t="s">
        <v>353</v>
      </c>
      <c r="BQ77" s="772"/>
    </row>
    <row r="78" spans="2:69" ht="24.95" customHeight="1">
      <c r="B78" s="744"/>
      <c r="C78" s="747"/>
      <c r="D78" s="752" t="str">
        <f>D2</f>
        <v>水</v>
      </c>
      <c r="E78" s="740"/>
      <c r="F78" s="739" t="str">
        <f>F2</f>
        <v>木</v>
      </c>
      <c r="G78" s="740"/>
      <c r="H78" s="739" t="str">
        <f>H2</f>
        <v>金</v>
      </c>
      <c r="I78" s="740"/>
      <c r="J78" s="739" t="str">
        <f>J2</f>
        <v>土</v>
      </c>
      <c r="K78" s="740"/>
      <c r="L78" s="739" t="str">
        <f>L2</f>
        <v>日</v>
      </c>
      <c r="M78" s="740"/>
      <c r="N78" s="739" t="str">
        <f>N2</f>
        <v>月</v>
      </c>
      <c r="O78" s="740"/>
      <c r="P78" s="739" t="str">
        <f>P2</f>
        <v>火</v>
      </c>
      <c r="Q78" s="740"/>
      <c r="R78" s="739" t="str">
        <f>R2</f>
        <v>水</v>
      </c>
      <c r="S78" s="740"/>
      <c r="T78" s="739" t="str">
        <f>T2</f>
        <v>木</v>
      </c>
      <c r="U78" s="740"/>
      <c r="V78" s="739" t="str">
        <f>V2</f>
        <v>金</v>
      </c>
      <c r="W78" s="740"/>
      <c r="X78" s="739" t="str">
        <f>X2</f>
        <v>土</v>
      </c>
      <c r="Y78" s="740"/>
      <c r="Z78" s="739" t="str">
        <f>Z2</f>
        <v>日</v>
      </c>
      <c r="AA78" s="740"/>
      <c r="AB78" s="739" t="str">
        <f>AB2</f>
        <v>月</v>
      </c>
      <c r="AC78" s="740"/>
      <c r="AD78" s="739" t="str">
        <f>AD2</f>
        <v>火</v>
      </c>
      <c r="AE78" s="740"/>
      <c r="AF78" s="739" t="str">
        <f>AF2</f>
        <v>水</v>
      </c>
      <c r="AG78" s="740"/>
      <c r="AH78" s="767" t="str">
        <f>AH2</f>
        <v>木</v>
      </c>
      <c r="AI78" s="767"/>
      <c r="AJ78" s="770" t="str">
        <f>AJ2</f>
        <v>金</v>
      </c>
      <c r="AK78" s="770"/>
      <c r="AL78" s="770" t="str">
        <f>AL2</f>
        <v>土</v>
      </c>
      <c r="AM78" s="770"/>
      <c r="AN78" s="770" t="str">
        <f>AN2</f>
        <v>日</v>
      </c>
      <c r="AO78" s="770"/>
      <c r="AP78" s="770" t="str">
        <f>AP2</f>
        <v>月</v>
      </c>
      <c r="AQ78" s="770"/>
      <c r="AR78" s="770" t="str">
        <f>AR2</f>
        <v>火</v>
      </c>
      <c r="AS78" s="770"/>
      <c r="AT78" s="770" t="str">
        <f>AT2</f>
        <v>水</v>
      </c>
      <c r="AU78" s="770"/>
      <c r="AV78" s="770" t="str">
        <f>AV2</f>
        <v>木</v>
      </c>
      <c r="AW78" s="770"/>
      <c r="AX78" s="770" t="str">
        <f>AX2</f>
        <v>金</v>
      </c>
      <c r="AY78" s="770"/>
      <c r="AZ78" s="770" t="str">
        <f>AZ2</f>
        <v>土</v>
      </c>
      <c r="BA78" s="770"/>
      <c r="BB78" s="770" t="str">
        <f>BB2</f>
        <v>日</v>
      </c>
      <c r="BC78" s="770"/>
      <c r="BD78" s="770" t="str">
        <f>BD2</f>
        <v>月</v>
      </c>
      <c r="BE78" s="770"/>
      <c r="BF78" s="770" t="str">
        <f>BF2</f>
        <v>火</v>
      </c>
      <c r="BG78" s="770"/>
      <c r="BH78" s="770" t="str">
        <f>BH2</f>
        <v>水</v>
      </c>
      <c r="BI78" s="770"/>
      <c r="BJ78" s="770" t="str">
        <f>BJ2</f>
        <v>木</v>
      </c>
      <c r="BK78" s="770"/>
      <c r="BL78" s="770" t="str">
        <f>BL2</f>
        <v>金</v>
      </c>
      <c r="BM78" s="770"/>
      <c r="BN78" s="761"/>
      <c r="BO78" s="762"/>
      <c r="BP78" s="773"/>
      <c r="BQ78" s="774"/>
    </row>
    <row r="79" spans="2:69" ht="24.95" customHeight="1" thickBot="1">
      <c r="B79" s="748"/>
      <c r="C79" s="750"/>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3"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45" customHeight="1" thickTop="1">
      <c r="B80" s="201" t="s">
        <v>225</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601"/>
      <c r="AG80" s="569"/>
      <c r="AH80" s="56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561">
        <f>SUM(D80,F80,H80,J80,L80,N80,P80,R80,T80,V80,X80,Z80,AB80,AD80,AF80,AH80,AJ80,AL80,AN80,AP80,AR80,AT80,AV80,AX80,AZ80,BB80,BD80,BF80,BH80,BJ80,BL80)</f>
        <v>0</v>
      </c>
      <c r="BO80" s="559">
        <f>SUM(E80,G80,I80,K80,M80,O80,Q80,S80,U80,W80,Y80,AA80,AC80,AE80,AG80,AI80,AK80,AM80,AO80,AQ80,AS80,AU80,AW80,AY80,BA80,BC80,BE80,BG80,BI80,BK80,BM80)</f>
        <v>0</v>
      </c>
      <c r="BP80" s="558">
        <f>BN80</f>
        <v>0</v>
      </c>
      <c r="BQ80" s="559">
        <f>BO80</f>
        <v>0</v>
      </c>
    </row>
    <row r="81" spans="2:69" s="6" customFormat="1" ht="45" customHeight="1">
      <c r="B81" s="201" t="s">
        <v>326</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601"/>
      <c r="AG81" s="569"/>
      <c r="AH81" s="56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561">
        <f t="shared" ref="BN81:BN86" si="21">SUM(D81,F81,H81,J81,L81,N81,P81,R81,T81,V81,X81,Z81,AB81,AD81,AF81,AH81,AJ81,AL81,AN81,AP81,AR81,AT81,AV81,AX81,AZ81,BB81,BD81,BF81,BH81,BJ81,BL81)</f>
        <v>0</v>
      </c>
      <c r="BO81" s="559">
        <f t="shared" ref="BO81:BO86" si="22">SUM(E81,G81,I81,K81,M81,O81,Q81,S81,U81,W81,Y81,AA81,AC81,AE81,AG81,AI81,AK81,AM81,AO81,AQ81,AS81,AU81,AW81,AY81,BA81,BC81,BE81,BG81,BI81,BK81,BM81)</f>
        <v>0</v>
      </c>
      <c r="BP81" s="558">
        <f t="shared" ref="BP81:BP86" si="23">BN81</f>
        <v>0</v>
      </c>
      <c r="BQ81" s="559">
        <f t="shared" ref="BQ81:BQ86" si="24">BO81</f>
        <v>0</v>
      </c>
    </row>
    <row r="82" spans="2:69" s="6" customFormat="1" ht="45" customHeight="1">
      <c r="B82" s="201" t="s">
        <v>43</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601"/>
      <c r="AG82" s="569"/>
      <c r="AH82" s="56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561">
        <f t="shared" si="21"/>
        <v>0</v>
      </c>
      <c r="BO82" s="559">
        <f t="shared" si="22"/>
        <v>0</v>
      </c>
      <c r="BP82" s="558">
        <f t="shared" si="23"/>
        <v>0</v>
      </c>
      <c r="BQ82" s="559">
        <f t="shared" si="24"/>
        <v>0</v>
      </c>
    </row>
    <row r="83" spans="2:69" s="6" customFormat="1" ht="45" customHeight="1">
      <c r="B83" s="201" t="s">
        <v>170</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601"/>
      <c r="AG83" s="569"/>
      <c r="AH83" s="56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561">
        <f t="shared" si="21"/>
        <v>0</v>
      </c>
      <c r="BO83" s="559">
        <f t="shared" si="22"/>
        <v>0</v>
      </c>
      <c r="BP83" s="558">
        <f t="shared" si="23"/>
        <v>0</v>
      </c>
      <c r="BQ83" s="559">
        <f t="shared" si="24"/>
        <v>0</v>
      </c>
    </row>
    <row r="84" spans="2:69" s="6" customFormat="1" ht="45" customHeight="1">
      <c r="B84" s="201" t="s">
        <v>226</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601"/>
      <c r="AG84" s="569"/>
      <c r="AH84" s="56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561">
        <f t="shared" si="21"/>
        <v>0</v>
      </c>
      <c r="BO84" s="559">
        <f t="shared" si="22"/>
        <v>0</v>
      </c>
      <c r="BP84" s="558">
        <f t="shared" si="23"/>
        <v>0</v>
      </c>
      <c r="BQ84" s="559">
        <f t="shared" si="24"/>
        <v>0</v>
      </c>
    </row>
    <row r="85" spans="2:69" s="6" customFormat="1" ht="45" customHeight="1">
      <c r="B85" s="201" t="s">
        <v>100</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601"/>
      <c r="AG85" s="569"/>
      <c r="AH85" s="56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561">
        <f t="shared" si="21"/>
        <v>0</v>
      </c>
      <c r="BO85" s="559">
        <f t="shared" si="22"/>
        <v>0</v>
      </c>
      <c r="BP85" s="558">
        <f t="shared" si="23"/>
        <v>0</v>
      </c>
      <c r="BQ85" s="559">
        <f t="shared" si="24"/>
        <v>0</v>
      </c>
    </row>
    <row r="86" spans="2:69" s="6" customFormat="1" ht="45" customHeight="1">
      <c r="B86" s="201" t="s">
        <v>41</v>
      </c>
      <c r="C86" s="146"/>
      <c r="D86" s="37"/>
      <c r="E86" s="14"/>
      <c r="F86" s="37"/>
      <c r="G86" s="14"/>
      <c r="H86" s="37">
        <v>1</v>
      </c>
      <c r="I86" s="14">
        <v>2</v>
      </c>
      <c r="J86" s="37"/>
      <c r="K86" s="14"/>
      <c r="L86" s="37"/>
      <c r="M86" s="14"/>
      <c r="N86" s="37"/>
      <c r="O86" s="14"/>
      <c r="P86" s="37"/>
      <c r="Q86" s="14"/>
      <c r="R86" s="37"/>
      <c r="S86" s="14"/>
      <c r="T86" s="37"/>
      <c r="U86" s="14"/>
      <c r="V86" s="37">
        <v>1</v>
      </c>
      <c r="W86" s="14">
        <v>2</v>
      </c>
      <c r="X86" s="37"/>
      <c r="Y86" s="14"/>
      <c r="Z86" s="37"/>
      <c r="AA86" s="14"/>
      <c r="AB86" s="37"/>
      <c r="AC86" s="14"/>
      <c r="AD86" s="37"/>
      <c r="AE86" s="14"/>
      <c r="AF86" s="601"/>
      <c r="AG86" s="569"/>
      <c r="AH86" s="56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561">
        <f t="shared" si="21"/>
        <v>2</v>
      </c>
      <c r="BO86" s="559">
        <f t="shared" si="22"/>
        <v>4</v>
      </c>
      <c r="BP86" s="558">
        <f t="shared" si="23"/>
        <v>2</v>
      </c>
      <c r="BQ86" s="559">
        <f t="shared" si="24"/>
        <v>4</v>
      </c>
    </row>
    <row r="87" spans="2:69" s="6" customFormat="1" ht="45" customHeight="1">
      <c r="B87" s="201"/>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601"/>
      <c r="AG87" s="569"/>
      <c r="AH87" s="56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c r="BO87" s="47"/>
      <c r="BP87" s="420"/>
      <c r="BQ87" s="421"/>
    </row>
    <row r="88" spans="2:69" s="6" customFormat="1" ht="15.95" customHeight="1" thickBot="1">
      <c r="B88" s="201"/>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601"/>
      <c r="AG88" s="569"/>
      <c r="AH88" s="48"/>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422"/>
      <c r="BO88" s="49"/>
      <c r="BP88" s="259"/>
      <c r="BQ88" s="265"/>
    </row>
    <row r="89" spans="2:69" ht="36" customHeight="1" thickBot="1">
      <c r="B89" s="119" t="s">
        <v>462</v>
      </c>
      <c r="C89" s="149"/>
      <c r="D89" s="39">
        <f t="shared" ref="D89:AG89" si="25">SUM(D80:D88)</f>
        <v>0</v>
      </c>
      <c r="E89" s="31">
        <f t="shared" si="25"/>
        <v>0</v>
      </c>
      <c r="F89" s="39">
        <f t="shared" si="25"/>
        <v>0</v>
      </c>
      <c r="G89" s="31">
        <f t="shared" si="25"/>
        <v>0</v>
      </c>
      <c r="H89" s="39">
        <f t="shared" si="25"/>
        <v>1</v>
      </c>
      <c r="I89" s="31">
        <f t="shared" si="25"/>
        <v>2</v>
      </c>
      <c r="J89" s="39">
        <f t="shared" si="25"/>
        <v>0</v>
      </c>
      <c r="K89" s="31">
        <f t="shared" si="25"/>
        <v>0</v>
      </c>
      <c r="L89" s="39">
        <f t="shared" si="25"/>
        <v>0</v>
      </c>
      <c r="M89" s="31">
        <f t="shared" si="25"/>
        <v>0</v>
      </c>
      <c r="N89" s="39">
        <f t="shared" si="25"/>
        <v>0</v>
      </c>
      <c r="O89" s="31">
        <f t="shared" si="25"/>
        <v>0</v>
      </c>
      <c r="P89" s="39">
        <f t="shared" si="25"/>
        <v>0</v>
      </c>
      <c r="Q89" s="31">
        <f t="shared" si="25"/>
        <v>0</v>
      </c>
      <c r="R89" s="39">
        <f t="shared" si="25"/>
        <v>0</v>
      </c>
      <c r="S89" s="31">
        <f t="shared" si="25"/>
        <v>0</v>
      </c>
      <c r="T89" s="39">
        <f t="shared" si="25"/>
        <v>0</v>
      </c>
      <c r="U89" s="31">
        <f t="shared" si="25"/>
        <v>0</v>
      </c>
      <c r="V89" s="39">
        <f t="shared" si="25"/>
        <v>1</v>
      </c>
      <c r="W89" s="31">
        <f t="shared" si="25"/>
        <v>2</v>
      </c>
      <c r="X89" s="39">
        <f t="shared" si="25"/>
        <v>0</v>
      </c>
      <c r="Y89" s="31">
        <f t="shared" si="25"/>
        <v>0</v>
      </c>
      <c r="Z89" s="39">
        <f t="shared" si="25"/>
        <v>0</v>
      </c>
      <c r="AA89" s="31">
        <f t="shared" si="25"/>
        <v>0</v>
      </c>
      <c r="AB89" s="39">
        <f t="shared" si="25"/>
        <v>0</v>
      </c>
      <c r="AC89" s="31">
        <f t="shared" si="25"/>
        <v>0</v>
      </c>
      <c r="AD89" s="39">
        <f t="shared" si="25"/>
        <v>0</v>
      </c>
      <c r="AE89" s="31">
        <f t="shared" si="25"/>
        <v>0</v>
      </c>
      <c r="AF89" s="39">
        <f t="shared" si="25"/>
        <v>0</v>
      </c>
      <c r="AG89" s="31">
        <f t="shared" si="25"/>
        <v>0</v>
      </c>
      <c r="AH89" s="29">
        <f t="shared" ref="AH89:BQ89" si="26">SUM(AH80:AH88)</f>
        <v>0</v>
      </c>
      <c r="AI89" s="31">
        <f t="shared" si="26"/>
        <v>0</v>
      </c>
      <c r="AJ89" s="39">
        <f t="shared" si="26"/>
        <v>0</v>
      </c>
      <c r="AK89" s="31">
        <f t="shared" si="26"/>
        <v>0</v>
      </c>
      <c r="AL89" s="39">
        <f t="shared" si="26"/>
        <v>0</v>
      </c>
      <c r="AM89" s="31">
        <f t="shared" si="26"/>
        <v>0</v>
      </c>
      <c r="AN89" s="39">
        <f t="shared" si="26"/>
        <v>0</v>
      </c>
      <c r="AO89" s="31">
        <f t="shared" si="26"/>
        <v>0</v>
      </c>
      <c r="AP89" s="39">
        <f t="shared" si="26"/>
        <v>0</v>
      </c>
      <c r="AQ89" s="31">
        <f t="shared" si="26"/>
        <v>0</v>
      </c>
      <c r="AR89" s="39">
        <f t="shared" si="26"/>
        <v>0</v>
      </c>
      <c r="AS89" s="31">
        <f t="shared" si="26"/>
        <v>0</v>
      </c>
      <c r="AT89" s="39">
        <f t="shared" si="26"/>
        <v>0</v>
      </c>
      <c r="AU89" s="31">
        <f t="shared" si="26"/>
        <v>0</v>
      </c>
      <c r="AV89" s="39">
        <f t="shared" si="26"/>
        <v>0</v>
      </c>
      <c r="AW89" s="31">
        <f t="shared" si="26"/>
        <v>0</v>
      </c>
      <c r="AX89" s="39">
        <f t="shared" si="26"/>
        <v>0</v>
      </c>
      <c r="AY89" s="31">
        <f t="shared" si="26"/>
        <v>0</v>
      </c>
      <c r="AZ89" s="39">
        <f t="shared" si="26"/>
        <v>0</v>
      </c>
      <c r="BA89" s="31">
        <f t="shared" si="26"/>
        <v>0</v>
      </c>
      <c r="BB89" s="39">
        <f t="shared" si="26"/>
        <v>0</v>
      </c>
      <c r="BC89" s="31">
        <f t="shared" si="26"/>
        <v>0</v>
      </c>
      <c r="BD89" s="39">
        <f t="shared" si="26"/>
        <v>0</v>
      </c>
      <c r="BE89" s="31">
        <f t="shared" si="26"/>
        <v>0</v>
      </c>
      <c r="BF89" s="39">
        <f t="shared" si="26"/>
        <v>0</v>
      </c>
      <c r="BG89" s="31">
        <f t="shared" si="26"/>
        <v>0</v>
      </c>
      <c r="BH89" s="39">
        <f t="shared" si="26"/>
        <v>0</v>
      </c>
      <c r="BI89" s="31">
        <f t="shared" si="26"/>
        <v>0</v>
      </c>
      <c r="BJ89" s="39">
        <f t="shared" si="26"/>
        <v>0</v>
      </c>
      <c r="BK89" s="41">
        <f t="shared" si="26"/>
        <v>0</v>
      </c>
      <c r="BL89" s="39">
        <f t="shared" si="26"/>
        <v>0</v>
      </c>
      <c r="BM89" s="41">
        <f t="shared" si="26"/>
        <v>0</v>
      </c>
      <c r="BN89" s="32">
        <f t="shared" si="26"/>
        <v>2</v>
      </c>
      <c r="BO89" s="40">
        <f t="shared" si="26"/>
        <v>4</v>
      </c>
      <c r="BP89" s="245">
        <f t="shared" si="26"/>
        <v>2</v>
      </c>
      <c r="BQ89" s="246">
        <f t="shared" si="26"/>
        <v>4</v>
      </c>
    </row>
    <row r="90" spans="2:69" ht="27.75" customHeight="1" thickBot="1">
      <c r="B90" s="120"/>
      <c r="AG90" s="34"/>
      <c r="AJ90" s="7"/>
      <c r="AK90" s="7"/>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7"/>
      <c r="BL90" s="7"/>
      <c r="BM90" s="7"/>
      <c r="BN90" s="71"/>
      <c r="BO90" s="7"/>
      <c r="BP90" s="238"/>
      <c r="BQ90" s="239"/>
    </row>
    <row r="91" spans="2:69" ht="24.95" customHeight="1">
      <c r="B91" s="743" t="s">
        <v>82</v>
      </c>
      <c r="C91" s="749">
        <f>COUNTIF(B94:B95,"*")</f>
        <v>1</v>
      </c>
      <c r="D91" s="751">
        <v>1</v>
      </c>
      <c r="E91" s="738"/>
      <c r="F91" s="737">
        <v>2</v>
      </c>
      <c r="G91" s="738"/>
      <c r="H91" s="737">
        <v>3</v>
      </c>
      <c r="I91" s="738"/>
      <c r="J91" s="737">
        <v>4</v>
      </c>
      <c r="K91" s="738"/>
      <c r="L91" s="737">
        <v>5</v>
      </c>
      <c r="M91" s="738"/>
      <c r="N91" s="737">
        <v>6</v>
      </c>
      <c r="O91" s="738"/>
      <c r="P91" s="737">
        <v>7</v>
      </c>
      <c r="Q91" s="738"/>
      <c r="R91" s="737">
        <v>8</v>
      </c>
      <c r="S91" s="738"/>
      <c r="T91" s="737">
        <v>9</v>
      </c>
      <c r="U91" s="738"/>
      <c r="V91" s="737">
        <v>10</v>
      </c>
      <c r="W91" s="738"/>
      <c r="X91" s="737">
        <v>11</v>
      </c>
      <c r="Y91" s="738"/>
      <c r="Z91" s="737">
        <v>12</v>
      </c>
      <c r="AA91" s="738"/>
      <c r="AB91" s="737">
        <v>13</v>
      </c>
      <c r="AC91" s="738"/>
      <c r="AD91" s="737">
        <v>14</v>
      </c>
      <c r="AE91" s="738"/>
      <c r="AF91" s="737">
        <v>15</v>
      </c>
      <c r="AG91" s="738"/>
      <c r="AH91" s="738">
        <v>16</v>
      </c>
      <c r="AI91" s="741"/>
      <c r="AJ91" s="741">
        <v>17</v>
      </c>
      <c r="AK91" s="741"/>
      <c r="AL91" s="741">
        <v>18</v>
      </c>
      <c r="AM91" s="741"/>
      <c r="AN91" s="741">
        <v>19</v>
      </c>
      <c r="AO91" s="741"/>
      <c r="AP91" s="741">
        <v>20</v>
      </c>
      <c r="AQ91" s="741"/>
      <c r="AR91" s="741">
        <v>21</v>
      </c>
      <c r="AS91" s="741"/>
      <c r="AT91" s="741">
        <v>22</v>
      </c>
      <c r="AU91" s="741"/>
      <c r="AV91" s="741">
        <v>23</v>
      </c>
      <c r="AW91" s="741"/>
      <c r="AX91" s="741">
        <v>24</v>
      </c>
      <c r="AY91" s="741"/>
      <c r="AZ91" s="741">
        <v>25</v>
      </c>
      <c r="BA91" s="741"/>
      <c r="BB91" s="741">
        <v>26</v>
      </c>
      <c r="BC91" s="741"/>
      <c r="BD91" s="741">
        <v>27</v>
      </c>
      <c r="BE91" s="741"/>
      <c r="BF91" s="741">
        <v>28</v>
      </c>
      <c r="BG91" s="741"/>
      <c r="BH91" s="741">
        <v>29</v>
      </c>
      <c r="BI91" s="741"/>
      <c r="BJ91" s="741">
        <v>30</v>
      </c>
      <c r="BK91" s="741"/>
      <c r="BL91" s="741">
        <v>31</v>
      </c>
      <c r="BM91" s="741"/>
      <c r="BN91" s="738" t="s">
        <v>251</v>
      </c>
      <c r="BO91" s="760"/>
      <c r="BP91" s="771" t="s">
        <v>353</v>
      </c>
      <c r="BQ91" s="772"/>
    </row>
    <row r="92" spans="2:69" ht="24.75" customHeight="1">
      <c r="B92" s="744"/>
      <c r="C92" s="747"/>
      <c r="D92" s="752" t="str">
        <f>D2</f>
        <v>水</v>
      </c>
      <c r="E92" s="740"/>
      <c r="F92" s="739" t="str">
        <f>F2</f>
        <v>木</v>
      </c>
      <c r="G92" s="740"/>
      <c r="H92" s="739" t="str">
        <f>H2</f>
        <v>金</v>
      </c>
      <c r="I92" s="740"/>
      <c r="J92" s="739" t="str">
        <f>J2</f>
        <v>土</v>
      </c>
      <c r="K92" s="740"/>
      <c r="L92" s="739" t="str">
        <f>L2</f>
        <v>日</v>
      </c>
      <c r="M92" s="740"/>
      <c r="N92" s="739" t="str">
        <f>N2</f>
        <v>月</v>
      </c>
      <c r="O92" s="740"/>
      <c r="P92" s="739" t="str">
        <f>P2</f>
        <v>火</v>
      </c>
      <c r="Q92" s="740"/>
      <c r="R92" s="739" t="str">
        <f>R2</f>
        <v>水</v>
      </c>
      <c r="S92" s="740"/>
      <c r="T92" s="739" t="str">
        <f>T2</f>
        <v>木</v>
      </c>
      <c r="U92" s="740"/>
      <c r="V92" s="739" t="str">
        <f>V2</f>
        <v>金</v>
      </c>
      <c r="W92" s="740"/>
      <c r="X92" s="739" t="str">
        <f>X2</f>
        <v>土</v>
      </c>
      <c r="Y92" s="740"/>
      <c r="Z92" s="739" t="str">
        <f>Z2</f>
        <v>日</v>
      </c>
      <c r="AA92" s="740"/>
      <c r="AB92" s="739" t="str">
        <f>AB2</f>
        <v>月</v>
      </c>
      <c r="AC92" s="740"/>
      <c r="AD92" s="739" t="str">
        <f>AD2</f>
        <v>火</v>
      </c>
      <c r="AE92" s="740"/>
      <c r="AF92" s="739" t="str">
        <f>AF2</f>
        <v>水</v>
      </c>
      <c r="AG92" s="740"/>
      <c r="AH92" s="767" t="str">
        <f>AH2</f>
        <v>木</v>
      </c>
      <c r="AI92" s="767"/>
      <c r="AJ92" s="770" t="str">
        <f>AJ2</f>
        <v>金</v>
      </c>
      <c r="AK92" s="770"/>
      <c r="AL92" s="770" t="str">
        <f>AL2</f>
        <v>土</v>
      </c>
      <c r="AM92" s="770"/>
      <c r="AN92" s="770" t="str">
        <f>AN2</f>
        <v>日</v>
      </c>
      <c r="AO92" s="770"/>
      <c r="AP92" s="770" t="str">
        <f>AP2</f>
        <v>月</v>
      </c>
      <c r="AQ92" s="770"/>
      <c r="AR92" s="770" t="str">
        <f>AR2</f>
        <v>火</v>
      </c>
      <c r="AS92" s="770"/>
      <c r="AT92" s="770" t="str">
        <f>AT2</f>
        <v>水</v>
      </c>
      <c r="AU92" s="770"/>
      <c r="AV92" s="770" t="str">
        <f>AV2</f>
        <v>木</v>
      </c>
      <c r="AW92" s="770"/>
      <c r="AX92" s="770" t="str">
        <f>AX2</f>
        <v>金</v>
      </c>
      <c r="AY92" s="770"/>
      <c r="AZ92" s="770" t="str">
        <f>AZ2</f>
        <v>土</v>
      </c>
      <c r="BA92" s="770"/>
      <c r="BB92" s="770" t="str">
        <f>BB2</f>
        <v>日</v>
      </c>
      <c r="BC92" s="770"/>
      <c r="BD92" s="770" t="str">
        <f>BD2</f>
        <v>月</v>
      </c>
      <c r="BE92" s="770"/>
      <c r="BF92" s="770" t="str">
        <f>BF2</f>
        <v>火</v>
      </c>
      <c r="BG92" s="770"/>
      <c r="BH92" s="770" t="str">
        <f>BH2</f>
        <v>水</v>
      </c>
      <c r="BI92" s="770"/>
      <c r="BJ92" s="770" t="str">
        <f>BJ2</f>
        <v>木</v>
      </c>
      <c r="BK92" s="770"/>
      <c r="BL92" s="770" t="str">
        <f>BL2</f>
        <v>金</v>
      </c>
      <c r="BM92" s="770"/>
      <c r="BN92" s="761"/>
      <c r="BO92" s="762"/>
      <c r="BP92" s="773"/>
      <c r="BQ92" s="774"/>
    </row>
    <row r="93" spans="2:69" ht="24.95" customHeight="1" thickBot="1">
      <c r="B93" s="748"/>
      <c r="C93" s="750"/>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3"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
        <v>42</v>
      </c>
      <c r="C94" s="145"/>
      <c r="D94" s="37"/>
      <c r="E94" s="14"/>
      <c r="F94" s="37"/>
      <c r="G94" s="14"/>
      <c r="H94" s="37">
        <v>1</v>
      </c>
      <c r="I94" s="14">
        <v>1</v>
      </c>
      <c r="J94" s="37"/>
      <c r="K94" s="14"/>
      <c r="L94" s="37"/>
      <c r="M94" s="14"/>
      <c r="N94" s="37"/>
      <c r="O94" s="14"/>
      <c r="P94" s="37"/>
      <c r="Q94" s="14"/>
      <c r="R94" s="37"/>
      <c r="S94" s="14"/>
      <c r="T94" s="37"/>
      <c r="U94" s="14"/>
      <c r="V94" s="37"/>
      <c r="W94" s="14"/>
      <c r="X94" s="37"/>
      <c r="Y94" s="14"/>
      <c r="Z94" s="37"/>
      <c r="AA94" s="14"/>
      <c r="AB94" s="37"/>
      <c r="AC94" s="14"/>
      <c r="AD94" s="37"/>
      <c r="AE94" s="14"/>
      <c r="AF94" s="601"/>
      <c r="AG94" s="569"/>
      <c r="AH94" s="56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37"/>
      <c r="BK94" s="15"/>
      <c r="BL94" s="37"/>
      <c r="BM94" s="15"/>
      <c r="BN94" s="561">
        <f>SUM(D94,F94,H94,J94,L94,N94,P94,R94,T94,V94,X94,Z94,AB94,AD94,AF94,AH94,AJ94,AL94,AN94,AP94,AR94,AT94,AV94,AX94,AZ94,BB94,BD94,BF94,BH94,BJ94,BL94)</f>
        <v>1</v>
      </c>
      <c r="BO94" s="559">
        <f>SUM(E94,G94,I94,K94,M94,O94,Q94,S94,U94,W94,Y94,AA94,AC94,AE94,AG94,AI94,AK94,AM94,AO94,AQ94,AS94,AU94,AW94,AY94,BA94,BC94,BE94,BG94,BI94,BK94,BM94)</f>
        <v>1</v>
      </c>
      <c r="BP94" s="558">
        <f>BN94</f>
        <v>1</v>
      </c>
      <c r="BQ94" s="559">
        <f>BO94</f>
        <v>1</v>
      </c>
    </row>
    <row r="95" spans="2:69" s="6" customFormat="1" ht="50.1" customHeight="1">
      <c r="B95" s="201"/>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601"/>
      <c r="AG95" s="569"/>
      <c r="AH95" s="56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561"/>
      <c r="BO95" s="559"/>
      <c r="BP95" s="558"/>
      <c r="BQ95" s="559"/>
    </row>
    <row r="96" spans="2:69" ht="50.1" customHeight="1" thickBot="1">
      <c r="B96" s="113"/>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612"/>
      <c r="AG96" s="593"/>
      <c r="AH96" s="592"/>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561"/>
      <c r="BO96" s="559"/>
      <c r="BP96" s="558"/>
      <c r="BQ96" s="559"/>
    </row>
    <row r="97" spans="2:69" ht="36" customHeight="1" thickBot="1">
      <c r="B97" s="119" t="s">
        <v>101</v>
      </c>
      <c r="C97" s="149"/>
      <c r="D97" s="39">
        <f t="shared" ref="D97:AG97" si="27">SUM(D94:D95)</f>
        <v>0</v>
      </c>
      <c r="E97" s="31">
        <f t="shared" si="27"/>
        <v>0</v>
      </c>
      <c r="F97" s="39">
        <f t="shared" si="27"/>
        <v>0</v>
      </c>
      <c r="G97" s="31">
        <f t="shared" si="27"/>
        <v>0</v>
      </c>
      <c r="H97" s="39">
        <f>SUM(H94:H95)</f>
        <v>1</v>
      </c>
      <c r="I97" s="31">
        <f t="shared" si="27"/>
        <v>1</v>
      </c>
      <c r="J97" s="39">
        <f t="shared" si="27"/>
        <v>0</v>
      </c>
      <c r="K97" s="31">
        <f t="shared" si="27"/>
        <v>0</v>
      </c>
      <c r="L97" s="39">
        <f t="shared" si="27"/>
        <v>0</v>
      </c>
      <c r="M97" s="31">
        <f t="shared" si="27"/>
        <v>0</v>
      </c>
      <c r="N97" s="39">
        <f t="shared" si="27"/>
        <v>0</v>
      </c>
      <c r="O97" s="31">
        <f t="shared" si="27"/>
        <v>0</v>
      </c>
      <c r="P97" s="39">
        <f t="shared" si="27"/>
        <v>0</v>
      </c>
      <c r="Q97" s="31">
        <f t="shared" si="27"/>
        <v>0</v>
      </c>
      <c r="R97" s="39">
        <f t="shared" si="27"/>
        <v>0</v>
      </c>
      <c r="S97" s="31">
        <f t="shared" si="27"/>
        <v>0</v>
      </c>
      <c r="T97" s="39">
        <f t="shared" si="27"/>
        <v>0</v>
      </c>
      <c r="U97" s="31">
        <f t="shared" si="27"/>
        <v>0</v>
      </c>
      <c r="V97" s="39">
        <f t="shared" si="27"/>
        <v>0</v>
      </c>
      <c r="W97" s="31">
        <f t="shared" si="27"/>
        <v>0</v>
      </c>
      <c r="X97" s="39">
        <f t="shared" si="27"/>
        <v>0</v>
      </c>
      <c r="Y97" s="31">
        <f t="shared" si="27"/>
        <v>0</v>
      </c>
      <c r="Z97" s="39">
        <f t="shared" si="27"/>
        <v>0</v>
      </c>
      <c r="AA97" s="31">
        <f t="shared" si="27"/>
        <v>0</v>
      </c>
      <c r="AB97" s="39">
        <f t="shared" si="27"/>
        <v>0</v>
      </c>
      <c r="AC97" s="31">
        <f t="shared" si="27"/>
        <v>0</v>
      </c>
      <c r="AD97" s="39">
        <f t="shared" si="27"/>
        <v>0</v>
      </c>
      <c r="AE97" s="31">
        <f t="shared" si="27"/>
        <v>0</v>
      </c>
      <c r="AF97" s="39">
        <f t="shared" si="27"/>
        <v>0</v>
      </c>
      <c r="AG97" s="31">
        <f t="shared" si="27"/>
        <v>0</v>
      </c>
      <c r="AH97" s="29">
        <f t="shared" ref="AH97:BK97" si="28">SUM(AH94:AH95)</f>
        <v>0</v>
      </c>
      <c r="AI97" s="31">
        <f t="shared" si="28"/>
        <v>0</v>
      </c>
      <c r="AJ97" s="39">
        <f t="shared" si="28"/>
        <v>0</v>
      </c>
      <c r="AK97" s="31">
        <f t="shared" si="28"/>
        <v>0</v>
      </c>
      <c r="AL97" s="39">
        <f>SUM(AL94:AL95)</f>
        <v>0</v>
      </c>
      <c r="AM97" s="31">
        <f t="shared" si="28"/>
        <v>0</v>
      </c>
      <c r="AN97" s="39">
        <f t="shared" si="28"/>
        <v>0</v>
      </c>
      <c r="AO97" s="31">
        <f t="shared" si="28"/>
        <v>0</v>
      </c>
      <c r="AP97" s="39">
        <f t="shared" si="28"/>
        <v>0</v>
      </c>
      <c r="AQ97" s="31">
        <f t="shared" si="28"/>
        <v>0</v>
      </c>
      <c r="AR97" s="39">
        <f t="shared" si="28"/>
        <v>0</v>
      </c>
      <c r="AS97" s="31">
        <f t="shared" si="28"/>
        <v>0</v>
      </c>
      <c r="AT97" s="39">
        <f t="shared" si="28"/>
        <v>0</v>
      </c>
      <c r="AU97" s="31">
        <f t="shared" si="28"/>
        <v>0</v>
      </c>
      <c r="AV97" s="39">
        <f t="shared" si="28"/>
        <v>0</v>
      </c>
      <c r="AW97" s="31">
        <f t="shared" si="28"/>
        <v>0</v>
      </c>
      <c r="AX97" s="39">
        <f t="shared" si="28"/>
        <v>0</v>
      </c>
      <c r="AY97" s="31">
        <f t="shared" si="28"/>
        <v>0</v>
      </c>
      <c r="AZ97" s="39">
        <f>SUM(AZ94:AZ95)</f>
        <v>0</v>
      </c>
      <c r="BA97" s="31">
        <f t="shared" si="28"/>
        <v>0</v>
      </c>
      <c r="BB97" s="39">
        <f t="shared" si="28"/>
        <v>0</v>
      </c>
      <c r="BC97" s="31">
        <f t="shared" si="28"/>
        <v>0</v>
      </c>
      <c r="BD97" s="39">
        <f t="shared" si="28"/>
        <v>0</v>
      </c>
      <c r="BE97" s="31">
        <f t="shared" si="28"/>
        <v>0</v>
      </c>
      <c r="BF97" s="39">
        <f t="shared" si="28"/>
        <v>0</v>
      </c>
      <c r="BG97" s="31">
        <f t="shared" si="28"/>
        <v>0</v>
      </c>
      <c r="BH97" s="39">
        <f t="shared" si="28"/>
        <v>0</v>
      </c>
      <c r="BI97" s="31">
        <f t="shared" si="28"/>
        <v>0</v>
      </c>
      <c r="BJ97" s="39">
        <f t="shared" si="28"/>
        <v>0</v>
      </c>
      <c r="BK97" s="41">
        <f t="shared" si="28"/>
        <v>0</v>
      </c>
      <c r="BL97" s="39">
        <f>SUM(BL94:BL95)</f>
        <v>0</v>
      </c>
      <c r="BM97" s="41">
        <f>SUM(BM94:BM95)</f>
        <v>0</v>
      </c>
      <c r="BN97" s="43">
        <f>SUM(BN94:BN96)</f>
        <v>1</v>
      </c>
      <c r="BO97" s="40">
        <f>SUM(BO94:BO96)</f>
        <v>1</v>
      </c>
      <c r="BP97" s="245">
        <f>SUM(BP94:BP96)</f>
        <v>1</v>
      </c>
      <c r="BQ97" s="246">
        <f>SUM(BQ94:BQ96)</f>
        <v>1</v>
      </c>
    </row>
    <row r="98" spans="2:69" ht="24.95" customHeight="1">
      <c r="B98" s="120"/>
      <c r="AG98" s="34"/>
      <c r="AJ98" s="7"/>
      <c r="AK98" s="7"/>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43" t="s">
        <v>83</v>
      </c>
      <c r="C100" s="749">
        <f>COUNTIF(B103:B107,"*")</f>
        <v>4</v>
      </c>
      <c r="D100" s="751">
        <v>1</v>
      </c>
      <c r="E100" s="738"/>
      <c r="F100" s="737">
        <v>2</v>
      </c>
      <c r="G100" s="738"/>
      <c r="H100" s="737">
        <v>3</v>
      </c>
      <c r="I100" s="738"/>
      <c r="J100" s="737">
        <v>4</v>
      </c>
      <c r="K100" s="738"/>
      <c r="L100" s="737">
        <v>5</v>
      </c>
      <c r="M100" s="738"/>
      <c r="N100" s="737">
        <v>6</v>
      </c>
      <c r="O100" s="738"/>
      <c r="P100" s="737">
        <v>7</v>
      </c>
      <c r="Q100" s="738"/>
      <c r="R100" s="737">
        <v>8</v>
      </c>
      <c r="S100" s="738"/>
      <c r="T100" s="737">
        <v>9</v>
      </c>
      <c r="U100" s="738"/>
      <c r="V100" s="737">
        <v>10</v>
      </c>
      <c r="W100" s="738"/>
      <c r="X100" s="737">
        <v>11</v>
      </c>
      <c r="Y100" s="738"/>
      <c r="Z100" s="737">
        <v>12</v>
      </c>
      <c r="AA100" s="738"/>
      <c r="AB100" s="737">
        <v>13</v>
      </c>
      <c r="AC100" s="738"/>
      <c r="AD100" s="737">
        <v>14</v>
      </c>
      <c r="AE100" s="738"/>
      <c r="AF100" s="737">
        <v>15</v>
      </c>
      <c r="AG100" s="738"/>
      <c r="AH100" s="738">
        <v>16</v>
      </c>
      <c r="AI100" s="741"/>
      <c r="AJ100" s="741">
        <v>17</v>
      </c>
      <c r="AK100" s="741"/>
      <c r="AL100" s="741">
        <v>18</v>
      </c>
      <c r="AM100" s="741"/>
      <c r="AN100" s="741">
        <v>19</v>
      </c>
      <c r="AO100" s="741"/>
      <c r="AP100" s="741">
        <v>20</v>
      </c>
      <c r="AQ100" s="741"/>
      <c r="AR100" s="741">
        <v>21</v>
      </c>
      <c r="AS100" s="741"/>
      <c r="AT100" s="741">
        <v>22</v>
      </c>
      <c r="AU100" s="741"/>
      <c r="AV100" s="741">
        <v>23</v>
      </c>
      <c r="AW100" s="741"/>
      <c r="AX100" s="741">
        <v>24</v>
      </c>
      <c r="AY100" s="741"/>
      <c r="AZ100" s="741">
        <v>25</v>
      </c>
      <c r="BA100" s="741"/>
      <c r="BB100" s="741">
        <v>26</v>
      </c>
      <c r="BC100" s="741"/>
      <c r="BD100" s="741">
        <v>27</v>
      </c>
      <c r="BE100" s="741"/>
      <c r="BF100" s="741">
        <v>28</v>
      </c>
      <c r="BG100" s="741"/>
      <c r="BH100" s="741">
        <v>29</v>
      </c>
      <c r="BI100" s="741"/>
      <c r="BJ100" s="741">
        <v>30</v>
      </c>
      <c r="BK100" s="741"/>
      <c r="BL100" s="741">
        <v>31</v>
      </c>
      <c r="BM100" s="741"/>
      <c r="BN100" s="738" t="s">
        <v>251</v>
      </c>
      <c r="BO100" s="760"/>
      <c r="BP100" s="771" t="s">
        <v>353</v>
      </c>
      <c r="BQ100" s="772"/>
    </row>
    <row r="101" spans="2:69" ht="24.95" customHeight="1">
      <c r="B101" s="744"/>
      <c r="C101" s="747"/>
      <c r="D101" s="752" t="str">
        <f>D2</f>
        <v>水</v>
      </c>
      <c r="E101" s="740"/>
      <c r="F101" s="739" t="str">
        <f>F2</f>
        <v>木</v>
      </c>
      <c r="G101" s="740"/>
      <c r="H101" s="739" t="str">
        <f>H2</f>
        <v>金</v>
      </c>
      <c r="I101" s="740"/>
      <c r="J101" s="739" t="str">
        <f>J2</f>
        <v>土</v>
      </c>
      <c r="K101" s="740"/>
      <c r="L101" s="739" t="str">
        <f>L2</f>
        <v>日</v>
      </c>
      <c r="M101" s="740"/>
      <c r="N101" s="739" t="str">
        <f>N2</f>
        <v>月</v>
      </c>
      <c r="O101" s="740"/>
      <c r="P101" s="739" t="str">
        <f>P2</f>
        <v>火</v>
      </c>
      <c r="Q101" s="740"/>
      <c r="R101" s="739" t="str">
        <f>R2</f>
        <v>水</v>
      </c>
      <c r="S101" s="740"/>
      <c r="T101" s="739" t="str">
        <f>T2</f>
        <v>木</v>
      </c>
      <c r="U101" s="740"/>
      <c r="V101" s="739" t="str">
        <f>V2</f>
        <v>金</v>
      </c>
      <c r="W101" s="740"/>
      <c r="X101" s="739" t="str">
        <f>X2</f>
        <v>土</v>
      </c>
      <c r="Y101" s="740"/>
      <c r="Z101" s="739" t="str">
        <f>Z2</f>
        <v>日</v>
      </c>
      <c r="AA101" s="740"/>
      <c r="AB101" s="739" t="str">
        <f>AB2</f>
        <v>月</v>
      </c>
      <c r="AC101" s="740"/>
      <c r="AD101" s="739" t="str">
        <f>AD2</f>
        <v>火</v>
      </c>
      <c r="AE101" s="740"/>
      <c r="AF101" s="739" t="str">
        <f>AF2</f>
        <v>水</v>
      </c>
      <c r="AG101" s="740"/>
      <c r="AH101" s="767" t="str">
        <f>AH2</f>
        <v>木</v>
      </c>
      <c r="AI101" s="767"/>
      <c r="AJ101" s="770" t="str">
        <f>AJ2</f>
        <v>金</v>
      </c>
      <c r="AK101" s="770"/>
      <c r="AL101" s="770" t="str">
        <f>AL2</f>
        <v>土</v>
      </c>
      <c r="AM101" s="770"/>
      <c r="AN101" s="770" t="str">
        <f>AN2</f>
        <v>日</v>
      </c>
      <c r="AO101" s="770"/>
      <c r="AP101" s="770" t="str">
        <f>AP2</f>
        <v>月</v>
      </c>
      <c r="AQ101" s="770"/>
      <c r="AR101" s="770" t="str">
        <f>AR2</f>
        <v>火</v>
      </c>
      <c r="AS101" s="770"/>
      <c r="AT101" s="770" t="str">
        <f>AT2</f>
        <v>水</v>
      </c>
      <c r="AU101" s="770"/>
      <c r="AV101" s="770" t="str">
        <f>AV2</f>
        <v>木</v>
      </c>
      <c r="AW101" s="770"/>
      <c r="AX101" s="770" t="str">
        <f>AX2</f>
        <v>金</v>
      </c>
      <c r="AY101" s="770"/>
      <c r="AZ101" s="770" t="str">
        <f>AZ2</f>
        <v>土</v>
      </c>
      <c r="BA101" s="770"/>
      <c r="BB101" s="770" t="str">
        <f>BB2</f>
        <v>日</v>
      </c>
      <c r="BC101" s="770"/>
      <c r="BD101" s="770" t="str">
        <f>BD2</f>
        <v>月</v>
      </c>
      <c r="BE101" s="770"/>
      <c r="BF101" s="770" t="str">
        <f>BF2</f>
        <v>火</v>
      </c>
      <c r="BG101" s="770"/>
      <c r="BH101" s="770" t="str">
        <f>BH2</f>
        <v>水</v>
      </c>
      <c r="BI101" s="770"/>
      <c r="BJ101" s="770" t="str">
        <f>BJ2</f>
        <v>木</v>
      </c>
      <c r="BK101" s="770"/>
      <c r="BL101" s="770" t="str">
        <f>BL2</f>
        <v>金</v>
      </c>
      <c r="BM101" s="770"/>
      <c r="BN101" s="761"/>
      <c r="BO101" s="762"/>
      <c r="BP101" s="773"/>
      <c r="BQ101" s="774"/>
    </row>
    <row r="102" spans="2:69" ht="24.95" customHeight="1" thickBot="1">
      <c r="B102" s="748"/>
      <c r="C102" s="750"/>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3"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0.1" customHeight="1" thickTop="1">
      <c r="B103" s="205" t="s">
        <v>350</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9"/>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46"/>
      <c r="BK103" s="10"/>
      <c r="BL103" s="11"/>
      <c r="BM103" s="10"/>
      <c r="BN103" s="561">
        <f t="shared" ref="BN103:BO106" si="29">SUM(D103,F103,H103,J103,L103,N103,P103,R103,T103,V103,X103,Z103,AB103,AD103,AF103,AH103,AJ103,AL103,AN103,AP103,AR103,AT103,AV103,AX103,AZ103,BB103,BD103,BF103,BH103,BJ103,BL103)</f>
        <v>0</v>
      </c>
      <c r="BO103" s="559">
        <f t="shared" si="29"/>
        <v>0</v>
      </c>
      <c r="BP103" s="558">
        <f t="shared" ref="BP103:BQ106" si="30">BN103</f>
        <v>0</v>
      </c>
      <c r="BQ103" s="559">
        <f t="shared" si="30"/>
        <v>0</v>
      </c>
    </row>
    <row r="104" spans="2:69" s="6" customFormat="1" ht="50.1" customHeight="1">
      <c r="B104" s="201" t="s">
        <v>227</v>
      </c>
      <c r="C104" s="146"/>
      <c r="D104" s="18"/>
      <c r="E104" s="14"/>
      <c r="F104" s="18"/>
      <c r="G104" s="14"/>
      <c r="H104" s="18"/>
      <c r="I104" s="14"/>
      <c r="J104" s="18"/>
      <c r="K104" s="14"/>
      <c r="L104" s="18"/>
      <c r="M104" s="14"/>
      <c r="N104" s="18"/>
      <c r="O104" s="14"/>
      <c r="P104" s="18"/>
      <c r="Q104" s="14"/>
      <c r="R104" s="18"/>
      <c r="S104" s="14"/>
      <c r="T104" s="18">
        <v>1</v>
      </c>
      <c r="U104" s="14">
        <v>1</v>
      </c>
      <c r="V104" s="18"/>
      <c r="W104" s="14"/>
      <c r="X104" s="18"/>
      <c r="Y104" s="14"/>
      <c r="Z104" s="18"/>
      <c r="AA104" s="14"/>
      <c r="AB104" s="18"/>
      <c r="AC104" s="14"/>
      <c r="AD104" s="18">
        <v>1</v>
      </c>
      <c r="AE104" s="14">
        <v>1</v>
      </c>
      <c r="AF104" s="567"/>
      <c r="AG104" s="569"/>
      <c r="AH104" s="567"/>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18"/>
      <c r="BK104" s="15"/>
      <c r="BL104" s="16"/>
      <c r="BM104" s="15"/>
      <c r="BN104" s="561">
        <f t="shared" si="29"/>
        <v>2</v>
      </c>
      <c r="BO104" s="559">
        <f t="shared" si="29"/>
        <v>2</v>
      </c>
      <c r="BP104" s="558">
        <f t="shared" si="30"/>
        <v>2</v>
      </c>
      <c r="BQ104" s="559">
        <f t="shared" si="30"/>
        <v>2</v>
      </c>
    </row>
    <row r="105" spans="2:69" s="6" customFormat="1" ht="50.1" customHeight="1">
      <c r="B105" s="201" t="s">
        <v>188</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567"/>
      <c r="AG105" s="569"/>
      <c r="AH105" s="567"/>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561">
        <f t="shared" si="29"/>
        <v>0</v>
      </c>
      <c r="BO105" s="559">
        <f t="shared" si="29"/>
        <v>0</v>
      </c>
      <c r="BP105" s="558">
        <f t="shared" si="30"/>
        <v>0</v>
      </c>
      <c r="BQ105" s="559">
        <f t="shared" si="30"/>
        <v>0</v>
      </c>
    </row>
    <row r="106" spans="2:69" s="6" customFormat="1" ht="50.1" customHeight="1">
      <c r="B106" s="201" t="s">
        <v>164</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567"/>
      <c r="AG106" s="569"/>
      <c r="AH106" s="567"/>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561">
        <f t="shared" si="29"/>
        <v>0</v>
      </c>
      <c r="BO106" s="559">
        <f t="shared" si="29"/>
        <v>0</v>
      </c>
      <c r="BP106" s="558">
        <f t="shared" si="30"/>
        <v>0</v>
      </c>
      <c r="BQ106" s="559">
        <f t="shared" si="30"/>
        <v>0</v>
      </c>
    </row>
    <row r="107" spans="2:69" s="4" customFormat="1" ht="50.1" customHeight="1" thickBot="1">
      <c r="B107" s="156"/>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4"/>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48"/>
      <c r="BK107" s="25"/>
      <c r="BL107" s="26"/>
      <c r="BM107" s="25"/>
      <c r="BN107" s="88"/>
      <c r="BO107" s="47"/>
      <c r="BP107" s="260"/>
      <c r="BQ107" s="264"/>
    </row>
    <row r="108" spans="2:69" s="6" customFormat="1" ht="45" customHeight="1" thickBot="1">
      <c r="B108" s="119" t="s">
        <v>101</v>
      </c>
      <c r="C108" s="149"/>
      <c r="D108" s="29">
        <f t="shared" ref="D108:AE108" si="31">SUM(D103:D107)</f>
        <v>0</v>
      </c>
      <c r="E108" s="31">
        <f t="shared" si="31"/>
        <v>0</v>
      </c>
      <c r="F108" s="29">
        <f t="shared" si="31"/>
        <v>0</v>
      </c>
      <c r="G108" s="31">
        <f t="shared" si="31"/>
        <v>0</v>
      </c>
      <c r="H108" s="29">
        <f t="shared" si="31"/>
        <v>0</v>
      </c>
      <c r="I108" s="31">
        <f t="shared" si="31"/>
        <v>0</v>
      </c>
      <c r="J108" s="29">
        <f t="shared" si="31"/>
        <v>0</v>
      </c>
      <c r="K108" s="31">
        <f t="shared" si="31"/>
        <v>0</v>
      </c>
      <c r="L108" s="29">
        <f t="shared" si="31"/>
        <v>0</v>
      </c>
      <c r="M108" s="31">
        <f t="shared" si="31"/>
        <v>0</v>
      </c>
      <c r="N108" s="29">
        <f t="shared" si="31"/>
        <v>0</v>
      </c>
      <c r="O108" s="31">
        <f t="shared" si="31"/>
        <v>0</v>
      </c>
      <c r="P108" s="29">
        <f t="shared" si="31"/>
        <v>0</v>
      </c>
      <c r="Q108" s="31">
        <f t="shared" si="31"/>
        <v>0</v>
      </c>
      <c r="R108" s="29">
        <f t="shared" si="31"/>
        <v>0</v>
      </c>
      <c r="S108" s="31">
        <f t="shared" si="31"/>
        <v>0</v>
      </c>
      <c r="T108" s="29">
        <f t="shared" si="31"/>
        <v>1</v>
      </c>
      <c r="U108" s="31">
        <f t="shared" si="31"/>
        <v>1</v>
      </c>
      <c r="V108" s="29">
        <f t="shared" si="31"/>
        <v>0</v>
      </c>
      <c r="W108" s="31">
        <f t="shared" si="31"/>
        <v>0</v>
      </c>
      <c r="X108" s="29">
        <f t="shared" si="31"/>
        <v>0</v>
      </c>
      <c r="Y108" s="31">
        <f t="shared" si="31"/>
        <v>0</v>
      </c>
      <c r="Z108" s="29">
        <f t="shared" si="31"/>
        <v>0</v>
      </c>
      <c r="AA108" s="31">
        <f t="shared" si="31"/>
        <v>0</v>
      </c>
      <c r="AB108" s="29">
        <f t="shared" si="31"/>
        <v>0</v>
      </c>
      <c r="AC108" s="31">
        <f t="shared" si="31"/>
        <v>0</v>
      </c>
      <c r="AD108" s="29">
        <f t="shared" si="31"/>
        <v>1</v>
      </c>
      <c r="AE108" s="31">
        <f t="shared" si="31"/>
        <v>1</v>
      </c>
      <c r="AF108" s="39">
        <f>SUM(AF103:AF107)</f>
        <v>0</v>
      </c>
      <c r="AG108" s="31">
        <f>SUM(AG103:AG107)</f>
        <v>0</v>
      </c>
      <c r="AH108" s="29">
        <f t="shared" ref="AH108:BL108" si="32">SUM(AH103:AH107)</f>
        <v>0</v>
      </c>
      <c r="AI108" s="31">
        <f t="shared" si="32"/>
        <v>0</v>
      </c>
      <c r="AJ108" s="29">
        <f t="shared" si="32"/>
        <v>0</v>
      </c>
      <c r="AK108" s="31">
        <f t="shared" si="32"/>
        <v>0</v>
      </c>
      <c r="AL108" s="29">
        <f t="shared" si="32"/>
        <v>0</v>
      </c>
      <c r="AM108" s="31">
        <f t="shared" si="32"/>
        <v>0</v>
      </c>
      <c r="AN108" s="29">
        <f t="shared" si="32"/>
        <v>0</v>
      </c>
      <c r="AO108" s="31">
        <f t="shared" si="32"/>
        <v>0</v>
      </c>
      <c r="AP108" s="29">
        <f t="shared" si="32"/>
        <v>0</v>
      </c>
      <c r="AQ108" s="31">
        <f t="shared" si="32"/>
        <v>0</v>
      </c>
      <c r="AR108" s="29">
        <f t="shared" si="32"/>
        <v>0</v>
      </c>
      <c r="AS108" s="31">
        <f t="shared" si="32"/>
        <v>0</v>
      </c>
      <c r="AT108" s="29">
        <f t="shared" si="32"/>
        <v>0</v>
      </c>
      <c r="AU108" s="31">
        <f t="shared" si="32"/>
        <v>0</v>
      </c>
      <c r="AV108" s="29">
        <f t="shared" si="32"/>
        <v>0</v>
      </c>
      <c r="AW108" s="31">
        <f t="shared" si="32"/>
        <v>0</v>
      </c>
      <c r="AX108" s="29">
        <f t="shared" si="32"/>
        <v>0</v>
      </c>
      <c r="AY108" s="31">
        <f t="shared" si="32"/>
        <v>0</v>
      </c>
      <c r="AZ108" s="29">
        <f t="shared" si="32"/>
        <v>0</v>
      </c>
      <c r="BA108" s="31">
        <f t="shared" si="32"/>
        <v>0</v>
      </c>
      <c r="BB108" s="29">
        <f t="shared" si="32"/>
        <v>0</v>
      </c>
      <c r="BC108" s="31">
        <f t="shared" si="32"/>
        <v>0</v>
      </c>
      <c r="BD108" s="29">
        <f t="shared" si="32"/>
        <v>0</v>
      </c>
      <c r="BE108" s="31">
        <f t="shared" si="32"/>
        <v>0</v>
      </c>
      <c r="BF108" s="29">
        <f t="shared" si="32"/>
        <v>0</v>
      </c>
      <c r="BG108" s="31">
        <f t="shared" si="32"/>
        <v>0</v>
      </c>
      <c r="BH108" s="29">
        <f t="shared" si="32"/>
        <v>0</v>
      </c>
      <c r="BI108" s="31">
        <f t="shared" si="32"/>
        <v>0</v>
      </c>
      <c r="BJ108" s="41">
        <f t="shared" si="32"/>
        <v>0</v>
      </c>
      <c r="BK108" s="31">
        <f t="shared" si="32"/>
        <v>0</v>
      </c>
      <c r="BL108" s="41">
        <f t="shared" si="32"/>
        <v>0</v>
      </c>
      <c r="BM108" s="31">
        <f>SUM(BM103:BM107)</f>
        <v>0</v>
      </c>
      <c r="BN108" s="32">
        <f>SUM(BN103:BN107)</f>
        <v>2</v>
      </c>
      <c r="BO108" s="40">
        <f>SUM(BO103:BO107)</f>
        <v>2</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43" t="s">
        <v>84</v>
      </c>
      <c r="C111" s="749">
        <f>COUNTIF(B114:B124,"*")</f>
        <v>11</v>
      </c>
      <c r="D111" s="751">
        <v>1</v>
      </c>
      <c r="E111" s="738"/>
      <c r="F111" s="737">
        <v>2</v>
      </c>
      <c r="G111" s="738"/>
      <c r="H111" s="737">
        <v>3</v>
      </c>
      <c r="I111" s="738"/>
      <c r="J111" s="737">
        <v>4</v>
      </c>
      <c r="K111" s="738"/>
      <c r="L111" s="737">
        <v>5</v>
      </c>
      <c r="M111" s="738"/>
      <c r="N111" s="737">
        <v>6</v>
      </c>
      <c r="O111" s="738"/>
      <c r="P111" s="737">
        <v>7</v>
      </c>
      <c r="Q111" s="738"/>
      <c r="R111" s="737">
        <v>8</v>
      </c>
      <c r="S111" s="738"/>
      <c r="T111" s="737">
        <v>9</v>
      </c>
      <c r="U111" s="738"/>
      <c r="V111" s="737">
        <v>10</v>
      </c>
      <c r="W111" s="738"/>
      <c r="X111" s="737">
        <v>11</v>
      </c>
      <c r="Y111" s="738"/>
      <c r="Z111" s="737">
        <v>12</v>
      </c>
      <c r="AA111" s="738"/>
      <c r="AB111" s="737">
        <v>13</v>
      </c>
      <c r="AC111" s="738"/>
      <c r="AD111" s="737">
        <v>14</v>
      </c>
      <c r="AE111" s="738"/>
      <c r="AF111" s="737">
        <v>15</v>
      </c>
      <c r="AG111" s="738"/>
      <c r="AH111" s="738">
        <v>16</v>
      </c>
      <c r="AI111" s="741"/>
      <c r="AJ111" s="741">
        <v>17</v>
      </c>
      <c r="AK111" s="741"/>
      <c r="AL111" s="741">
        <v>18</v>
      </c>
      <c r="AM111" s="741"/>
      <c r="AN111" s="741">
        <v>19</v>
      </c>
      <c r="AO111" s="741"/>
      <c r="AP111" s="741">
        <v>20</v>
      </c>
      <c r="AQ111" s="741"/>
      <c r="AR111" s="741">
        <v>21</v>
      </c>
      <c r="AS111" s="741"/>
      <c r="AT111" s="741">
        <v>22</v>
      </c>
      <c r="AU111" s="741"/>
      <c r="AV111" s="741">
        <v>23</v>
      </c>
      <c r="AW111" s="741"/>
      <c r="AX111" s="741">
        <v>24</v>
      </c>
      <c r="AY111" s="741"/>
      <c r="AZ111" s="741">
        <v>25</v>
      </c>
      <c r="BA111" s="741"/>
      <c r="BB111" s="741">
        <v>26</v>
      </c>
      <c r="BC111" s="741"/>
      <c r="BD111" s="741">
        <v>27</v>
      </c>
      <c r="BE111" s="741"/>
      <c r="BF111" s="741">
        <v>28</v>
      </c>
      <c r="BG111" s="741"/>
      <c r="BH111" s="741">
        <v>29</v>
      </c>
      <c r="BI111" s="741"/>
      <c r="BJ111" s="741">
        <v>30</v>
      </c>
      <c r="BK111" s="741"/>
      <c r="BL111" s="741">
        <v>31</v>
      </c>
      <c r="BM111" s="741"/>
      <c r="BN111" s="738" t="s">
        <v>251</v>
      </c>
      <c r="BO111" s="760"/>
      <c r="BP111" s="771" t="s">
        <v>353</v>
      </c>
      <c r="BQ111" s="772"/>
    </row>
    <row r="112" spans="2:69" ht="24.95" customHeight="1">
      <c r="B112" s="744"/>
      <c r="C112" s="747"/>
      <c r="D112" s="752" t="str">
        <f>D2</f>
        <v>水</v>
      </c>
      <c r="E112" s="740"/>
      <c r="F112" s="739" t="str">
        <f>F2</f>
        <v>木</v>
      </c>
      <c r="G112" s="740"/>
      <c r="H112" s="739" t="str">
        <f>H2</f>
        <v>金</v>
      </c>
      <c r="I112" s="740"/>
      <c r="J112" s="739" t="str">
        <f>J2</f>
        <v>土</v>
      </c>
      <c r="K112" s="740"/>
      <c r="L112" s="739" t="str">
        <f>L2</f>
        <v>日</v>
      </c>
      <c r="M112" s="740"/>
      <c r="N112" s="739" t="str">
        <f>N2</f>
        <v>月</v>
      </c>
      <c r="O112" s="740"/>
      <c r="P112" s="739" t="str">
        <f>P2</f>
        <v>火</v>
      </c>
      <c r="Q112" s="740"/>
      <c r="R112" s="739" t="str">
        <f>R2</f>
        <v>水</v>
      </c>
      <c r="S112" s="740"/>
      <c r="T112" s="739" t="str">
        <f>T2</f>
        <v>木</v>
      </c>
      <c r="U112" s="740"/>
      <c r="V112" s="739" t="str">
        <f>V2</f>
        <v>金</v>
      </c>
      <c r="W112" s="740"/>
      <c r="X112" s="739" t="str">
        <f>X2</f>
        <v>土</v>
      </c>
      <c r="Y112" s="740"/>
      <c r="Z112" s="739" t="str">
        <f>Z2</f>
        <v>日</v>
      </c>
      <c r="AA112" s="740"/>
      <c r="AB112" s="739" t="str">
        <f>AB2</f>
        <v>月</v>
      </c>
      <c r="AC112" s="740"/>
      <c r="AD112" s="739" t="str">
        <f>AD2</f>
        <v>火</v>
      </c>
      <c r="AE112" s="740"/>
      <c r="AF112" s="739" t="str">
        <f>AF2</f>
        <v>水</v>
      </c>
      <c r="AG112" s="740"/>
      <c r="AH112" s="767" t="str">
        <f>AH2</f>
        <v>木</v>
      </c>
      <c r="AI112" s="767"/>
      <c r="AJ112" s="770" t="str">
        <f>AJ2</f>
        <v>金</v>
      </c>
      <c r="AK112" s="770"/>
      <c r="AL112" s="770" t="str">
        <f>AL2</f>
        <v>土</v>
      </c>
      <c r="AM112" s="770"/>
      <c r="AN112" s="770" t="str">
        <f>AN2</f>
        <v>日</v>
      </c>
      <c r="AO112" s="770"/>
      <c r="AP112" s="770" t="str">
        <f>AP2</f>
        <v>月</v>
      </c>
      <c r="AQ112" s="770"/>
      <c r="AR112" s="770" t="str">
        <f>AR2</f>
        <v>火</v>
      </c>
      <c r="AS112" s="770"/>
      <c r="AT112" s="770" t="str">
        <f>AT2</f>
        <v>水</v>
      </c>
      <c r="AU112" s="770"/>
      <c r="AV112" s="770" t="str">
        <f>AV2</f>
        <v>木</v>
      </c>
      <c r="AW112" s="770"/>
      <c r="AX112" s="770" t="str">
        <f>AX2</f>
        <v>金</v>
      </c>
      <c r="AY112" s="770"/>
      <c r="AZ112" s="770" t="str">
        <f>AZ2</f>
        <v>土</v>
      </c>
      <c r="BA112" s="770"/>
      <c r="BB112" s="770" t="str">
        <f>BB2</f>
        <v>日</v>
      </c>
      <c r="BC112" s="770"/>
      <c r="BD112" s="770" t="str">
        <f>BD2</f>
        <v>月</v>
      </c>
      <c r="BE112" s="770"/>
      <c r="BF112" s="770" t="str">
        <f>BF2</f>
        <v>火</v>
      </c>
      <c r="BG112" s="770"/>
      <c r="BH112" s="770" t="str">
        <f>BH2</f>
        <v>水</v>
      </c>
      <c r="BI112" s="770"/>
      <c r="BJ112" s="770" t="str">
        <f>BJ2</f>
        <v>木</v>
      </c>
      <c r="BK112" s="770"/>
      <c r="BL112" s="770" t="str">
        <f>BL2</f>
        <v>金</v>
      </c>
      <c r="BM112" s="770"/>
      <c r="BN112" s="761"/>
      <c r="BO112" s="762"/>
      <c r="BP112" s="773"/>
      <c r="BQ112" s="774"/>
    </row>
    <row r="113" spans="2:69" ht="24.95" customHeight="1" thickBot="1">
      <c r="B113" s="748"/>
      <c r="C113" s="750"/>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3"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
        <v>283</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9"/>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46"/>
      <c r="BK114" s="10"/>
      <c r="BL114" s="179"/>
      <c r="BM114" s="9"/>
      <c r="BN114" s="561">
        <f>SUM(D114,F114,H114,J114,L114,N114,P114,R114,T114,V114,X114,Z114,AB114,AD114,AF114,AH114,AJ114,AL114,AN114,AP114,AR114,AT114,AV114,AX114,AZ114,BB114,BD114,BF114,BH114,BJ114,BL114)</f>
        <v>0</v>
      </c>
      <c r="BO114" s="559">
        <f>SUM(E114,G114,I114,K114,M114,O114,Q114,S114,U114,W114,Y114,AA114,AC114,AE114,AG114,AI114,AK114,AM114,AO114,AQ114,AS114,AU114,AW114,AY114,BA114,BC114,BE114,BG114,BI114,BK114,BM114)</f>
        <v>0</v>
      </c>
      <c r="BP114" s="558">
        <f>BN114</f>
        <v>0</v>
      </c>
      <c r="BQ114" s="559">
        <f>BO114</f>
        <v>0</v>
      </c>
    </row>
    <row r="115" spans="2:69" s="6" customFormat="1" ht="50.1" customHeight="1">
      <c r="B115" s="201" t="s">
        <v>239</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567"/>
      <c r="AG115" s="569"/>
      <c r="AH115" s="567"/>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18"/>
      <c r="BK115" s="15"/>
      <c r="BL115" s="37"/>
      <c r="BM115" s="14"/>
      <c r="BN115" s="561">
        <f t="shared" ref="BN115:BN125" si="33">SUM(D115,F115,H115,J115,L115,N115,P115,R115,T115,V115,X115,Z115,AB115,AD115,AF115,AH115,AJ115,AL115,AN115,AP115,AR115,AT115,AV115,AX115,AZ115,BB115,BD115,BF115,BH115,BJ115,BL115)</f>
        <v>0</v>
      </c>
      <c r="BO115" s="559">
        <f t="shared" ref="BO115:BO125" si="34">SUM(E115,G115,I115,K115,M115,O115,Q115,S115,U115,W115,Y115,AA115,AC115,AE115,AG115,AI115,AK115,AM115,AO115,AQ115,AS115,AU115,AW115,AY115,BA115,BC115,BE115,BG115,BI115,BK115,BM115)</f>
        <v>0</v>
      </c>
      <c r="BP115" s="558">
        <f t="shared" ref="BP115:BP125" si="35">BN115</f>
        <v>0</v>
      </c>
      <c r="BQ115" s="559">
        <f t="shared" ref="BQ115:BQ125" si="36">BO115</f>
        <v>0</v>
      </c>
    </row>
    <row r="116" spans="2:69" s="6" customFormat="1" ht="50.1" customHeight="1">
      <c r="B116" s="201" t="s">
        <v>229</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567"/>
      <c r="AG116" s="569"/>
      <c r="AH116" s="567"/>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561">
        <f t="shared" si="33"/>
        <v>0</v>
      </c>
      <c r="BO116" s="559">
        <f t="shared" si="34"/>
        <v>0</v>
      </c>
      <c r="BP116" s="558">
        <f t="shared" si="35"/>
        <v>0</v>
      </c>
      <c r="BQ116" s="559">
        <f t="shared" si="36"/>
        <v>0</v>
      </c>
    </row>
    <row r="117" spans="2:69" s="6" customFormat="1" ht="50.1" customHeight="1">
      <c r="B117" s="201" t="s">
        <v>216</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567"/>
      <c r="AG117" s="569"/>
      <c r="AH117" s="567"/>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561">
        <f t="shared" si="33"/>
        <v>0</v>
      </c>
      <c r="BO117" s="559">
        <f t="shared" si="34"/>
        <v>0</v>
      </c>
      <c r="BP117" s="558">
        <f t="shared" si="35"/>
        <v>0</v>
      </c>
      <c r="BQ117" s="559">
        <f t="shared" si="36"/>
        <v>0</v>
      </c>
    </row>
    <row r="118" spans="2:69" s="6" customFormat="1" ht="50.1" customHeight="1">
      <c r="B118" s="201" t="s">
        <v>244</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567"/>
      <c r="AG118" s="569"/>
      <c r="AH118" s="567"/>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561">
        <f t="shared" si="33"/>
        <v>0</v>
      </c>
      <c r="BO118" s="559">
        <f t="shared" si="34"/>
        <v>0</v>
      </c>
      <c r="BP118" s="558">
        <f t="shared" si="35"/>
        <v>0</v>
      </c>
      <c r="BQ118" s="559">
        <f t="shared" si="36"/>
        <v>0</v>
      </c>
    </row>
    <row r="119" spans="2:69" s="6" customFormat="1" ht="50.1" customHeight="1">
      <c r="B119" s="202" t="s">
        <v>144</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567"/>
      <c r="AG119" s="569"/>
      <c r="AH119" s="567"/>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561">
        <f t="shared" si="33"/>
        <v>0</v>
      </c>
      <c r="BO119" s="559">
        <f t="shared" si="34"/>
        <v>0</v>
      </c>
      <c r="BP119" s="558">
        <f t="shared" si="35"/>
        <v>0</v>
      </c>
      <c r="BQ119" s="559">
        <f t="shared" si="36"/>
        <v>0</v>
      </c>
    </row>
    <row r="120" spans="2:69" s="6" customFormat="1" ht="50.1" customHeight="1">
      <c r="B120" s="201" t="s">
        <v>9</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567"/>
      <c r="AG120" s="569"/>
      <c r="AH120" s="567"/>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561">
        <f t="shared" si="33"/>
        <v>0</v>
      </c>
      <c r="BO120" s="559">
        <f t="shared" si="34"/>
        <v>0</v>
      </c>
      <c r="BP120" s="558">
        <f t="shared" si="35"/>
        <v>0</v>
      </c>
      <c r="BQ120" s="559">
        <f t="shared" si="36"/>
        <v>0</v>
      </c>
    </row>
    <row r="121" spans="2:69" s="6" customFormat="1" ht="50.1" customHeight="1">
      <c r="B121" s="201" t="s">
        <v>53</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567"/>
      <c r="AG121" s="569"/>
      <c r="AH121" s="567"/>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561">
        <f t="shared" si="33"/>
        <v>0</v>
      </c>
      <c r="BO121" s="559">
        <f t="shared" si="34"/>
        <v>0</v>
      </c>
      <c r="BP121" s="558">
        <f t="shared" si="35"/>
        <v>0</v>
      </c>
      <c r="BQ121" s="559">
        <f t="shared" si="36"/>
        <v>0</v>
      </c>
    </row>
    <row r="122" spans="2:69" s="4" customFormat="1" ht="50.1" customHeight="1">
      <c r="B122" s="201" t="s">
        <v>160</v>
      </c>
      <c r="C122" s="146"/>
      <c r="D122" s="18"/>
      <c r="E122" s="14"/>
      <c r="F122" s="18"/>
      <c r="G122" s="14"/>
      <c r="H122" s="18">
        <v>2</v>
      </c>
      <c r="I122" s="14">
        <v>4</v>
      </c>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567"/>
      <c r="AG122" s="569"/>
      <c r="AH122" s="567"/>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561">
        <f t="shared" si="33"/>
        <v>2</v>
      </c>
      <c r="BO122" s="559">
        <f t="shared" si="34"/>
        <v>4</v>
      </c>
      <c r="BP122" s="558">
        <f t="shared" si="35"/>
        <v>2</v>
      </c>
      <c r="BQ122" s="559">
        <f t="shared" si="36"/>
        <v>4</v>
      </c>
    </row>
    <row r="123" spans="2:69" s="4" customFormat="1" ht="50.1" customHeight="1">
      <c r="B123" s="201" t="s">
        <v>265</v>
      </c>
      <c r="C123" s="147"/>
      <c r="D123" s="18"/>
      <c r="E123" s="14"/>
      <c r="F123" s="50"/>
      <c r="G123" s="20"/>
      <c r="H123" s="50"/>
      <c r="I123" s="20"/>
      <c r="J123" s="50"/>
      <c r="K123" s="20"/>
      <c r="L123" s="50"/>
      <c r="M123" s="20"/>
      <c r="N123" s="50"/>
      <c r="O123" s="20"/>
      <c r="P123" s="50"/>
      <c r="Q123" s="20"/>
      <c r="R123" s="50"/>
      <c r="S123" s="20"/>
      <c r="T123" s="50">
        <v>2</v>
      </c>
      <c r="U123" s="20">
        <v>2</v>
      </c>
      <c r="V123" s="50">
        <v>2</v>
      </c>
      <c r="W123" s="20">
        <v>2</v>
      </c>
      <c r="X123" s="50"/>
      <c r="Y123" s="20"/>
      <c r="Z123" s="50"/>
      <c r="AA123" s="20"/>
      <c r="AB123" s="50"/>
      <c r="AC123" s="20"/>
      <c r="AD123" s="50"/>
      <c r="AE123" s="20"/>
      <c r="AF123" s="592"/>
      <c r="AG123" s="593"/>
      <c r="AH123" s="592"/>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50"/>
      <c r="BK123" s="21"/>
      <c r="BL123" s="38"/>
      <c r="BM123" s="20"/>
      <c r="BN123" s="561">
        <f t="shared" si="33"/>
        <v>4</v>
      </c>
      <c r="BO123" s="559">
        <f t="shared" si="34"/>
        <v>4</v>
      </c>
      <c r="BP123" s="558">
        <f t="shared" si="35"/>
        <v>4</v>
      </c>
      <c r="BQ123" s="559">
        <f t="shared" si="36"/>
        <v>4</v>
      </c>
    </row>
    <row r="124" spans="2:69" s="4" customFormat="1" ht="50.1" customHeight="1">
      <c r="B124" s="201" t="s">
        <v>123</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92"/>
      <c r="AG124" s="593"/>
      <c r="AH124" s="592"/>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561">
        <f t="shared" si="33"/>
        <v>0</v>
      </c>
      <c r="BO124" s="559">
        <f t="shared" si="34"/>
        <v>0</v>
      </c>
      <c r="BP124" s="558">
        <f t="shared" si="35"/>
        <v>0</v>
      </c>
      <c r="BQ124" s="559">
        <f t="shared" si="36"/>
        <v>0</v>
      </c>
    </row>
    <row r="125" spans="2:69" s="4" customFormat="1" ht="50.1" customHeight="1" thickBot="1">
      <c r="B125" s="201" t="s">
        <v>231</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4"/>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48"/>
      <c r="BK125" s="25"/>
      <c r="BL125" s="193"/>
      <c r="BM125" s="24"/>
      <c r="BN125" s="561">
        <f t="shared" si="33"/>
        <v>0</v>
      </c>
      <c r="BO125" s="559">
        <f t="shared" si="34"/>
        <v>0</v>
      </c>
      <c r="BP125" s="558">
        <f t="shared" si="35"/>
        <v>0</v>
      </c>
      <c r="BQ125" s="559">
        <f t="shared" si="36"/>
        <v>0</v>
      </c>
    </row>
    <row r="126" spans="2:69" s="6" customFormat="1" ht="45" customHeight="1" thickBot="1">
      <c r="B126" s="119" t="s">
        <v>101</v>
      </c>
      <c r="C126" s="149"/>
      <c r="D126" s="29">
        <f t="shared" ref="D126:AG126" si="37">SUM(D114:D125)</f>
        <v>0</v>
      </c>
      <c r="E126" s="31">
        <f t="shared" si="37"/>
        <v>0</v>
      </c>
      <c r="F126" s="29">
        <f t="shared" si="37"/>
        <v>0</v>
      </c>
      <c r="G126" s="31">
        <f t="shared" si="37"/>
        <v>0</v>
      </c>
      <c r="H126" s="29">
        <f t="shared" si="37"/>
        <v>2</v>
      </c>
      <c r="I126" s="31">
        <f t="shared" si="37"/>
        <v>4</v>
      </c>
      <c r="J126" s="29">
        <f t="shared" si="37"/>
        <v>0</v>
      </c>
      <c r="K126" s="31">
        <f t="shared" si="37"/>
        <v>0</v>
      </c>
      <c r="L126" s="29">
        <f t="shared" si="37"/>
        <v>0</v>
      </c>
      <c r="M126" s="31">
        <f t="shared" si="37"/>
        <v>0</v>
      </c>
      <c r="N126" s="29">
        <f t="shared" si="37"/>
        <v>0</v>
      </c>
      <c r="O126" s="31">
        <f t="shared" si="37"/>
        <v>0</v>
      </c>
      <c r="P126" s="29">
        <f t="shared" si="37"/>
        <v>0</v>
      </c>
      <c r="Q126" s="31">
        <f t="shared" si="37"/>
        <v>0</v>
      </c>
      <c r="R126" s="29">
        <f t="shared" si="37"/>
        <v>0</v>
      </c>
      <c r="S126" s="31">
        <f t="shared" si="37"/>
        <v>0</v>
      </c>
      <c r="T126" s="29">
        <f t="shared" si="37"/>
        <v>2</v>
      </c>
      <c r="U126" s="31">
        <f t="shared" si="37"/>
        <v>2</v>
      </c>
      <c r="V126" s="29">
        <f t="shared" si="37"/>
        <v>2</v>
      </c>
      <c r="W126" s="31">
        <f t="shared" si="37"/>
        <v>2</v>
      </c>
      <c r="X126" s="29">
        <f t="shared" si="37"/>
        <v>0</v>
      </c>
      <c r="Y126" s="31">
        <f t="shared" si="37"/>
        <v>0</v>
      </c>
      <c r="Z126" s="29">
        <f t="shared" si="37"/>
        <v>0</v>
      </c>
      <c r="AA126" s="31">
        <f t="shared" si="37"/>
        <v>0</v>
      </c>
      <c r="AB126" s="29">
        <f t="shared" si="37"/>
        <v>0</v>
      </c>
      <c r="AC126" s="31">
        <f t="shared" si="37"/>
        <v>0</v>
      </c>
      <c r="AD126" s="29">
        <f t="shared" si="37"/>
        <v>0</v>
      </c>
      <c r="AE126" s="31">
        <f t="shared" si="37"/>
        <v>0</v>
      </c>
      <c r="AF126" s="29">
        <f t="shared" si="37"/>
        <v>0</v>
      </c>
      <c r="AG126" s="31">
        <f t="shared" si="37"/>
        <v>0</v>
      </c>
      <c r="AH126" s="29">
        <f>SUM(AH114:AH123)</f>
        <v>0</v>
      </c>
      <c r="AI126" s="31">
        <f>SUM(AI114:AI123)</f>
        <v>0</v>
      </c>
      <c r="AJ126" s="29">
        <f t="shared" ref="AJ126:BQ126" si="38">SUM(AJ114:AJ125)</f>
        <v>0</v>
      </c>
      <c r="AK126" s="31">
        <f t="shared" si="38"/>
        <v>0</v>
      </c>
      <c r="AL126" s="29">
        <f t="shared" si="38"/>
        <v>0</v>
      </c>
      <c r="AM126" s="31">
        <f t="shared" si="38"/>
        <v>0</v>
      </c>
      <c r="AN126" s="29">
        <f t="shared" si="38"/>
        <v>0</v>
      </c>
      <c r="AO126" s="31">
        <f t="shared" si="38"/>
        <v>0</v>
      </c>
      <c r="AP126" s="29">
        <f t="shared" si="38"/>
        <v>0</v>
      </c>
      <c r="AQ126" s="31">
        <f t="shared" si="38"/>
        <v>0</v>
      </c>
      <c r="AR126" s="29">
        <f t="shared" si="38"/>
        <v>0</v>
      </c>
      <c r="AS126" s="31">
        <f t="shared" si="38"/>
        <v>0</v>
      </c>
      <c r="AT126" s="29">
        <f t="shared" si="38"/>
        <v>0</v>
      </c>
      <c r="AU126" s="31">
        <f t="shared" si="38"/>
        <v>0</v>
      </c>
      <c r="AV126" s="29">
        <f t="shared" si="38"/>
        <v>0</v>
      </c>
      <c r="AW126" s="31">
        <f t="shared" si="38"/>
        <v>0</v>
      </c>
      <c r="AX126" s="29">
        <f t="shared" si="38"/>
        <v>0</v>
      </c>
      <c r="AY126" s="31">
        <f t="shared" si="38"/>
        <v>0</v>
      </c>
      <c r="AZ126" s="29">
        <f t="shared" si="38"/>
        <v>0</v>
      </c>
      <c r="BA126" s="31">
        <f t="shared" si="38"/>
        <v>0</v>
      </c>
      <c r="BB126" s="29">
        <f t="shared" si="38"/>
        <v>0</v>
      </c>
      <c r="BC126" s="31">
        <f t="shared" si="38"/>
        <v>0</v>
      </c>
      <c r="BD126" s="29">
        <f t="shared" si="38"/>
        <v>0</v>
      </c>
      <c r="BE126" s="31">
        <f t="shared" si="38"/>
        <v>0</v>
      </c>
      <c r="BF126" s="29">
        <f t="shared" si="38"/>
        <v>0</v>
      </c>
      <c r="BG126" s="31">
        <f t="shared" si="38"/>
        <v>0</v>
      </c>
      <c r="BH126" s="29">
        <f t="shared" si="38"/>
        <v>0</v>
      </c>
      <c r="BI126" s="31">
        <f t="shared" si="38"/>
        <v>0</v>
      </c>
      <c r="BJ126" s="29">
        <f t="shared" si="38"/>
        <v>0</v>
      </c>
      <c r="BK126" s="41">
        <f t="shared" si="38"/>
        <v>0</v>
      </c>
      <c r="BL126" s="39">
        <f t="shared" si="38"/>
        <v>0</v>
      </c>
      <c r="BM126" s="31">
        <f t="shared" si="38"/>
        <v>0</v>
      </c>
      <c r="BN126" s="32">
        <f t="shared" si="38"/>
        <v>6</v>
      </c>
      <c r="BO126" s="40">
        <f t="shared" si="38"/>
        <v>8</v>
      </c>
      <c r="BP126" s="245">
        <f t="shared" si="38"/>
        <v>6</v>
      </c>
      <c r="BQ126" s="246">
        <f t="shared" si="38"/>
        <v>8</v>
      </c>
    </row>
    <row r="127" spans="2:69" ht="24.95" customHeight="1">
      <c r="B127" s="120"/>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43" t="s">
        <v>85</v>
      </c>
      <c r="C129" s="749">
        <f>COUNTIF(B132:B141,"*")</f>
        <v>9</v>
      </c>
      <c r="D129" s="751">
        <v>1</v>
      </c>
      <c r="E129" s="738"/>
      <c r="F129" s="737">
        <v>2</v>
      </c>
      <c r="G129" s="738"/>
      <c r="H129" s="737">
        <v>3</v>
      </c>
      <c r="I129" s="738"/>
      <c r="J129" s="737">
        <v>4</v>
      </c>
      <c r="K129" s="738"/>
      <c r="L129" s="737">
        <v>5</v>
      </c>
      <c r="M129" s="738"/>
      <c r="N129" s="737">
        <v>6</v>
      </c>
      <c r="O129" s="738"/>
      <c r="P129" s="737">
        <v>7</v>
      </c>
      <c r="Q129" s="738"/>
      <c r="R129" s="737">
        <v>8</v>
      </c>
      <c r="S129" s="738"/>
      <c r="T129" s="737">
        <v>9</v>
      </c>
      <c r="U129" s="738"/>
      <c r="V129" s="737">
        <v>10</v>
      </c>
      <c r="W129" s="738"/>
      <c r="X129" s="737">
        <v>11</v>
      </c>
      <c r="Y129" s="738"/>
      <c r="Z129" s="737">
        <v>12</v>
      </c>
      <c r="AA129" s="738"/>
      <c r="AB129" s="737">
        <v>13</v>
      </c>
      <c r="AC129" s="738"/>
      <c r="AD129" s="737">
        <v>14</v>
      </c>
      <c r="AE129" s="738"/>
      <c r="AF129" s="737">
        <v>15</v>
      </c>
      <c r="AG129" s="742"/>
      <c r="AH129" s="741">
        <v>16</v>
      </c>
      <c r="AI129" s="741"/>
      <c r="AJ129" s="741">
        <v>17</v>
      </c>
      <c r="AK129" s="741"/>
      <c r="AL129" s="741">
        <v>18</v>
      </c>
      <c r="AM129" s="741"/>
      <c r="AN129" s="741">
        <v>19</v>
      </c>
      <c r="AO129" s="741"/>
      <c r="AP129" s="741">
        <v>20</v>
      </c>
      <c r="AQ129" s="741"/>
      <c r="AR129" s="741">
        <v>21</v>
      </c>
      <c r="AS129" s="741"/>
      <c r="AT129" s="741">
        <v>22</v>
      </c>
      <c r="AU129" s="741"/>
      <c r="AV129" s="741">
        <v>23</v>
      </c>
      <c r="AW129" s="741"/>
      <c r="AX129" s="741">
        <v>24</v>
      </c>
      <c r="AY129" s="741"/>
      <c r="AZ129" s="741">
        <v>25</v>
      </c>
      <c r="BA129" s="741"/>
      <c r="BB129" s="741">
        <v>26</v>
      </c>
      <c r="BC129" s="741"/>
      <c r="BD129" s="741">
        <v>27</v>
      </c>
      <c r="BE129" s="741"/>
      <c r="BF129" s="741">
        <v>28</v>
      </c>
      <c r="BG129" s="741"/>
      <c r="BH129" s="741">
        <v>29</v>
      </c>
      <c r="BI129" s="741"/>
      <c r="BJ129" s="741">
        <v>30</v>
      </c>
      <c r="BK129" s="741"/>
      <c r="BL129" s="741">
        <v>31</v>
      </c>
      <c r="BM129" s="741"/>
      <c r="BN129" s="738" t="s">
        <v>251</v>
      </c>
      <c r="BO129" s="760"/>
      <c r="BP129" s="771" t="s">
        <v>353</v>
      </c>
      <c r="BQ129" s="772"/>
    </row>
    <row r="130" spans="2:69" ht="24.95" customHeight="1">
      <c r="B130" s="744"/>
      <c r="C130" s="747"/>
      <c r="D130" s="752" t="str">
        <f>D2</f>
        <v>水</v>
      </c>
      <c r="E130" s="740"/>
      <c r="F130" s="739" t="str">
        <f>F2</f>
        <v>木</v>
      </c>
      <c r="G130" s="740"/>
      <c r="H130" s="739" t="str">
        <f>H2</f>
        <v>金</v>
      </c>
      <c r="I130" s="740"/>
      <c r="J130" s="739" t="str">
        <f>J2</f>
        <v>土</v>
      </c>
      <c r="K130" s="740"/>
      <c r="L130" s="739" t="str">
        <f>L2</f>
        <v>日</v>
      </c>
      <c r="M130" s="740"/>
      <c r="N130" s="739" t="str">
        <f>N2</f>
        <v>月</v>
      </c>
      <c r="O130" s="740"/>
      <c r="P130" s="739" t="str">
        <f>P2</f>
        <v>火</v>
      </c>
      <c r="Q130" s="740"/>
      <c r="R130" s="739" t="str">
        <f>R2</f>
        <v>水</v>
      </c>
      <c r="S130" s="740"/>
      <c r="T130" s="739" t="str">
        <f>T2</f>
        <v>木</v>
      </c>
      <c r="U130" s="740"/>
      <c r="V130" s="739" t="str">
        <f>V2</f>
        <v>金</v>
      </c>
      <c r="W130" s="740"/>
      <c r="X130" s="739" t="str">
        <f>X2</f>
        <v>土</v>
      </c>
      <c r="Y130" s="740"/>
      <c r="Z130" s="739" t="str">
        <f>Z2</f>
        <v>日</v>
      </c>
      <c r="AA130" s="740"/>
      <c r="AB130" s="739" t="str">
        <f>AB2</f>
        <v>月</v>
      </c>
      <c r="AC130" s="740"/>
      <c r="AD130" s="739" t="str">
        <f>AD2</f>
        <v>火</v>
      </c>
      <c r="AE130" s="740"/>
      <c r="AF130" s="739" t="str">
        <f>AF2</f>
        <v>水</v>
      </c>
      <c r="AG130" s="756"/>
      <c r="AH130" s="768" t="str">
        <f>AH2</f>
        <v>木</v>
      </c>
      <c r="AI130" s="769"/>
      <c r="AJ130" s="770" t="str">
        <f>AJ2</f>
        <v>金</v>
      </c>
      <c r="AK130" s="770"/>
      <c r="AL130" s="770" t="str">
        <f>AL2</f>
        <v>土</v>
      </c>
      <c r="AM130" s="770"/>
      <c r="AN130" s="770" t="str">
        <f>AN2</f>
        <v>日</v>
      </c>
      <c r="AO130" s="770"/>
      <c r="AP130" s="770" t="str">
        <f>AP2</f>
        <v>月</v>
      </c>
      <c r="AQ130" s="770"/>
      <c r="AR130" s="770" t="str">
        <f>AR2</f>
        <v>火</v>
      </c>
      <c r="AS130" s="770"/>
      <c r="AT130" s="770" t="str">
        <f>AT2</f>
        <v>水</v>
      </c>
      <c r="AU130" s="770"/>
      <c r="AV130" s="770" t="str">
        <f>AV2</f>
        <v>木</v>
      </c>
      <c r="AW130" s="770"/>
      <c r="AX130" s="770" t="str">
        <f>AX2</f>
        <v>金</v>
      </c>
      <c r="AY130" s="770"/>
      <c r="AZ130" s="770" t="str">
        <f>AZ2</f>
        <v>土</v>
      </c>
      <c r="BA130" s="770"/>
      <c r="BB130" s="770" t="str">
        <f>BB2</f>
        <v>日</v>
      </c>
      <c r="BC130" s="770"/>
      <c r="BD130" s="770" t="str">
        <f>BD2</f>
        <v>月</v>
      </c>
      <c r="BE130" s="770"/>
      <c r="BF130" s="770" t="str">
        <f>BF2</f>
        <v>火</v>
      </c>
      <c r="BG130" s="770"/>
      <c r="BH130" s="770" t="str">
        <f>BH2</f>
        <v>水</v>
      </c>
      <c r="BI130" s="770"/>
      <c r="BJ130" s="770" t="str">
        <f>BJ2</f>
        <v>木</v>
      </c>
      <c r="BK130" s="770"/>
      <c r="BL130" s="770" t="str">
        <f>BL2</f>
        <v>金</v>
      </c>
      <c r="BM130" s="770"/>
      <c r="BN130" s="761"/>
      <c r="BO130" s="762"/>
      <c r="BP130" s="773"/>
      <c r="BQ130" s="774"/>
    </row>
    <row r="131" spans="2:69" ht="24.95" customHeight="1">
      <c r="B131" s="744"/>
      <c r="C131" s="747"/>
      <c r="D131" s="482" t="s">
        <v>72</v>
      </c>
      <c r="E131" s="583" t="s">
        <v>73</v>
      </c>
      <c r="F131" s="582" t="s">
        <v>72</v>
      </c>
      <c r="G131" s="583" t="s">
        <v>73</v>
      </c>
      <c r="H131" s="582" t="s">
        <v>72</v>
      </c>
      <c r="I131" s="583" t="s">
        <v>73</v>
      </c>
      <c r="J131" s="482" t="s">
        <v>72</v>
      </c>
      <c r="K131" s="583" t="s">
        <v>73</v>
      </c>
      <c r="L131" s="482" t="s">
        <v>72</v>
      </c>
      <c r="M131" s="583" t="s">
        <v>73</v>
      </c>
      <c r="N131" s="482" t="s">
        <v>72</v>
      </c>
      <c r="O131" s="583" t="s">
        <v>73</v>
      </c>
      <c r="P131" s="482" t="s">
        <v>72</v>
      </c>
      <c r="Q131" s="583" t="s">
        <v>73</v>
      </c>
      <c r="R131" s="482" t="s">
        <v>72</v>
      </c>
      <c r="S131" s="583" t="s">
        <v>73</v>
      </c>
      <c r="T131" s="482" t="s">
        <v>72</v>
      </c>
      <c r="U131" s="583" t="s">
        <v>73</v>
      </c>
      <c r="V131" s="482" t="s">
        <v>72</v>
      </c>
      <c r="W131" s="583" t="s">
        <v>73</v>
      </c>
      <c r="X131" s="482" t="s">
        <v>72</v>
      </c>
      <c r="Y131" s="583" t="s">
        <v>73</v>
      </c>
      <c r="Z131" s="482" t="s">
        <v>72</v>
      </c>
      <c r="AA131" s="584" t="s">
        <v>73</v>
      </c>
      <c r="AB131" s="552" t="s">
        <v>72</v>
      </c>
      <c r="AC131" s="584" t="s">
        <v>73</v>
      </c>
      <c r="AD131" s="552" t="s">
        <v>72</v>
      </c>
      <c r="AE131" s="584" t="s">
        <v>73</v>
      </c>
      <c r="AF131" s="552" t="s">
        <v>72</v>
      </c>
      <c r="AG131" s="584" t="s">
        <v>73</v>
      </c>
      <c r="AH131" s="552" t="s">
        <v>72</v>
      </c>
      <c r="AI131" s="583" t="s">
        <v>73</v>
      </c>
      <c r="AJ131" s="582" t="s">
        <v>72</v>
      </c>
      <c r="AK131" s="583" t="s">
        <v>73</v>
      </c>
      <c r="AL131" s="582" t="s">
        <v>72</v>
      </c>
      <c r="AM131" s="583" t="s">
        <v>73</v>
      </c>
      <c r="AN131" s="482" t="s">
        <v>72</v>
      </c>
      <c r="AO131" s="583" t="s">
        <v>73</v>
      </c>
      <c r="AP131" s="482" t="s">
        <v>72</v>
      </c>
      <c r="AQ131" s="583" t="s">
        <v>73</v>
      </c>
      <c r="AR131" s="482" t="s">
        <v>72</v>
      </c>
      <c r="AS131" s="583" t="s">
        <v>73</v>
      </c>
      <c r="AT131" s="482" t="s">
        <v>72</v>
      </c>
      <c r="AU131" s="583" t="s">
        <v>73</v>
      </c>
      <c r="AV131" s="482" t="s">
        <v>72</v>
      </c>
      <c r="AW131" s="583" t="s">
        <v>73</v>
      </c>
      <c r="AX131" s="482" t="s">
        <v>72</v>
      </c>
      <c r="AY131" s="583" t="s">
        <v>73</v>
      </c>
      <c r="AZ131" s="482" t="s">
        <v>72</v>
      </c>
      <c r="BA131" s="583" t="s">
        <v>73</v>
      </c>
      <c r="BB131" s="482" t="s">
        <v>72</v>
      </c>
      <c r="BC131" s="583" t="s">
        <v>73</v>
      </c>
      <c r="BD131" s="482" t="s">
        <v>72</v>
      </c>
      <c r="BE131" s="584" t="s">
        <v>73</v>
      </c>
      <c r="BF131" s="552" t="s">
        <v>72</v>
      </c>
      <c r="BG131" s="584" t="s">
        <v>73</v>
      </c>
      <c r="BH131" s="552" t="s">
        <v>72</v>
      </c>
      <c r="BI131" s="584" t="s">
        <v>73</v>
      </c>
      <c r="BJ131" s="552" t="s">
        <v>72</v>
      </c>
      <c r="BK131" s="584" t="s">
        <v>73</v>
      </c>
      <c r="BL131" s="552" t="s">
        <v>72</v>
      </c>
      <c r="BM131" s="584" t="s">
        <v>73</v>
      </c>
      <c r="BN131" s="514" t="s">
        <v>72</v>
      </c>
      <c r="BO131" s="585" t="s">
        <v>73</v>
      </c>
      <c r="BP131" s="477" t="s">
        <v>252</v>
      </c>
      <c r="BQ131" s="478" t="s">
        <v>254</v>
      </c>
    </row>
    <row r="132" spans="2:69" ht="45" customHeight="1">
      <c r="B132" s="553" t="s">
        <v>523</v>
      </c>
      <c r="C132" s="554"/>
      <c r="D132" s="567"/>
      <c r="E132" s="569"/>
      <c r="F132" s="567"/>
      <c r="G132" s="569"/>
      <c r="H132" s="567"/>
      <c r="I132" s="569"/>
      <c r="J132" s="567"/>
      <c r="K132" s="569"/>
      <c r="L132" s="567"/>
      <c r="M132" s="569"/>
      <c r="N132" s="567"/>
      <c r="O132" s="569"/>
      <c r="P132" s="567"/>
      <c r="Q132" s="569"/>
      <c r="R132" s="567"/>
      <c r="S132" s="569"/>
      <c r="T132" s="567"/>
      <c r="U132" s="569"/>
      <c r="V132" s="567"/>
      <c r="W132" s="569"/>
      <c r="X132" s="567"/>
      <c r="Y132" s="569"/>
      <c r="Z132" s="567"/>
      <c r="AA132" s="569"/>
      <c r="AB132" s="567"/>
      <c r="AC132" s="569"/>
      <c r="AD132" s="567"/>
      <c r="AE132" s="569"/>
      <c r="AF132" s="567"/>
      <c r="AG132" s="600"/>
      <c r="AH132" s="601"/>
      <c r="AI132" s="569"/>
      <c r="AJ132" s="567"/>
      <c r="AK132" s="569"/>
      <c r="AL132" s="567"/>
      <c r="AM132" s="569"/>
      <c r="AN132" s="567"/>
      <c r="AO132" s="569"/>
      <c r="AP132" s="567"/>
      <c r="AQ132" s="569"/>
      <c r="AR132" s="567"/>
      <c r="AS132" s="569"/>
      <c r="AT132" s="567"/>
      <c r="AU132" s="569"/>
      <c r="AV132" s="567"/>
      <c r="AW132" s="569"/>
      <c r="AX132" s="567"/>
      <c r="AY132" s="569"/>
      <c r="AZ132" s="567"/>
      <c r="BA132" s="569"/>
      <c r="BB132" s="567"/>
      <c r="BC132" s="569"/>
      <c r="BD132" s="567"/>
      <c r="BE132" s="569"/>
      <c r="BF132" s="567"/>
      <c r="BG132" s="569"/>
      <c r="BH132" s="567"/>
      <c r="BI132" s="569"/>
      <c r="BJ132" s="567"/>
      <c r="BK132" s="600"/>
      <c r="BL132" s="601"/>
      <c r="BM132" s="569"/>
      <c r="BN132" s="561">
        <f>SUM(D132,F132,H132,J132,L132,N132,P132,R132,T132,V132,X132,Z132,AB132,AD132,AF132,AH132,AJ132,AL132,AN132,AP132,AR132,AT132,AV132,AX132,AZ132,BB132,BD132,BF132,BH132,BJ132,BL132)</f>
        <v>0</v>
      </c>
      <c r="BO132" s="559">
        <f>SUM(E132,G132,I132,K132,M132,O132,Q132,S132,U132,W132,Y132,AA132,AC132,AE132,AG132,AI132,AK132,AM132,AO132,AQ132,AS132,AU132,AW132,AY132,BA132,BC132,BE132,BG132,BI132,BK132,BM132)</f>
        <v>0</v>
      </c>
      <c r="BP132" s="558">
        <f>BN132</f>
        <v>0</v>
      </c>
      <c r="BQ132" s="559">
        <f>BO132</f>
        <v>0</v>
      </c>
    </row>
    <row r="133" spans="2:69" s="6" customFormat="1" ht="50.1" customHeight="1">
      <c r="B133" s="203" t="s">
        <v>161</v>
      </c>
      <c r="C133" s="145"/>
      <c r="D133" s="89"/>
      <c r="E133" s="36"/>
      <c r="F133" s="89"/>
      <c r="G133" s="36"/>
      <c r="H133" s="89"/>
      <c r="I133" s="36"/>
      <c r="J133" s="89"/>
      <c r="K133" s="36"/>
      <c r="L133" s="89"/>
      <c r="M133" s="36"/>
      <c r="N133" s="89"/>
      <c r="O133" s="36"/>
      <c r="P133" s="89"/>
      <c r="Q133" s="36"/>
      <c r="R133" s="89"/>
      <c r="S133" s="36"/>
      <c r="T133" s="89"/>
      <c r="U133" s="36"/>
      <c r="V133" s="89"/>
      <c r="W133" s="36"/>
      <c r="X133" s="89"/>
      <c r="Y133" s="36"/>
      <c r="Z133" s="89"/>
      <c r="AA133" s="36"/>
      <c r="AB133" s="89"/>
      <c r="AC133" s="36"/>
      <c r="AD133" s="89"/>
      <c r="AE133" s="36"/>
      <c r="AF133" s="89"/>
      <c r="AG133" s="42"/>
      <c r="AH133" s="35"/>
      <c r="AI133" s="36"/>
      <c r="AJ133" s="89"/>
      <c r="AK133" s="36"/>
      <c r="AL133" s="89"/>
      <c r="AM133" s="36"/>
      <c r="AN133" s="89"/>
      <c r="AO133" s="36"/>
      <c r="AP133" s="89"/>
      <c r="AQ133" s="36"/>
      <c r="AR133" s="89"/>
      <c r="AS133" s="36"/>
      <c r="AT133" s="89"/>
      <c r="AU133" s="36"/>
      <c r="AV133" s="89"/>
      <c r="AW133" s="36"/>
      <c r="AX133" s="89"/>
      <c r="AY133" s="36"/>
      <c r="AZ133" s="89"/>
      <c r="BA133" s="36"/>
      <c r="BB133" s="89"/>
      <c r="BC133" s="36"/>
      <c r="BD133" s="89"/>
      <c r="BE133" s="36"/>
      <c r="BF133" s="89"/>
      <c r="BG133" s="36"/>
      <c r="BH133" s="89"/>
      <c r="BI133" s="36"/>
      <c r="BJ133" s="89"/>
      <c r="BK133" s="42"/>
      <c r="BL133" s="35"/>
      <c r="BM133" s="36"/>
      <c r="BN133" s="561">
        <f>SUM(D133,F133,H133,J133,L133,N133,P133,R133,T133,V133,X133,Z133,AB133,AD133,AF133,AH133,AJ133,AL133,AN133,AP133,AR133,AT133,AV133,AX133,AZ133,BB133,BD133,BF133,BH133,BJ133,BL133)</f>
        <v>0</v>
      </c>
      <c r="BO133" s="559">
        <f>SUM(E133,G133,I133,K133,M133,O133,Q133,S133,U133,W133,Y133,AA133,AC133,AE133,AG133,AI133,AK133,AM133,AO133,AQ133,AS133,AU133,AW133,AY133,BA133,BC133,BE133,BG133,BI133,BK133,BM133)</f>
        <v>0</v>
      </c>
      <c r="BP133" s="558">
        <f>BN133</f>
        <v>0</v>
      </c>
      <c r="BQ133" s="559">
        <f>BO133</f>
        <v>0</v>
      </c>
    </row>
    <row r="134" spans="2:69" s="6" customFormat="1" ht="50.1" customHeight="1">
      <c r="B134" s="201" t="s">
        <v>148</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600"/>
      <c r="AH134" s="601"/>
      <c r="AI134" s="569"/>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18"/>
      <c r="BK134" s="15"/>
      <c r="BL134" s="37"/>
      <c r="BM134" s="14"/>
      <c r="BN134" s="561">
        <f t="shared" ref="BN134:BN140" si="39">SUM(D134,F134,H134,J134,L134,N134,P134,R134,T134,V134,X134,Z134,AB134,AD134,AF134,AH134,AJ134,AL134,AN134,AP134,AR134,AT134,AV134,AX134,AZ134,BB134,BD134,BF134,BH134,BJ134,BL134)</f>
        <v>0</v>
      </c>
      <c r="BO134" s="559">
        <f t="shared" ref="BO134:BO140" si="40">SUM(E134,G134,I134,K134,M134,O134,Q134,S134,U134,W134,Y134,AA134,AC134,AE134,AG134,AI134,AK134,AM134,AO134,AQ134,AS134,AU134,AW134,AY134,BA134,BC134,BE134,BG134,BI134,BK134,BM134)</f>
        <v>0</v>
      </c>
      <c r="BP134" s="558">
        <f t="shared" ref="BP134:BP140" si="41">BN134</f>
        <v>0</v>
      </c>
      <c r="BQ134" s="559">
        <f t="shared" ref="BQ134:BQ140" si="42">BO134</f>
        <v>0</v>
      </c>
    </row>
    <row r="135" spans="2:69" s="6" customFormat="1" ht="50.1" customHeight="1">
      <c r="B135" s="201" t="s">
        <v>86</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594"/>
      <c r="AH135" s="612"/>
      <c r="AI135" s="593"/>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50"/>
      <c r="BK135" s="21"/>
      <c r="BL135" s="38"/>
      <c r="BM135" s="20"/>
      <c r="BN135" s="561">
        <f t="shared" si="39"/>
        <v>0</v>
      </c>
      <c r="BO135" s="559">
        <f t="shared" si="40"/>
        <v>0</v>
      </c>
      <c r="BP135" s="558">
        <f t="shared" si="41"/>
        <v>0</v>
      </c>
      <c r="BQ135" s="559">
        <f t="shared" si="42"/>
        <v>0</v>
      </c>
    </row>
    <row r="136" spans="2:69" s="6" customFormat="1" ht="50.1" customHeight="1">
      <c r="B136" s="201" t="s">
        <v>3</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600"/>
      <c r="AH136" s="601"/>
      <c r="AI136" s="569"/>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18"/>
      <c r="BK136" s="15"/>
      <c r="BL136" s="37"/>
      <c r="BM136" s="14"/>
      <c r="BN136" s="561">
        <f t="shared" si="39"/>
        <v>0</v>
      </c>
      <c r="BO136" s="559">
        <f t="shared" si="40"/>
        <v>0</v>
      </c>
      <c r="BP136" s="558">
        <f t="shared" si="41"/>
        <v>0</v>
      </c>
      <c r="BQ136" s="559">
        <f t="shared" si="42"/>
        <v>0</v>
      </c>
    </row>
    <row r="137" spans="2:69" s="6" customFormat="1" ht="50.1" customHeight="1">
      <c r="B137" s="201" t="s">
        <v>277</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600"/>
      <c r="AH137" s="601"/>
      <c r="AI137" s="569"/>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57"/>
      <c r="BM137" s="51"/>
      <c r="BN137" s="561">
        <f t="shared" si="39"/>
        <v>0</v>
      </c>
      <c r="BO137" s="559">
        <f t="shared" si="40"/>
        <v>0</v>
      </c>
      <c r="BP137" s="558">
        <f t="shared" si="41"/>
        <v>0</v>
      </c>
      <c r="BQ137" s="559">
        <f t="shared" si="42"/>
        <v>0</v>
      </c>
    </row>
    <row r="138" spans="2:69" s="6" customFormat="1" ht="50.1" customHeight="1">
      <c r="B138" s="202" t="s">
        <v>234</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600"/>
      <c r="AH138" s="601"/>
      <c r="AI138" s="569"/>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78"/>
      <c r="BM138" s="51"/>
      <c r="BN138" s="561">
        <f t="shared" si="39"/>
        <v>0</v>
      </c>
      <c r="BO138" s="559">
        <f t="shared" si="40"/>
        <v>0</v>
      </c>
      <c r="BP138" s="558">
        <f t="shared" si="41"/>
        <v>0</v>
      </c>
      <c r="BQ138" s="559">
        <f t="shared" si="42"/>
        <v>0</v>
      </c>
    </row>
    <row r="139" spans="2:69" s="6" customFormat="1" ht="50.1" customHeight="1">
      <c r="B139" s="201" t="s">
        <v>187</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600"/>
      <c r="AH139" s="601"/>
      <c r="AI139" s="569"/>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561">
        <f t="shared" si="39"/>
        <v>0</v>
      </c>
      <c r="BO139" s="559">
        <f t="shared" si="40"/>
        <v>0</v>
      </c>
      <c r="BP139" s="558">
        <f t="shared" si="41"/>
        <v>0</v>
      </c>
      <c r="BQ139" s="559">
        <f t="shared" si="42"/>
        <v>0</v>
      </c>
    </row>
    <row r="140" spans="2:69" s="6" customFormat="1" ht="50.1" customHeight="1">
      <c r="B140" s="201" t="s">
        <v>185</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600"/>
      <c r="AH140" s="601"/>
      <c r="AI140" s="569"/>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561">
        <f t="shared" si="39"/>
        <v>0</v>
      </c>
      <c r="BO140" s="559">
        <f t="shared" si="40"/>
        <v>0</v>
      </c>
      <c r="BP140" s="558">
        <f t="shared" si="41"/>
        <v>0</v>
      </c>
      <c r="BQ140" s="559">
        <f t="shared" si="42"/>
        <v>0</v>
      </c>
    </row>
    <row r="141" spans="2:69" s="6" customFormat="1" ht="50.1" customHeight="1" thickBot="1">
      <c r="B141" s="201"/>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600"/>
      <c r="AH141" s="601"/>
      <c r="AI141" s="569"/>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37"/>
      <c r="BM141" s="14"/>
      <c r="BN141" s="88"/>
      <c r="BO141" s="47"/>
      <c r="BP141" s="260"/>
      <c r="BQ141" s="264"/>
    </row>
    <row r="142" spans="2:69" s="6" customFormat="1" ht="45" customHeight="1" thickBot="1">
      <c r="B142" s="119" t="s">
        <v>101</v>
      </c>
      <c r="C142" s="149"/>
      <c r="D142" s="29">
        <f>SUM(D132:D141)</f>
        <v>0</v>
      </c>
      <c r="E142" s="31">
        <f t="shared" ref="E142:AK142" si="43">SUM(E132:E141)</f>
        <v>0</v>
      </c>
      <c r="F142" s="29">
        <f t="shared" si="43"/>
        <v>0</v>
      </c>
      <c r="G142" s="31">
        <f t="shared" si="43"/>
        <v>0</v>
      </c>
      <c r="H142" s="29">
        <f t="shared" si="43"/>
        <v>0</v>
      </c>
      <c r="I142" s="31">
        <f t="shared" si="43"/>
        <v>0</v>
      </c>
      <c r="J142" s="29">
        <f t="shared" si="43"/>
        <v>0</v>
      </c>
      <c r="K142" s="31">
        <f t="shared" si="43"/>
        <v>0</v>
      </c>
      <c r="L142" s="29">
        <f t="shared" si="43"/>
        <v>0</v>
      </c>
      <c r="M142" s="31">
        <f t="shared" si="43"/>
        <v>0</v>
      </c>
      <c r="N142" s="29">
        <f t="shared" si="43"/>
        <v>0</v>
      </c>
      <c r="O142" s="31">
        <f t="shared" si="43"/>
        <v>0</v>
      </c>
      <c r="P142" s="29">
        <f t="shared" si="43"/>
        <v>0</v>
      </c>
      <c r="Q142" s="31">
        <f t="shared" si="43"/>
        <v>0</v>
      </c>
      <c r="R142" s="29">
        <f t="shared" si="43"/>
        <v>0</v>
      </c>
      <c r="S142" s="31">
        <f t="shared" si="43"/>
        <v>0</v>
      </c>
      <c r="T142" s="29">
        <f t="shared" si="43"/>
        <v>0</v>
      </c>
      <c r="U142" s="31">
        <f t="shared" si="43"/>
        <v>0</v>
      </c>
      <c r="V142" s="29">
        <f t="shared" si="43"/>
        <v>0</v>
      </c>
      <c r="W142" s="31">
        <f t="shared" si="43"/>
        <v>0</v>
      </c>
      <c r="X142" s="29">
        <f t="shared" si="43"/>
        <v>0</v>
      </c>
      <c r="Y142" s="31">
        <f t="shared" si="43"/>
        <v>0</v>
      </c>
      <c r="Z142" s="29">
        <f t="shared" si="43"/>
        <v>0</v>
      </c>
      <c r="AA142" s="31">
        <f t="shared" si="43"/>
        <v>0</v>
      </c>
      <c r="AB142" s="29">
        <f t="shared" si="43"/>
        <v>0</v>
      </c>
      <c r="AC142" s="31">
        <f t="shared" si="43"/>
        <v>0</v>
      </c>
      <c r="AD142" s="29">
        <f t="shared" si="43"/>
        <v>0</v>
      </c>
      <c r="AE142" s="31">
        <f t="shared" si="43"/>
        <v>0</v>
      </c>
      <c r="AF142" s="29">
        <f t="shared" si="43"/>
        <v>0</v>
      </c>
      <c r="AG142" s="41">
        <f t="shared" si="43"/>
        <v>0</v>
      </c>
      <c r="AH142" s="39">
        <f t="shared" si="43"/>
        <v>0</v>
      </c>
      <c r="AI142" s="31">
        <f t="shared" si="43"/>
        <v>0</v>
      </c>
      <c r="AJ142" s="29">
        <f t="shared" si="43"/>
        <v>0</v>
      </c>
      <c r="AK142" s="31">
        <f t="shared" si="43"/>
        <v>0</v>
      </c>
      <c r="AL142" s="29">
        <f t="shared" ref="AL142:BK142" si="44">SUM(AL133:AL141)</f>
        <v>0</v>
      </c>
      <c r="AM142" s="31">
        <f t="shared" si="44"/>
        <v>0</v>
      </c>
      <c r="AN142" s="29">
        <f t="shared" si="44"/>
        <v>0</v>
      </c>
      <c r="AO142" s="31">
        <f t="shared" si="44"/>
        <v>0</v>
      </c>
      <c r="AP142" s="29">
        <f t="shared" si="44"/>
        <v>0</v>
      </c>
      <c r="AQ142" s="31">
        <f t="shared" si="44"/>
        <v>0</v>
      </c>
      <c r="AR142" s="29">
        <f t="shared" si="44"/>
        <v>0</v>
      </c>
      <c r="AS142" s="31">
        <f t="shared" si="44"/>
        <v>0</v>
      </c>
      <c r="AT142" s="29">
        <f>SUM(AT133:AT141)</f>
        <v>0</v>
      </c>
      <c r="AU142" s="31">
        <f t="shared" si="44"/>
        <v>0</v>
      </c>
      <c r="AV142" s="29">
        <f t="shared" si="44"/>
        <v>0</v>
      </c>
      <c r="AW142" s="31">
        <f t="shared" si="44"/>
        <v>0</v>
      </c>
      <c r="AX142" s="29">
        <f t="shared" si="44"/>
        <v>0</v>
      </c>
      <c r="AY142" s="31">
        <f t="shared" si="44"/>
        <v>0</v>
      </c>
      <c r="AZ142" s="29">
        <f t="shared" si="44"/>
        <v>0</v>
      </c>
      <c r="BA142" s="31">
        <f t="shared" si="44"/>
        <v>0</v>
      </c>
      <c r="BB142" s="29">
        <f t="shared" si="44"/>
        <v>0</v>
      </c>
      <c r="BC142" s="31">
        <f t="shared" si="44"/>
        <v>0</v>
      </c>
      <c r="BD142" s="29">
        <f t="shared" si="44"/>
        <v>0</v>
      </c>
      <c r="BE142" s="31">
        <f t="shared" si="44"/>
        <v>0</v>
      </c>
      <c r="BF142" s="29">
        <f t="shared" si="44"/>
        <v>0</v>
      </c>
      <c r="BG142" s="31">
        <f t="shared" si="44"/>
        <v>0</v>
      </c>
      <c r="BH142" s="29">
        <f t="shared" si="44"/>
        <v>0</v>
      </c>
      <c r="BI142" s="31">
        <f t="shared" si="44"/>
        <v>0</v>
      </c>
      <c r="BJ142" s="39">
        <f t="shared" si="44"/>
        <v>0</v>
      </c>
      <c r="BK142" s="41">
        <f t="shared" si="44"/>
        <v>0</v>
      </c>
      <c r="BL142" s="39">
        <f t="shared" ref="BL142:BQ142" si="45">SUM(BL133:BL141)</f>
        <v>0</v>
      </c>
      <c r="BM142" s="31">
        <f t="shared" si="45"/>
        <v>0</v>
      </c>
      <c r="BN142" s="32">
        <f t="shared" si="45"/>
        <v>0</v>
      </c>
      <c r="BO142" s="40">
        <f t="shared" si="45"/>
        <v>0</v>
      </c>
      <c r="BP142" s="245">
        <f t="shared" si="45"/>
        <v>0</v>
      </c>
      <c r="BQ142" s="240">
        <f t="shared" si="45"/>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43" t="s">
        <v>87</v>
      </c>
      <c r="C145" s="749">
        <f>COUNTIF(B148:B159,"*")</f>
        <v>12</v>
      </c>
      <c r="D145" s="751">
        <v>1</v>
      </c>
      <c r="E145" s="738"/>
      <c r="F145" s="737">
        <v>2</v>
      </c>
      <c r="G145" s="738"/>
      <c r="H145" s="737">
        <v>3</v>
      </c>
      <c r="I145" s="738"/>
      <c r="J145" s="737">
        <v>4</v>
      </c>
      <c r="K145" s="738"/>
      <c r="L145" s="737">
        <v>5</v>
      </c>
      <c r="M145" s="738"/>
      <c r="N145" s="737">
        <v>6</v>
      </c>
      <c r="O145" s="738"/>
      <c r="P145" s="737">
        <v>7</v>
      </c>
      <c r="Q145" s="738"/>
      <c r="R145" s="737">
        <v>8</v>
      </c>
      <c r="S145" s="738"/>
      <c r="T145" s="737">
        <v>9</v>
      </c>
      <c r="U145" s="738"/>
      <c r="V145" s="737">
        <v>10</v>
      </c>
      <c r="W145" s="738"/>
      <c r="X145" s="737">
        <v>11</v>
      </c>
      <c r="Y145" s="738"/>
      <c r="Z145" s="737">
        <v>12</v>
      </c>
      <c r="AA145" s="738"/>
      <c r="AB145" s="737">
        <v>13</v>
      </c>
      <c r="AC145" s="738"/>
      <c r="AD145" s="737">
        <v>14</v>
      </c>
      <c r="AE145" s="738"/>
      <c r="AF145" s="737">
        <v>15</v>
      </c>
      <c r="AG145" s="738"/>
      <c r="AH145" s="738">
        <v>16</v>
      </c>
      <c r="AI145" s="741"/>
      <c r="AJ145" s="741">
        <v>17</v>
      </c>
      <c r="AK145" s="741"/>
      <c r="AL145" s="741">
        <v>18</v>
      </c>
      <c r="AM145" s="741"/>
      <c r="AN145" s="741">
        <v>19</v>
      </c>
      <c r="AO145" s="741"/>
      <c r="AP145" s="741">
        <v>20</v>
      </c>
      <c r="AQ145" s="741"/>
      <c r="AR145" s="741">
        <v>21</v>
      </c>
      <c r="AS145" s="741"/>
      <c r="AT145" s="741">
        <v>22</v>
      </c>
      <c r="AU145" s="741"/>
      <c r="AV145" s="741">
        <v>23</v>
      </c>
      <c r="AW145" s="741"/>
      <c r="AX145" s="741">
        <v>24</v>
      </c>
      <c r="AY145" s="741"/>
      <c r="AZ145" s="741">
        <v>25</v>
      </c>
      <c r="BA145" s="741"/>
      <c r="BB145" s="741">
        <v>26</v>
      </c>
      <c r="BC145" s="741"/>
      <c r="BD145" s="741">
        <v>27</v>
      </c>
      <c r="BE145" s="741"/>
      <c r="BF145" s="741">
        <v>28</v>
      </c>
      <c r="BG145" s="741"/>
      <c r="BH145" s="741">
        <v>29</v>
      </c>
      <c r="BI145" s="741"/>
      <c r="BJ145" s="741">
        <v>30</v>
      </c>
      <c r="BK145" s="741"/>
      <c r="BL145" s="741">
        <v>31</v>
      </c>
      <c r="BM145" s="741"/>
      <c r="BN145" s="738" t="s">
        <v>251</v>
      </c>
      <c r="BO145" s="760"/>
      <c r="BP145" s="771" t="s">
        <v>353</v>
      </c>
      <c r="BQ145" s="772"/>
    </row>
    <row r="146" spans="2:69" ht="24.95" customHeight="1">
      <c r="B146" s="744"/>
      <c r="C146" s="747"/>
      <c r="D146" s="752" t="str">
        <f>D2</f>
        <v>水</v>
      </c>
      <c r="E146" s="740"/>
      <c r="F146" s="739" t="str">
        <f>F2</f>
        <v>木</v>
      </c>
      <c r="G146" s="740"/>
      <c r="H146" s="739" t="str">
        <f>H2</f>
        <v>金</v>
      </c>
      <c r="I146" s="740"/>
      <c r="J146" s="739" t="str">
        <f>J2</f>
        <v>土</v>
      </c>
      <c r="K146" s="740"/>
      <c r="L146" s="739" t="str">
        <f>L2</f>
        <v>日</v>
      </c>
      <c r="M146" s="740"/>
      <c r="N146" s="739" t="str">
        <f>N2</f>
        <v>月</v>
      </c>
      <c r="O146" s="740"/>
      <c r="P146" s="739" t="str">
        <f>P2</f>
        <v>火</v>
      </c>
      <c r="Q146" s="740"/>
      <c r="R146" s="739" t="str">
        <f>R2</f>
        <v>水</v>
      </c>
      <c r="S146" s="740"/>
      <c r="T146" s="739" t="str">
        <f>T2</f>
        <v>木</v>
      </c>
      <c r="U146" s="740"/>
      <c r="V146" s="739" t="str">
        <f>V2</f>
        <v>金</v>
      </c>
      <c r="W146" s="740"/>
      <c r="X146" s="739" t="str">
        <f>X2</f>
        <v>土</v>
      </c>
      <c r="Y146" s="740"/>
      <c r="Z146" s="739" t="str">
        <f>Z2</f>
        <v>日</v>
      </c>
      <c r="AA146" s="740"/>
      <c r="AB146" s="739" t="str">
        <f>AB2</f>
        <v>月</v>
      </c>
      <c r="AC146" s="740"/>
      <c r="AD146" s="739" t="str">
        <f>AD2</f>
        <v>火</v>
      </c>
      <c r="AE146" s="740"/>
      <c r="AF146" s="739" t="str">
        <f>AF2</f>
        <v>水</v>
      </c>
      <c r="AG146" s="740"/>
      <c r="AH146" s="767" t="str">
        <f>AH2</f>
        <v>木</v>
      </c>
      <c r="AI146" s="767"/>
      <c r="AJ146" s="770" t="str">
        <f>AJ2</f>
        <v>金</v>
      </c>
      <c r="AK146" s="770"/>
      <c r="AL146" s="770" t="str">
        <f>AL2</f>
        <v>土</v>
      </c>
      <c r="AM146" s="770"/>
      <c r="AN146" s="770" t="str">
        <f>AN2</f>
        <v>日</v>
      </c>
      <c r="AO146" s="770"/>
      <c r="AP146" s="770" t="str">
        <f>AP2</f>
        <v>月</v>
      </c>
      <c r="AQ146" s="770"/>
      <c r="AR146" s="770" t="str">
        <f>AR2</f>
        <v>火</v>
      </c>
      <c r="AS146" s="770"/>
      <c r="AT146" s="770" t="str">
        <f>AT2</f>
        <v>水</v>
      </c>
      <c r="AU146" s="770"/>
      <c r="AV146" s="770" t="str">
        <f>AV2</f>
        <v>木</v>
      </c>
      <c r="AW146" s="770"/>
      <c r="AX146" s="770" t="str">
        <f>AX2</f>
        <v>金</v>
      </c>
      <c r="AY146" s="770"/>
      <c r="AZ146" s="770" t="str">
        <f>AZ2</f>
        <v>土</v>
      </c>
      <c r="BA146" s="770"/>
      <c r="BB146" s="770" t="str">
        <f>BB2</f>
        <v>日</v>
      </c>
      <c r="BC146" s="770"/>
      <c r="BD146" s="770" t="str">
        <f>BD2</f>
        <v>月</v>
      </c>
      <c r="BE146" s="770"/>
      <c r="BF146" s="770" t="str">
        <f>BF2</f>
        <v>火</v>
      </c>
      <c r="BG146" s="770"/>
      <c r="BH146" s="770" t="str">
        <f>BH2</f>
        <v>水</v>
      </c>
      <c r="BI146" s="770"/>
      <c r="BJ146" s="770" t="str">
        <f>BJ2</f>
        <v>木</v>
      </c>
      <c r="BK146" s="770"/>
      <c r="BL146" s="770" t="str">
        <f>BL2</f>
        <v>金</v>
      </c>
      <c r="BM146" s="770"/>
      <c r="BN146" s="761"/>
      <c r="BO146" s="762"/>
      <c r="BP146" s="773"/>
      <c r="BQ146" s="774"/>
    </row>
    <row r="147" spans="2:69" ht="24.95" customHeight="1" thickBot="1">
      <c r="B147" s="748"/>
      <c r="C147" s="750"/>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3"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
        <v>150</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567"/>
      <c r="AG148" s="569"/>
      <c r="AH148" s="567"/>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8"/>
      <c r="BK148" s="15"/>
      <c r="BL148" s="179"/>
      <c r="BM148" s="9"/>
      <c r="BN148" s="561">
        <f>SUM(D148,F148,H148,J148,L148,N148,P148,R148,T148,V148,X148,Z148,AB148,AD148,AF148,AH148,AJ148,AL148,AN148,AP148,AR148,AT148,AV148,AX148,AZ148,BB148,BD148,BF148,BH148,BJ148,BL148)</f>
        <v>0</v>
      </c>
      <c r="BO148" s="559">
        <f>SUM(E148,G148,I148,K148,M148,O148,Q148,S148,U148,W148,Y148,AA148,AC148,AE148,AG148,AI148,AK148,AM148,AO148,AQ148,AS148,AU148,AW148,AY148,BA148,BC148,BE148,BG148,BI148,BK148,BM148)</f>
        <v>0</v>
      </c>
      <c r="BP148" s="558">
        <f>BN148</f>
        <v>0</v>
      </c>
      <c r="BQ148" s="559">
        <f>BO148</f>
        <v>0</v>
      </c>
    </row>
    <row r="149" spans="2:69" s="6" customFormat="1" ht="50.1" customHeight="1">
      <c r="B149" s="201" t="s">
        <v>88</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567"/>
      <c r="AG149" s="569"/>
      <c r="AH149" s="567"/>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37"/>
      <c r="BM149" s="14"/>
      <c r="BN149" s="561">
        <f t="shared" ref="BN149:BN159" si="46">SUM(D149,F149,H149,J149,L149,N149,P149,R149,T149,V149,X149,Z149,AB149,AD149,AF149,AH149,AJ149,AL149,AN149,AP149,AR149,AT149,AV149,AX149,AZ149,BB149,BD149,BF149,BH149,BJ149,BL149)</f>
        <v>0</v>
      </c>
      <c r="BO149" s="559">
        <f t="shared" ref="BO149:BO159" si="47">SUM(E149,G149,I149,K149,M149,O149,Q149,S149,U149,W149,Y149,AA149,AC149,AE149,AG149,AI149,AK149,AM149,AO149,AQ149,AS149,AU149,AW149,AY149,BA149,BC149,BE149,BG149,BI149,BK149,BM149)</f>
        <v>0</v>
      </c>
      <c r="BP149" s="558">
        <f t="shared" ref="BP149:BP159" si="48">BN149</f>
        <v>0</v>
      </c>
      <c r="BQ149" s="559">
        <f t="shared" ref="BQ149:BQ159" si="49">BO149</f>
        <v>0</v>
      </c>
    </row>
    <row r="150" spans="2:69" s="6" customFormat="1" ht="50.1" customHeight="1">
      <c r="B150" s="201" t="s">
        <v>19</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567"/>
      <c r="AG150" s="569"/>
      <c r="AH150" s="567"/>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561">
        <f t="shared" si="46"/>
        <v>0</v>
      </c>
      <c r="BO150" s="559">
        <f t="shared" si="47"/>
        <v>0</v>
      </c>
      <c r="BP150" s="558">
        <f t="shared" si="48"/>
        <v>0</v>
      </c>
      <c r="BQ150" s="559">
        <f t="shared" si="49"/>
        <v>0</v>
      </c>
    </row>
    <row r="151" spans="2:69" s="6" customFormat="1" ht="50.1" customHeight="1">
      <c r="B151" s="201" t="s">
        <v>236</v>
      </c>
      <c r="C151" s="146"/>
      <c r="D151" s="18"/>
      <c r="E151" s="14"/>
      <c r="F151" s="18"/>
      <c r="G151" s="14"/>
      <c r="H151" s="18"/>
      <c r="I151" s="14"/>
      <c r="J151" s="18"/>
      <c r="K151" s="14"/>
      <c r="L151" s="18"/>
      <c r="M151" s="14"/>
      <c r="N151" s="18"/>
      <c r="O151" s="14"/>
      <c r="P151" s="18"/>
      <c r="Q151" s="14"/>
      <c r="R151" s="18">
        <v>1</v>
      </c>
      <c r="S151" s="14">
        <v>2</v>
      </c>
      <c r="T151" s="18"/>
      <c r="U151" s="14"/>
      <c r="V151" s="18"/>
      <c r="W151" s="14"/>
      <c r="X151" s="18"/>
      <c r="Y151" s="14"/>
      <c r="Z151" s="18"/>
      <c r="AA151" s="14"/>
      <c r="AB151" s="18"/>
      <c r="AC151" s="14"/>
      <c r="AD151" s="18"/>
      <c r="AE151" s="14"/>
      <c r="AF151" s="567"/>
      <c r="AG151" s="569"/>
      <c r="AH151" s="567"/>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561">
        <f t="shared" si="46"/>
        <v>1</v>
      </c>
      <c r="BO151" s="559">
        <f t="shared" si="47"/>
        <v>2</v>
      </c>
      <c r="BP151" s="558">
        <f t="shared" si="48"/>
        <v>1</v>
      </c>
      <c r="BQ151" s="559">
        <f t="shared" si="49"/>
        <v>2</v>
      </c>
    </row>
    <row r="152" spans="2:69" s="6" customFormat="1" ht="50.1" customHeight="1">
      <c r="B152" s="201" t="s">
        <v>114</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567"/>
      <c r="AG152" s="569"/>
      <c r="AH152" s="567"/>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561">
        <f t="shared" si="46"/>
        <v>0</v>
      </c>
      <c r="BO152" s="559">
        <f t="shared" si="47"/>
        <v>0</v>
      </c>
      <c r="BP152" s="558">
        <f t="shared" si="48"/>
        <v>0</v>
      </c>
      <c r="BQ152" s="559">
        <f t="shared" si="49"/>
        <v>0</v>
      </c>
    </row>
    <row r="153" spans="2:69" s="6" customFormat="1" ht="50.1" customHeight="1">
      <c r="B153" s="201" t="s">
        <v>264</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567"/>
      <c r="AG153" s="569"/>
      <c r="AH153" s="567"/>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561">
        <f t="shared" si="46"/>
        <v>0</v>
      </c>
      <c r="BO153" s="559">
        <f t="shared" si="47"/>
        <v>0</v>
      </c>
      <c r="BP153" s="558">
        <f t="shared" si="48"/>
        <v>0</v>
      </c>
      <c r="BQ153" s="559">
        <f t="shared" si="49"/>
        <v>0</v>
      </c>
    </row>
    <row r="154" spans="2:69" s="6" customFormat="1" ht="50.1" customHeight="1">
      <c r="B154" s="201" t="s">
        <v>14</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567"/>
      <c r="AG154" s="569"/>
      <c r="AH154" s="567"/>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561">
        <f t="shared" si="46"/>
        <v>0</v>
      </c>
      <c r="BO154" s="559">
        <f t="shared" si="47"/>
        <v>0</v>
      </c>
      <c r="BP154" s="558">
        <f t="shared" si="48"/>
        <v>0</v>
      </c>
      <c r="BQ154" s="559">
        <f t="shared" si="49"/>
        <v>0</v>
      </c>
    </row>
    <row r="155" spans="2:69" s="6" customFormat="1" ht="50.1" customHeight="1">
      <c r="B155" s="201" t="s">
        <v>2</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v>1</v>
      </c>
      <c r="AE155" s="20">
        <v>2</v>
      </c>
      <c r="AF155" s="567"/>
      <c r="AG155" s="593"/>
      <c r="AH155" s="592"/>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50"/>
      <c r="BK155" s="21"/>
      <c r="BL155" s="38"/>
      <c r="BM155" s="20"/>
      <c r="BN155" s="561">
        <f t="shared" si="46"/>
        <v>1</v>
      </c>
      <c r="BO155" s="559">
        <f t="shared" si="47"/>
        <v>2</v>
      </c>
      <c r="BP155" s="558">
        <f t="shared" si="48"/>
        <v>1</v>
      </c>
      <c r="BQ155" s="559">
        <f t="shared" si="49"/>
        <v>2</v>
      </c>
    </row>
    <row r="156" spans="2:69" s="6" customFormat="1" ht="50.1" customHeight="1">
      <c r="B156" s="201" t="s">
        <v>261</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567"/>
      <c r="AG156" s="569"/>
      <c r="AH156" s="567"/>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18"/>
      <c r="BK156" s="15"/>
      <c r="BL156" s="37"/>
      <c r="BM156" s="14"/>
      <c r="BN156" s="561">
        <f t="shared" si="46"/>
        <v>0</v>
      </c>
      <c r="BO156" s="559">
        <f t="shared" si="47"/>
        <v>0</v>
      </c>
      <c r="BP156" s="558">
        <f t="shared" si="48"/>
        <v>0</v>
      </c>
      <c r="BQ156" s="559">
        <f t="shared" si="49"/>
        <v>0</v>
      </c>
    </row>
    <row r="157" spans="2:69" s="6" customFormat="1" ht="50.1" customHeight="1">
      <c r="B157" s="202" t="s">
        <v>237</v>
      </c>
      <c r="C157" s="147"/>
      <c r="D157" s="18"/>
      <c r="E157" s="14"/>
      <c r="F157" s="18"/>
      <c r="G157" s="14"/>
      <c r="H157" s="18">
        <v>1</v>
      </c>
      <c r="I157" s="14">
        <v>1</v>
      </c>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567"/>
      <c r="AG157" s="569"/>
      <c r="AH157" s="567"/>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561">
        <f t="shared" si="46"/>
        <v>1</v>
      </c>
      <c r="BO157" s="559">
        <f t="shared" si="47"/>
        <v>1</v>
      </c>
      <c r="BP157" s="558">
        <f t="shared" si="48"/>
        <v>1</v>
      </c>
      <c r="BQ157" s="559">
        <f t="shared" si="49"/>
        <v>1</v>
      </c>
    </row>
    <row r="158" spans="2:69" s="6" customFormat="1" ht="50.1" customHeight="1">
      <c r="B158" s="202" t="s">
        <v>131</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567"/>
      <c r="AG158" s="569"/>
      <c r="AH158" s="567"/>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561">
        <f t="shared" si="46"/>
        <v>0</v>
      </c>
      <c r="BO158" s="559">
        <f t="shared" si="47"/>
        <v>0</v>
      </c>
      <c r="BP158" s="558">
        <f t="shared" si="48"/>
        <v>0</v>
      </c>
      <c r="BQ158" s="559">
        <f t="shared" si="49"/>
        <v>0</v>
      </c>
    </row>
    <row r="159" spans="2:69" s="6" customFormat="1" ht="50.1" customHeight="1" thickBot="1">
      <c r="B159" s="206" t="s">
        <v>12</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567"/>
      <c r="AG159" s="569"/>
      <c r="AH159" s="567"/>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561">
        <f t="shared" si="46"/>
        <v>0</v>
      </c>
      <c r="BO159" s="559">
        <f t="shared" si="47"/>
        <v>0</v>
      </c>
      <c r="BP159" s="558">
        <f t="shared" si="48"/>
        <v>0</v>
      </c>
      <c r="BQ159" s="559">
        <f t="shared" si="49"/>
        <v>0</v>
      </c>
    </row>
    <row r="160" spans="2:69" s="6" customFormat="1" ht="45" customHeight="1" thickBot="1">
      <c r="B160" s="119" t="s">
        <v>101</v>
      </c>
      <c r="C160" s="149"/>
      <c r="D160" s="29">
        <f t="shared" ref="D160:AG160" si="50">SUM(D148:D159)</f>
        <v>0</v>
      </c>
      <c r="E160" s="31">
        <f t="shared" si="50"/>
        <v>0</v>
      </c>
      <c r="F160" s="29">
        <f t="shared" si="50"/>
        <v>0</v>
      </c>
      <c r="G160" s="31">
        <f t="shared" si="50"/>
        <v>0</v>
      </c>
      <c r="H160" s="29">
        <f t="shared" si="50"/>
        <v>1</v>
      </c>
      <c r="I160" s="31">
        <f t="shared" si="50"/>
        <v>1</v>
      </c>
      <c r="J160" s="29">
        <f t="shared" si="50"/>
        <v>0</v>
      </c>
      <c r="K160" s="31">
        <f t="shared" si="50"/>
        <v>0</v>
      </c>
      <c r="L160" s="29">
        <f t="shared" si="50"/>
        <v>0</v>
      </c>
      <c r="M160" s="31">
        <f t="shared" si="50"/>
        <v>0</v>
      </c>
      <c r="N160" s="29">
        <f t="shared" si="50"/>
        <v>0</v>
      </c>
      <c r="O160" s="31">
        <f t="shared" si="50"/>
        <v>0</v>
      </c>
      <c r="P160" s="29">
        <f t="shared" si="50"/>
        <v>0</v>
      </c>
      <c r="Q160" s="31">
        <f t="shared" si="50"/>
        <v>0</v>
      </c>
      <c r="R160" s="29">
        <f t="shared" si="50"/>
        <v>1</v>
      </c>
      <c r="S160" s="31">
        <f t="shared" si="50"/>
        <v>2</v>
      </c>
      <c r="T160" s="29">
        <f t="shared" si="50"/>
        <v>0</v>
      </c>
      <c r="U160" s="31">
        <f t="shared" si="50"/>
        <v>0</v>
      </c>
      <c r="V160" s="29">
        <f t="shared" si="50"/>
        <v>0</v>
      </c>
      <c r="W160" s="31">
        <f t="shared" si="50"/>
        <v>0</v>
      </c>
      <c r="X160" s="29">
        <f t="shared" si="50"/>
        <v>0</v>
      </c>
      <c r="Y160" s="31">
        <f t="shared" si="50"/>
        <v>0</v>
      </c>
      <c r="Z160" s="29">
        <f t="shared" si="50"/>
        <v>0</v>
      </c>
      <c r="AA160" s="31">
        <f t="shared" si="50"/>
        <v>0</v>
      </c>
      <c r="AB160" s="29">
        <f t="shared" si="50"/>
        <v>0</v>
      </c>
      <c r="AC160" s="31">
        <f t="shared" si="50"/>
        <v>0</v>
      </c>
      <c r="AD160" s="29">
        <f t="shared" si="50"/>
        <v>1</v>
      </c>
      <c r="AE160" s="31">
        <f t="shared" si="50"/>
        <v>2</v>
      </c>
      <c r="AF160" s="29">
        <f t="shared" si="50"/>
        <v>0</v>
      </c>
      <c r="AG160" s="31">
        <f t="shared" si="50"/>
        <v>0</v>
      </c>
      <c r="AH160" s="29">
        <f t="shared" ref="AH160:BK160" si="51">SUM(AH148:AH159)</f>
        <v>0</v>
      </c>
      <c r="AI160" s="31">
        <f t="shared" si="51"/>
        <v>0</v>
      </c>
      <c r="AJ160" s="29">
        <f t="shared" si="51"/>
        <v>0</v>
      </c>
      <c r="AK160" s="31">
        <f t="shared" si="51"/>
        <v>0</v>
      </c>
      <c r="AL160" s="29">
        <f t="shared" si="51"/>
        <v>0</v>
      </c>
      <c r="AM160" s="31">
        <f t="shared" si="51"/>
        <v>0</v>
      </c>
      <c r="AN160" s="29">
        <f t="shared" si="51"/>
        <v>0</v>
      </c>
      <c r="AO160" s="31">
        <f t="shared" si="51"/>
        <v>0</v>
      </c>
      <c r="AP160" s="29">
        <f t="shared" si="51"/>
        <v>0</v>
      </c>
      <c r="AQ160" s="31">
        <f t="shared" si="51"/>
        <v>0</v>
      </c>
      <c r="AR160" s="29">
        <f t="shared" si="51"/>
        <v>0</v>
      </c>
      <c r="AS160" s="31">
        <f t="shared" si="51"/>
        <v>0</v>
      </c>
      <c r="AT160" s="29">
        <f t="shared" si="51"/>
        <v>0</v>
      </c>
      <c r="AU160" s="31">
        <f t="shared" si="51"/>
        <v>0</v>
      </c>
      <c r="AV160" s="29">
        <f t="shared" si="51"/>
        <v>0</v>
      </c>
      <c r="AW160" s="31">
        <f t="shared" si="51"/>
        <v>0</v>
      </c>
      <c r="AX160" s="29">
        <f t="shared" si="51"/>
        <v>0</v>
      </c>
      <c r="AY160" s="31">
        <f t="shared" si="51"/>
        <v>0</v>
      </c>
      <c r="AZ160" s="29">
        <f t="shared" si="51"/>
        <v>0</v>
      </c>
      <c r="BA160" s="31">
        <f t="shared" si="51"/>
        <v>0</v>
      </c>
      <c r="BB160" s="29">
        <f t="shared" si="51"/>
        <v>0</v>
      </c>
      <c r="BC160" s="31">
        <f t="shared" si="51"/>
        <v>0</v>
      </c>
      <c r="BD160" s="29">
        <f>SUM(BD148:BD159)</f>
        <v>0</v>
      </c>
      <c r="BE160" s="31">
        <f t="shared" si="51"/>
        <v>0</v>
      </c>
      <c r="BF160" s="29">
        <f t="shared" si="51"/>
        <v>0</v>
      </c>
      <c r="BG160" s="31">
        <f t="shared" si="51"/>
        <v>0</v>
      </c>
      <c r="BH160" s="29">
        <f t="shared" si="51"/>
        <v>0</v>
      </c>
      <c r="BI160" s="31">
        <f t="shared" si="51"/>
        <v>0</v>
      </c>
      <c r="BJ160" s="29">
        <f t="shared" si="51"/>
        <v>0</v>
      </c>
      <c r="BK160" s="41">
        <f t="shared" si="51"/>
        <v>0</v>
      </c>
      <c r="BL160" s="39">
        <f t="shared" ref="BL160:BQ160" si="52">SUM(BL148:BL159)</f>
        <v>0</v>
      </c>
      <c r="BM160" s="31">
        <f t="shared" si="52"/>
        <v>0</v>
      </c>
      <c r="BN160" s="32">
        <f t="shared" si="52"/>
        <v>3</v>
      </c>
      <c r="BO160" s="40">
        <f t="shared" si="52"/>
        <v>5</v>
      </c>
      <c r="BP160" s="245">
        <f t="shared" si="52"/>
        <v>3</v>
      </c>
      <c r="BQ160" s="240">
        <f t="shared" si="52"/>
        <v>5</v>
      </c>
    </row>
    <row r="161" spans="2:69" ht="24.75" customHeight="1">
      <c r="B161" s="120"/>
      <c r="AG161" s="34"/>
      <c r="AJ161" s="7"/>
      <c r="AK161" s="7"/>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43" t="s">
        <v>215</v>
      </c>
      <c r="C163" s="749">
        <f>COUNTIF(B166:B195,"*")</f>
        <v>24</v>
      </c>
      <c r="D163" s="751">
        <v>1</v>
      </c>
      <c r="E163" s="738"/>
      <c r="F163" s="737">
        <v>2</v>
      </c>
      <c r="G163" s="738"/>
      <c r="H163" s="737">
        <v>3</v>
      </c>
      <c r="I163" s="738"/>
      <c r="J163" s="737">
        <v>4</v>
      </c>
      <c r="K163" s="738"/>
      <c r="L163" s="737">
        <v>5</v>
      </c>
      <c r="M163" s="738"/>
      <c r="N163" s="737">
        <v>6</v>
      </c>
      <c r="O163" s="738"/>
      <c r="P163" s="737">
        <v>7</v>
      </c>
      <c r="Q163" s="738"/>
      <c r="R163" s="737">
        <v>8</v>
      </c>
      <c r="S163" s="738"/>
      <c r="T163" s="737">
        <v>9</v>
      </c>
      <c r="U163" s="738"/>
      <c r="V163" s="737">
        <v>10</v>
      </c>
      <c r="W163" s="738"/>
      <c r="X163" s="737">
        <v>11</v>
      </c>
      <c r="Y163" s="738"/>
      <c r="Z163" s="737">
        <v>12</v>
      </c>
      <c r="AA163" s="738"/>
      <c r="AB163" s="737">
        <v>13</v>
      </c>
      <c r="AC163" s="738"/>
      <c r="AD163" s="737">
        <v>14</v>
      </c>
      <c r="AE163" s="738"/>
      <c r="AF163" s="737">
        <v>15</v>
      </c>
      <c r="AG163" s="738"/>
      <c r="AH163" s="738">
        <v>16</v>
      </c>
      <c r="AI163" s="741"/>
      <c r="AJ163" s="741">
        <v>17</v>
      </c>
      <c r="AK163" s="741"/>
      <c r="AL163" s="741">
        <v>18</v>
      </c>
      <c r="AM163" s="741"/>
      <c r="AN163" s="741">
        <v>19</v>
      </c>
      <c r="AO163" s="741"/>
      <c r="AP163" s="741">
        <v>20</v>
      </c>
      <c r="AQ163" s="741"/>
      <c r="AR163" s="741">
        <v>21</v>
      </c>
      <c r="AS163" s="741"/>
      <c r="AT163" s="741">
        <v>22</v>
      </c>
      <c r="AU163" s="741"/>
      <c r="AV163" s="741">
        <v>23</v>
      </c>
      <c r="AW163" s="741"/>
      <c r="AX163" s="741">
        <v>24</v>
      </c>
      <c r="AY163" s="741"/>
      <c r="AZ163" s="741">
        <v>25</v>
      </c>
      <c r="BA163" s="741"/>
      <c r="BB163" s="741">
        <v>26</v>
      </c>
      <c r="BC163" s="741"/>
      <c r="BD163" s="741">
        <v>27</v>
      </c>
      <c r="BE163" s="741"/>
      <c r="BF163" s="741">
        <v>28</v>
      </c>
      <c r="BG163" s="741"/>
      <c r="BH163" s="741">
        <v>29</v>
      </c>
      <c r="BI163" s="741"/>
      <c r="BJ163" s="741">
        <v>30</v>
      </c>
      <c r="BK163" s="741"/>
      <c r="BL163" s="741">
        <v>31</v>
      </c>
      <c r="BM163" s="741"/>
      <c r="BN163" s="738" t="s">
        <v>251</v>
      </c>
      <c r="BO163" s="760"/>
      <c r="BP163" s="771" t="s">
        <v>353</v>
      </c>
      <c r="BQ163" s="772"/>
    </row>
    <row r="164" spans="2:69" ht="24.75" customHeight="1">
      <c r="B164" s="744"/>
      <c r="C164" s="747"/>
      <c r="D164" s="752" t="str">
        <f>D2</f>
        <v>水</v>
      </c>
      <c r="E164" s="740"/>
      <c r="F164" s="739" t="str">
        <f>F2</f>
        <v>木</v>
      </c>
      <c r="G164" s="740"/>
      <c r="H164" s="739" t="str">
        <f>H2</f>
        <v>金</v>
      </c>
      <c r="I164" s="740"/>
      <c r="J164" s="739" t="str">
        <f>J2</f>
        <v>土</v>
      </c>
      <c r="K164" s="740"/>
      <c r="L164" s="739" t="str">
        <f>L2</f>
        <v>日</v>
      </c>
      <c r="M164" s="740"/>
      <c r="N164" s="739" t="str">
        <f>N2</f>
        <v>月</v>
      </c>
      <c r="O164" s="740"/>
      <c r="P164" s="739" t="str">
        <f>P2</f>
        <v>火</v>
      </c>
      <c r="Q164" s="740"/>
      <c r="R164" s="739" t="str">
        <f>R2</f>
        <v>水</v>
      </c>
      <c r="S164" s="740"/>
      <c r="T164" s="739" t="str">
        <f>T2</f>
        <v>木</v>
      </c>
      <c r="U164" s="740"/>
      <c r="V164" s="739" t="str">
        <f>V2</f>
        <v>金</v>
      </c>
      <c r="W164" s="740"/>
      <c r="X164" s="739" t="str">
        <f>X2</f>
        <v>土</v>
      </c>
      <c r="Y164" s="740"/>
      <c r="Z164" s="739" t="str">
        <f>Z2</f>
        <v>日</v>
      </c>
      <c r="AA164" s="740"/>
      <c r="AB164" s="739" t="str">
        <f>AB2</f>
        <v>月</v>
      </c>
      <c r="AC164" s="740"/>
      <c r="AD164" s="739" t="str">
        <f>AD2</f>
        <v>火</v>
      </c>
      <c r="AE164" s="740"/>
      <c r="AF164" s="739" t="str">
        <f>AF2</f>
        <v>水</v>
      </c>
      <c r="AG164" s="740"/>
      <c r="AH164" s="767" t="str">
        <f>AH2</f>
        <v>木</v>
      </c>
      <c r="AI164" s="767"/>
      <c r="AJ164" s="770" t="str">
        <f>AJ2</f>
        <v>金</v>
      </c>
      <c r="AK164" s="770"/>
      <c r="AL164" s="770" t="str">
        <f>AL2</f>
        <v>土</v>
      </c>
      <c r="AM164" s="770"/>
      <c r="AN164" s="770" t="str">
        <f>AN2</f>
        <v>日</v>
      </c>
      <c r="AO164" s="770"/>
      <c r="AP164" s="770" t="str">
        <f>AP2</f>
        <v>月</v>
      </c>
      <c r="AQ164" s="770"/>
      <c r="AR164" s="770" t="str">
        <f>AR2</f>
        <v>火</v>
      </c>
      <c r="AS164" s="770"/>
      <c r="AT164" s="770" t="str">
        <f>AT2</f>
        <v>水</v>
      </c>
      <c r="AU164" s="770"/>
      <c r="AV164" s="770" t="str">
        <f>AV2</f>
        <v>木</v>
      </c>
      <c r="AW164" s="770"/>
      <c r="AX164" s="770" t="str">
        <f>AX2</f>
        <v>金</v>
      </c>
      <c r="AY164" s="770"/>
      <c r="AZ164" s="770" t="str">
        <f>AZ2</f>
        <v>土</v>
      </c>
      <c r="BA164" s="770"/>
      <c r="BB164" s="770" t="str">
        <f>BB2</f>
        <v>日</v>
      </c>
      <c r="BC164" s="770"/>
      <c r="BD164" s="770" t="str">
        <f>BD2</f>
        <v>月</v>
      </c>
      <c r="BE164" s="770"/>
      <c r="BF164" s="770" t="str">
        <f>BF2</f>
        <v>火</v>
      </c>
      <c r="BG164" s="770"/>
      <c r="BH164" s="770" t="str">
        <f>BH2</f>
        <v>水</v>
      </c>
      <c r="BI164" s="770"/>
      <c r="BJ164" s="770" t="str">
        <f>BJ2</f>
        <v>木</v>
      </c>
      <c r="BK164" s="770"/>
      <c r="BL164" s="770" t="str">
        <f>BL2</f>
        <v>金</v>
      </c>
      <c r="BM164" s="770"/>
      <c r="BN164" s="761"/>
      <c r="BO164" s="762"/>
      <c r="BP164" s="773"/>
      <c r="BQ164" s="774"/>
    </row>
    <row r="165" spans="2:69" ht="24.95" customHeight="1">
      <c r="B165" s="744"/>
      <c r="C165" s="747"/>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552" t="s">
        <v>72</v>
      </c>
      <c r="AG165" s="583" t="s">
        <v>73</v>
      </c>
      <c r="AH165" s="482" t="s">
        <v>72</v>
      </c>
      <c r="AI165" s="481" t="s">
        <v>73</v>
      </c>
      <c r="AJ165" s="480" t="s">
        <v>72</v>
      </c>
      <c r="AK165" s="481" t="s">
        <v>73</v>
      </c>
      <c r="AL165" s="480" t="s">
        <v>72</v>
      </c>
      <c r="AM165" s="481" t="s">
        <v>73</v>
      </c>
      <c r="AN165" s="482" t="s">
        <v>72</v>
      </c>
      <c r="AO165" s="481" t="s">
        <v>73</v>
      </c>
      <c r="AP165" s="482" t="s">
        <v>72</v>
      </c>
      <c r="AQ165" s="481" t="s">
        <v>73</v>
      </c>
      <c r="AR165" s="482" t="s">
        <v>72</v>
      </c>
      <c r="AS165" s="481" t="s">
        <v>73</v>
      </c>
      <c r="AT165" s="482" t="s">
        <v>72</v>
      </c>
      <c r="AU165" s="481" t="s">
        <v>73</v>
      </c>
      <c r="AV165" s="482" t="s">
        <v>72</v>
      </c>
      <c r="AW165" s="481" t="s">
        <v>73</v>
      </c>
      <c r="AX165" s="482" t="s">
        <v>72</v>
      </c>
      <c r="AY165" s="481" t="s">
        <v>73</v>
      </c>
      <c r="AZ165" s="482" t="s">
        <v>72</v>
      </c>
      <c r="BA165" s="481" t="s">
        <v>73</v>
      </c>
      <c r="BB165" s="482" t="s">
        <v>72</v>
      </c>
      <c r="BC165" s="481" t="s">
        <v>73</v>
      </c>
      <c r="BD165" s="482" t="s">
        <v>72</v>
      </c>
      <c r="BE165" s="107" t="s">
        <v>73</v>
      </c>
      <c r="BF165" s="194" t="s">
        <v>72</v>
      </c>
      <c r="BG165" s="107" t="s">
        <v>73</v>
      </c>
      <c r="BH165" s="194" t="s">
        <v>72</v>
      </c>
      <c r="BI165" s="107" t="s">
        <v>73</v>
      </c>
      <c r="BJ165" s="194" t="s">
        <v>72</v>
      </c>
      <c r="BK165" s="107" t="s">
        <v>73</v>
      </c>
      <c r="BL165" s="194" t="s">
        <v>72</v>
      </c>
      <c r="BM165" s="107" t="s">
        <v>73</v>
      </c>
      <c r="BN165" s="98" t="s">
        <v>72</v>
      </c>
      <c r="BO165" s="99" t="s">
        <v>73</v>
      </c>
      <c r="BP165" s="477" t="s">
        <v>252</v>
      </c>
      <c r="BQ165" s="478" t="s">
        <v>254</v>
      </c>
    </row>
    <row r="166" spans="2:69" ht="45" customHeight="1">
      <c r="B166" s="595" t="s">
        <v>230</v>
      </c>
      <c r="C166" s="591"/>
      <c r="D166" s="592"/>
      <c r="E166" s="593"/>
      <c r="F166" s="592"/>
      <c r="G166" s="593"/>
      <c r="H166" s="592"/>
      <c r="I166" s="593"/>
      <c r="J166" s="592"/>
      <c r="K166" s="593"/>
      <c r="L166" s="592"/>
      <c r="M166" s="593"/>
      <c r="N166" s="592"/>
      <c r="O166" s="593"/>
      <c r="P166" s="592"/>
      <c r="Q166" s="593"/>
      <c r="R166" s="592"/>
      <c r="S166" s="593"/>
      <c r="T166" s="592"/>
      <c r="U166" s="593"/>
      <c r="V166" s="592"/>
      <c r="W166" s="20"/>
      <c r="X166" s="50"/>
      <c r="Y166" s="20"/>
      <c r="Z166" s="50"/>
      <c r="AA166" s="20"/>
      <c r="AB166" s="50"/>
      <c r="AC166" s="20"/>
      <c r="AD166" s="50"/>
      <c r="AE166" s="20"/>
      <c r="AF166" s="592"/>
      <c r="AG166" s="593"/>
      <c r="AH166" s="582"/>
      <c r="AI166" s="583"/>
      <c r="AJ166" s="582"/>
      <c r="AK166" s="583"/>
      <c r="AL166" s="582"/>
      <c r="AM166" s="583"/>
      <c r="AN166" s="582"/>
      <c r="AO166" s="583"/>
      <c r="AP166" s="582"/>
      <c r="AQ166" s="583"/>
      <c r="AR166" s="582"/>
      <c r="AS166" s="583"/>
      <c r="AT166" s="582"/>
      <c r="AU166" s="583"/>
      <c r="AV166" s="582"/>
      <c r="AW166" s="583"/>
      <c r="AX166" s="582"/>
      <c r="AY166" s="583"/>
      <c r="AZ166" s="18"/>
      <c r="BA166" s="14"/>
      <c r="BB166" s="18"/>
      <c r="BC166" s="14"/>
      <c r="BD166" s="18"/>
      <c r="BE166" s="14"/>
      <c r="BF166" s="18"/>
      <c r="BG166" s="14"/>
      <c r="BH166" s="18"/>
      <c r="BI166" s="14"/>
      <c r="BJ166" s="18"/>
      <c r="BK166" s="15"/>
      <c r="BL166" s="37"/>
      <c r="BM166" s="584"/>
      <c r="BN166" s="561">
        <f>SUM(D166,F166,H166,J166,L166,N166,P166,R166,T166,V166,X166,Z166,AB166,AD166,AF166,AH166,AJ166,AL166,AN166,AP166,AR166,AT166,AV166,AX166,AZ166,BB166,BD166,BF166,BH166,BJ166,BL166)</f>
        <v>0</v>
      </c>
      <c r="BO166" s="559">
        <f>SUM(E166,G166,I166,K166,M166,O166,Q166,S166,U166,W166,Y166,AA166,AC166,AE166,AG166,AI166,AK166,AM166,AO166,AQ166,AS166,AU166,AW166,AY166,BA166,BC166,BE166,BG166,BI166,BK166,BM166)</f>
        <v>0</v>
      </c>
      <c r="BP166" s="558">
        <f>BN166</f>
        <v>0</v>
      </c>
      <c r="BQ166" s="559">
        <f>BO166</f>
        <v>0</v>
      </c>
    </row>
    <row r="167" spans="2:69" s="6" customFormat="1" ht="45" customHeight="1">
      <c r="B167" s="595" t="s">
        <v>305</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567"/>
      <c r="AG167" s="569"/>
      <c r="AH167" s="567"/>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18"/>
      <c r="BK167" s="15"/>
      <c r="BL167" s="37"/>
      <c r="BM167" s="14"/>
      <c r="BN167" s="561">
        <f t="shared" ref="BN167:BN189" si="53">SUM(D167,F167,H167,J167,L167,N167,P167,R167,T167,V167,X167,Z167,AB167,AD167,AF167,AH167,AJ167,AL167,AN167,AP167,AR167,AT167,AV167,AX167,AZ167,BB167,BD167,BF167,BH167,BJ167,BL167)</f>
        <v>0</v>
      </c>
      <c r="BO167" s="559">
        <f t="shared" ref="BO167:BO189" si="54">SUM(E167,G167,I167,K167,M167,O167,Q167,S167,U167,W167,Y167,AA167,AC167,AE167,AG167,AI167,AK167,AM167,AO167,AQ167,AS167,AU167,AW167,AY167,BA167,BC167,BE167,BG167,BI167,BK167,BM167)</f>
        <v>0</v>
      </c>
      <c r="BP167" s="558">
        <f t="shared" ref="BP167:BP189" si="55">BN167</f>
        <v>0</v>
      </c>
      <c r="BQ167" s="559">
        <f t="shared" ref="BQ167:BQ189" si="56">BO167</f>
        <v>0</v>
      </c>
    </row>
    <row r="168" spans="2:69" s="6" customFormat="1" ht="45" customHeight="1">
      <c r="B168" s="595" t="s">
        <v>125</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92"/>
      <c r="AG168" s="593"/>
      <c r="AH168" s="567"/>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50"/>
      <c r="BK168" s="21"/>
      <c r="BL168" s="38"/>
      <c r="BM168" s="20"/>
      <c r="BN168" s="561">
        <f t="shared" si="53"/>
        <v>0</v>
      </c>
      <c r="BO168" s="559">
        <f t="shared" si="54"/>
        <v>0</v>
      </c>
      <c r="BP168" s="558">
        <f t="shared" si="55"/>
        <v>0</v>
      </c>
      <c r="BQ168" s="559">
        <f t="shared" si="56"/>
        <v>0</v>
      </c>
    </row>
    <row r="169" spans="2:69" s="6" customFormat="1" ht="45" customHeight="1">
      <c r="B169" s="595" t="s">
        <v>31</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92"/>
      <c r="AG169" s="569"/>
      <c r="AH169" s="567"/>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18"/>
      <c r="BK169" s="15"/>
      <c r="BL169" s="37"/>
      <c r="BM169" s="14"/>
      <c r="BN169" s="561">
        <f t="shared" si="53"/>
        <v>0</v>
      </c>
      <c r="BO169" s="559">
        <f t="shared" si="54"/>
        <v>0</v>
      </c>
      <c r="BP169" s="558">
        <f t="shared" si="55"/>
        <v>0</v>
      </c>
      <c r="BQ169" s="559">
        <f t="shared" si="56"/>
        <v>0</v>
      </c>
    </row>
    <row r="170" spans="2:69" s="6" customFormat="1" ht="45" customHeight="1">
      <c r="B170" s="595" t="s">
        <v>249</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92"/>
      <c r="AG170" s="569"/>
      <c r="AH170" s="567"/>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561">
        <f t="shared" si="53"/>
        <v>0</v>
      </c>
      <c r="BO170" s="559">
        <f t="shared" si="54"/>
        <v>0</v>
      </c>
      <c r="BP170" s="558">
        <f t="shared" si="55"/>
        <v>0</v>
      </c>
      <c r="BQ170" s="559">
        <f t="shared" si="56"/>
        <v>0</v>
      </c>
    </row>
    <row r="171" spans="2:69" s="6" customFormat="1" ht="45" customHeight="1">
      <c r="B171" s="596" t="s">
        <v>515</v>
      </c>
      <c r="C171" s="484"/>
      <c r="D171" s="485"/>
      <c r="E171" s="486"/>
      <c r="F171" s="485"/>
      <c r="G171" s="486"/>
      <c r="H171" s="485"/>
      <c r="I171" s="486"/>
      <c r="J171" s="485"/>
      <c r="K171" s="486"/>
      <c r="L171" s="485"/>
      <c r="M171" s="486"/>
      <c r="N171" s="485"/>
      <c r="O171" s="486"/>
      <c r="P171" s="485"/>
      <c r="Q171" s="486"/>
      <c r="R171" s="485"/>
      <c r="S171" s="486"/>
      <c r="T171" s="485"/>
      <c r="U171" s="486"/>
      <c r="V171" s="485"/>
      <c r="W171" s="486"/>
      <c r="X171" s="485"/>
      <c r="Y171" s="486"/>
      <c r="Z171" s="485"/>
      <c r="AA171" s="486"/>
      <c r="AB171" s="485"/>
      <c r="AC171" s="486"/>
      <c r="AD171" s="485"/>
      <c r="AE171" s="486"/>
      <c r="AF171" s="582"/>
      <c r="AG171" s="556"/>
      <c r="AH171" s="567"/>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561">
        <f t="shared" si="53"/>
        <v>0</v>
      </c>
      <c r="BO171" s="559">
        <f t="shared" si="54"/>
        <v>0</v>
      </c>
      <c r="BP171" s="558">
        <f t="shared" si="55"/>
        <v>0</v>
      </c>
      <c r="BQ171" s="559">
        <f t="shared" si="56"/>
        <v>0</v>
      </c>
    </row>
    <row r="172" spans="2:69" s="6" customFormat="1" ht="45" customHeight="1">
      <c r="B172" s="595" t="s">
        <v>209</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92"/>
      <c r="AG172" s="569"/>
      <c r="AH172" s="567"/>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561">
        <f t="shared" si="53"/>
        <v>0</v>
      </c>
      <c r="BO172" s="559">
        <f t="shared" si="54"/>
        <v>0</v>
      </c>
      <c r="BP172" s="558">
        <f t="shared" si="55"/>
        <v>0</v>
      </c>
      <c r="BQ172" s="559">
        <f t="shared" si="56"/>
        <v>0</v>
      </c>
    </row>
    <row r="173" spans="2:69" s="6" customFormat="1" ht="45" customHeight="1">
      <c r="B173" s="597" t="s">
        <v>121</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v>2</v>
      </c>
      <c r="AE173" s="14">
        <v>2</v>
      </c>
      <c r="AF173" s="592"/>
      <c r="AG173" s="569"/>
      <c r="AH173" s="567"/>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561">
        <f t="shared" si="53"/>
        <v>2</v>
      </c>
      <c r="BO173" s="559">
        <f t="shared" si="54"/>
        <v>2</v>
      </c>
      <c r="BP173" s="558">
        <f t="shared" si="55"/>
        <v>2</v>
      </c>
      <c r="BQ173" s="559">
        <f t="shared" si="56"/>
        <v>2</v>
      </c>
    </row>
    <row r="174" spans="2:69" s="6" customFormat="1" ht="45" customHeight="1">
      <c r="B174" s="595" t="s">
        <v>145</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92"/>
      <c r="AG174" s="593"/>
      <c r="AH174" s="567"/>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50"/>
      <c r="BK174" s="21"/>
      <c r="BL174" s="38"/>
      <c r="BM174" s="20"/>
      <c r="BN174" s="561">
        <f t="shared" si="53"/>
        <v>0</v>
      </c>
      <c r="BO174" s="559">
        <f t="shared" si="54"/>
        <v>0</v>
      </c>
      <c r="BP174" s="558">
        <f t="shared" si="55"/>
        <v>0</v>
      </c>
      <c r="BQ174" s="559">
        <f t="shared" si="56"/>
        <v>0</v>
      </c>
    </row>
    <row r="175" spans="2:69" s="6" customFormat="1" ht="45" customHeight="1">
      <c r="B175" s="595" t="s">
        <v>5</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92"/>
      <c r="AG175" s="569"/>
      <c r="AH175" s="567"/>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18"/>
      <c r="BK175" s="15"/>
      <c r="BL175" s="37"/>
      <c r="BM175" s="14"/>
      <c r="BN175" s="561">
        <f t="shared" si="53"/>
        <v>0</v>
      </c>
      <c r="BO175" s="559">
        <f t="shared" si="54"/>
        <v>0</v>
      </c>
      <c r="BP175" s="558">
        <f t="shared" si="55"/>
        <v>0</v>
      </c>
      <c r="BQ175" s="559">
        <f t="shared" si="56"/>
        <v>0</v>
      </c>
    </row>
    <row r="176" spans="2:69" s="6" customFormat="1" ht="45" customHeight="1">
      <c r="B176" s="595" t="s">
        <v>38</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92"/>
      <c r="AG176" s="569"/>
      <c r="AH176" s="567"/>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561">
        <f t="shared" si="53"/>
        <v>0</v>
      </c>
      <c r="BO176" s="559">
        <f t="shared" si="54"/>
        <v>0</v>
      </c>
      <c r="BP176" s="558">
        <f t="shared" si="55"/>
        <v>0</v>
      </c>
      <c r="BQ176" s="559">
        <f t="shared" si="56"/>
        <v>0</v>
      </c>
    </row>
    <row r="177" spans="2:69" s="6" customFormat="1" ht="45" customHeight="1">
      <c r="B177" s="595" t="s">
        <v>266</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92"/>
      <c r="AG177" s="569"/>
      <c r="AH177" s="567"/>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561">
        <f t="shared" si="53"/>
        <v>0</v>
      </c>
      <c r="BO177" s="559">
        <f t="shared" si="54"/>
        <v>0</v>
      </c>
      <c r="BP177" s="558">
        <f t="shared" si="55"/>
        <v>0</v>
      </c>
      <c r="BQ177" s="559">
        <f t="shared" si="56"/>
        <v>0</v>
      </c>
    </row>
    <row r="178" spans="2:69" s="6" customFormat="1" ht="45" customHeight="1">
      <c r="B178" s="595" t="s">
        <v>44</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92"/>
      <c r="AG178" s="569"/>
      <c r="AH178" s="567"/>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561">
        <f t="shared" si="53"/>
        <v>0</v>
      </c>
      <c r="BO178" s="559">
        <f t="shared" si="54"/>
        <v>0</v>
      </c>
      <c r="BP178" s="558">
        <f t="shared" si="55"/>
        <v>0</v>
      </c>
      <c r="BQ178" s="559">
        <f t="shared" si="56"/>
        <v>0</v>
      </c>
    </row>
    <row r="179" spans="2:69" s="6" customFormat="1" ht="45" customHeight="1">
      <c r="B179" s="595" t="s">
        <v>175</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92"/>
      <c r="AG179" s="569"/>
      <c r="AH179" s="567"/>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561">
        <f t="shared" si="53"/>
        <v>0</v>
      </c>
      <c r="BO179" s="559">
        <f t="shared" si="54"/>
        <v>0</v>
      </c>
      <c r="BP179" s="558">
        <f t="shared" si="55"/>
        <v>0</v>
      </c>
      <c r="BQ179" s="559">
        <f t="shared" si="56"/>
        <v>0</v>
      </c>
    </row>
    <row r="180" spans="2:69" s="6" customFormat="1" ht="45" customHeight="1">
      <c r="B180" s="595" t="s">
        <v>169</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92"/>
      <c r="AG180" s="569"/>
      <c r="AH180" s="567"/>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561">
        <f t="shared" si="53"/>
        <v>0</v>
      </c>
      <c r="BO180" s="559">
        <f t="shared" si="54"/>
        <v>0</v>
      </c>
      <c r="BP180" s="558">
        <f t="shared" si="55"/>
        <v>0</v>
      </c>
      <c r="BQ180" s="559">
        <f t="shared" si="56"/>
        <v>0</v>
      </c>
    </row>
    <row r="181" spans="2:69" s="6" customFormat="1" ht="45" customHeight="1">
      <c r="B181" s="595" t="s">
        <v>23</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92"/>
      <c r="AG181" s="593"/>
      <c r="AH181" s="567"/>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50"/>
      <c r="BK181" s="21"/>
      <c r="BL181" s="38"/>
      <c r="BM181" s="20"/>
      <c r="BN181" s="561">
        <f t="shared" si="53"/>
        <v>0</v>
      </c>
      <c r="BO181" s="559">
        <f t="shared" si="54"/>
        <v>0</v>
      </c>
      <c r="BP181" s="558">
        <f t="shared" si="55"/>
        <v>0</v>
      </c>
      <c r="BQ181" s="559">
        <f t="shared" si="56"/>
        <v>0</v>
      </c>
    </row>
    <row r="182" spans="2:69" s="6" customFormat="1" ht="45" customHeight="1">
      <c r="B182" s="595" t="s">
        <v>16</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92"/>
      <c r="AG182" s="569"/>
      <c r="AH182" s="567"/>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18"/>
      <c r="BK182" s="15"/>
      <c r="BL182" s="37"/>
      <c r="BM182" s="14"/>
      <c r="BN182" s="561">
        <f t="shared" si="53"/>
        <v>0</v>
      </c>
      <c r="BO182" s="559">
        <f t="shared" si="54"/>
        <v>0</v>
      </c>
      <c r="BP182" s="558">
        <f t="shared" si="55"/>
        <v>0</v>
      </c>
      <c r="BQ182" s="559">
        <f t="shared" si="56"/>
        <v>0</v>
      </c>
    </row>
    <row r="183" spans="2:69" s="6" customFormat="1" ht="45" customHeight="1">
      <c r="B183" s="595" t="s">
        <v>276</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92"/>
      <c r="AG183" s="569"/>
      <c r="AH183" s="567"/>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561">
        <f t="shared" si="53"/>
        <v>0</v>
      </c>
      <c r="BO183" s="559">
        <f t="shared" si="54"/>
        <v>0</v>
      </c>
      <c r="BP183" s="558">
        <f t="shared" si="55"/>
        <v>0</v>
      </c>
      <c r="BQ183" s="559">
        <f t="shared" si="56"/>
        <v>0</v>
      </c>
    </row>
    <row r="184" spans="2:69" s="6" customFormat="1" ht="45" customHeight="1">
      <c r="B184" s="595" t="s">
        <v>199</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92"/>
      <c r="AG184" s="569"/>
      <c r="AH184" s="567"/>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561">
        <f t="shared" si="53"/>
        <v>0</v>
      </c>
      <c r="BO184" s="559">
        <f t="shared" si="54"/>
        <v>0</v>
      </c>
      <c r="BP184" s="558">
        <f t="shared" si="55"/>
        <v>0</v>
      </c>
      <c r="BQ184" s="559">
        <f t="shared" si="56"/>
        <v>0</v>
      </c>
    </row>
    <row r="185" spans="2:69" s="6" customFormat="1" ht="45" customHeight="1">
      <c r="B185" s="595" t="s">
        <v>115</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92"/>
      <c r="AG185" s="569"/>
      <c r="AH185" s="567"/>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561">
        <f t="shared" si="53"/>
        <v>0</v>
      </c>
      <c r="BO185" s="559">
        <f t="shared" si="54"/>
        <v>0</v>
      </c>
      <c r="BP185" s="558">
        <f t="shared" si="55"/>
        <v>0</v>
      </c>
      <c r="BQ185" s="559">
        <f t="shared" si="56"/>
        <v>0</v>
      </c>
    </row>
    <row r="186" spans="2:69" s="6" customFormat="1" ht="45" customHeight="1">
      <c r="B186" s="595" t="s">
        <v>186</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92"/>
      <c r="AG186" s="569"/>
      <c r="AH186" s="567"/>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561">
        <f t="shared" si="53"/>
        <v>0</v>
      </c>
      <c r="BO186" s="559">
        <f t="shared" si="54"/>
        <v>0</v>
      </c>
      <c r="BP186" s="558">
        <f t="shared" si="55"/>
        <v>0</v>
      </c>
      <c r="BQ186" s="559">
        <f t="shared" si="56"/>
        <v>0</v>
      </c>
    </row>
    <row r="187" spans="2:69" s="6" customFormat="1" ht="45" customHeight="1">
      <c r="B187" s="595" t="s">
        <v>25</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92"/>
      <c r="AG187" s="569"/>
      <c r="AH187" s="567"/>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561">
        <f t="shared" si="53"/>
        <v>0</v>
      </c>
      <c r="BO187" s="559">
        <f t="shared" si="54"/>
        <v>0</v>
      </c>
      <c r="BP187" s="558">
        <f t="shared" si="55"/>
        <v>0</v>
      </c>
      <c r="BQ187" s="559">
        <f t="shared" si="56"/>
        <v>0</v>
      </c>
    </row>
    <row r="188" spans="2:69" s="6" customFormat="1" ht="45" customHeight="1">
      <c r="B188" s="595" t="s">
        <v>45</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92"/>
      <c r="AG188" s="569"/>
      <c r="AH188" s="567"/>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561">
        <f t="shared" si="53"/>
        <v>0</v>
      </c>
      <c r="BO188" s="559">
        <f t="shared" si="54"/>
        <v>0</v>
      </c>
      <c r="BP188" s="558">
        <f t="shared" si="55"/>
        <v>0</v>
      </c>
      <c r="BQ188" s="559">
        <f t="shared" si="56"/>
        <v>0</v>
      </c>
    </row>
    <row r="189" spans="2:69" s="6" customFormat="1" ht="45" customHeight="1">
      <c r="B189" s="595" t="s">
        <v>228</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67"/>
      <c r="AG189" s="569"/>
      <c r="AH189" s="567"/>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561">
        <f t="shared" si="53"/>
        <v>0</v>
      </c>
      <c r="BO189" s="559">
        <f t="shared" si="54"/>
        <v>0</v>
      </c>
      <c r="BP189" s="558">
        <f t="shared" si="55"/>
        <v>0</v>
      </c>
      <c r="BQ189" s="559">
        <f t="shared" si="56"/>
        <v>0</v>
      </c>
    </row>
    <row r="190" spans="2:69" s="6" customFormat="1" ht="45" customHeight="1">
      <c r="B190" s="598"/>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92"/>
      <c r="AG190" s="569"/>
      <c r="AH190" s="567"/>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7"/>
      <c r="BO190" s="56"/>
      <c r="BP190" s="420"/>
      <c r="BQ190" s="421"/>
    </row>
    <row r="191" spans="2:69" s="6" customFormat="1" ht="45" customHeight="1">
      <c r="B191" s="598"/>
      <c r="C191" s="147"/>
      <c r="D191" s="18"/>
      <c r="E191" s="14"/>
      <c r="F191" s="50"/>
      <c r="G191" s="20"/>
      <c r="H191" s="50"/>
      <c r="I191" s="20"/>
      <c r="J191" s="50"/>
      <c r="K191" s="20"/>
      <c r="L191" s="50"/>
      <c r="M191" s="20"/>
      <c r="N191" s="50"/>
      <c r="O191" s="20"/>
      <c r="P191" s="50"/>
      <c r="Q191" s="20"/>
      <c r="R191" s="50"/>
      <c r="S191" s="20"/>
      <c r="T191" s="50"/>
      <c r="U191" s="20"/>
      <c r="V191" s="50"/>
      <c r="W191" s="20"/>
      <c r="X191" s="50"/>
      <c r="Y191" s="20"/>
      <c r="Z191" s="50"/>
      <c r="AA191" s="20"/>
      <c r="AB191" s="50"/>
      <c r="AC191" s="20"/>
      <c r="AD191" s="50"/>
      <c r="AE191" s="20"/>
      <c r="AF191" s="592"/>
      <c r="AG191" s="593"/>
      <c r="AH191" s="592"/>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50"/>
      <c r="BK191" s="21"/>
      <c r="BL191" s="38"/>
      <c r="BM191" s="20"/>
      <c r="BN191" s="44"/>
      <c r="BO191" s="62"/>
      <c r="BP191" s="247"/>
      <c r="BQ191" s="264"/>
    </row>
    <row r="192" spans="2:69" s="6" customFormat="1" ht="15.95" customHeight="1">
      <c r="B192" s="204"/>
      <c r="C192" s="147"/>
      <c r="D192" s="18"/>
      <c r="E192" s="14"/>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92"/>
      <c r="AG192" s="593"/>
      <c r="AH192" s="592"/>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44"/>
      <c r="BO192" s="62"/>
      <c r="BP192" s="247"/>
      <c r="BQ192" s="264"/>
    </row>
    <row r="193" spans="2:69" s="6" customFormat="1" ht="15.95" customHeight="1">
      <c r="B193" s="201"/>
      <c r="C193" s="147"/>
      <c r="D193" s="18"/>
      <c r="E193" s="14"/>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92"/>
      <c r="AG193" s="593"/>
      <c r="AH193" s="592"/>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44"/>
      <c r="BO193" s="62"/>
      <c r="BP193" s="247"/>
      <c r="BQ193" s="264"/>
    </row>
    <row r="194" spans="2:69" s="6" customFormat="1" ht="15.95" customHeight="1">
      <c r="B194" s="201"/>
      <c r="C194" s="147"/>
      <c r="D194" s="18"/>
      <c r="E194" s="14"/>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92"/>
      <c r="AG194" s="593"/>
      <c r="AH194" s="592"/>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44"/>
      <c r="BO194" s="62"/>
      <c r="BP194" s="247"/>
      <c r="BQ194" s="264"/>
    </row>
    <row r="195" spans="2:69" s="6" customFormat="1" ht="15.95" customHeight="1" thickBot="1">
      <c r="B195" s="323"/>
      <c r="C195" s="148"/>
      <c r="D195" s="48"/>
      <c r="E195" s="24"/>
      <c r="F195" s="48"/>
      <c r="G195" s="24"/>
      <c r="H195" s="48"/>
      <c r="I195" s="24"/>
      <c r="J195" s="48"/>
      <c r="K195" s="24"/>
      <c r="L195" s="48"/>
      <c r="M195" s="24"/>
      <c r="N195" s="48"/>
      <c r="O195" s="24"/>
      <c r="P195" s="48"/>
      <c r="Q195" s="24"/>
      <c r="R195" s="48"/>
      <c r="S195" s="24"/>
      <c r="T195" s="48"/>
      <c r="U195" s="24"/>
      <c r="V195" s="48"/>
      <c r="W195" s="24"/>
      <c r="X195" s="48"/>
      <c r="Y195" s="24"/>
      <c r="Z195" s="48"/>
      <c r="AA195" s="24"/>
      <c r="AB195" s="48"/>
      <c r="AC195" s="24"/>
      <c r="AD195" s="48"/>
      <c r="AE195" s="24"/>
      <c r="AF195" s="48"/>
      <c r="AG195" s="24"/>
      <c r="AH195" s="592"/>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44"/>
      <c r="BO195" s="74"/>
      <c r="BP195" s="247"/>
      <c r="BQ195" s="264"/>
    </row>
    <row r="196" spans="2:69" s="6" customFormat="1" ht="39" customHeight="1" thickBot="1">
      <c r="B196" s="119" t="s">
        <v>462</v>
      </c>
      <c r="C196" s="149"/>
      <c r="D196" s="29">
        <f>SUM(D166:D195)</f>
        <v>0</v>
      </c>
      <c r="E196" s="31">
        <f t="shared" ref="E196:AG196" si="57">SUM(E166:E195)</f>
        <v>0</v>
      </c>
      <c r="F196" s="29">
        <f t="shared" si="57"/>
        <v>0</v>
      </c>
      <c r="G196" s="31">
        <f t="shared" si="57"/>
        <v>0</v>
      </c>
      <c r="H196" s="29">
        <f t="shared" si="57"/>
        <v>0</v>
      </c>
      <c r="I196" s="31">
        <f t="shared" si="57"/>
        <v>0</v>
      </c>
      <c r="J196" s="29">
        <f t="shared" si="57"/>
        <v>0</v>
      </c>
      <c r="K196" s="31">
        <f t="shared" si="57"/>
        <v>0</v>
      </c>
      <c r="L196" s="29">
        <f t="shared" si="57"/>
        <v>0</v>
      </c>
      <c r="M196" s="31">
        <f t="shared" si="57"/>
        <v>0</v>
      </c>
      <c r="N196" s="29">
        <f t="shared" si="57"/>
        <v>0</v>
      </c>
      <c r="O196" s="31">
        <f t="shared" si="57"/>
        <v>0</v>
      </c>
      <c r="P196" s="29">
        <f t="shared" si="57"/>
        <v>0</v>
      </c>
      <c r="Q196" s="31">
        <f t="shared" si="57"/>
        <v>0</v>
      </c>
      <c r="R196" s="29">
        <f t="shared" si="57"/>
        <v>0</v>
      </c>
      <c r="S196" s="31">
        <f t="shared" si="57"/>
        <v>0</v>
      </c>
      <c r="T196" s="29">
        <f t="shared" si="57"/>
        <v>0</v>
      </c>
      <c r="U196" s="31">
        <f t="shared" si="57"/>
        <v>0</v>
      </c>
      <c r="V196" s="29">
        <f t="shared" si="57"/>
        <v>0</v>
      </c>
      <c r="W196" s="31">
        <f t="shared" si="57"/>
        <v>0</v>
      </c>
      <c r="X196" s="29">
        <f t="shared" si="57"/>
        <v>0</v>
      </c>
      <c r="Y196" s="31">
        <f t="shared" si="57"/>
        <v>0</v>
      </c>
      <c r="Z196" s="29">
        <f t="shared" si="57"/>
        <v>0</v>
      </c>
      <c r="AA196" s="31">
        <f t="shared" si="57"/>
        <v>0</v>
      </c>
      <c r="AB196" s="29">
        <f t="shared" si="57"/>
        <v>0</v>
      </c>
      <c r="AC196" s="31">
        <f t="shared" si="57"/>
        <v>0</v>
      </c>
      <c r="AD196" s="29">
        <f t="shared" si="57"/>
        <v>2</v>
      </c>
      <c r="AE196" s="31">
        <f t="shared" si="57"/>
        <v>2</v>
      </c>
      <c r="AF196" s="29">
        <f t="shared" si="57"/>
        <v>0</v>
      </c>
      <c r="AG196" s="31">
        <f t="shared" si="57"/>
        <v>0</v>
      </c>
      <c r="AH196" s="29">
        <f>SUM(AH166:AH195)</f>
        <v>0</v>
      </c>
      <c r="AI196" s="31">
        <f t="shared" ref="AI196:BQ196" si="58">SUM(AI166:AI195)</f>
        <v>0</v>
      </c>
      <c r="AJ196" s="29">
        <f t="shared" si="58"/>
        <v>0</v>
      </c>
      <c r="AK196" s="31">
        <f t="shared" si="58"/>
        <v>0</v>
      </c>
      <c r="AL196" s="29">
        <f t="shared" si="58"/>
        <v>0</v>
      </c>
      <c r="AM196" s="31">
        <f t="shared" si="58"/>
        <v>0</v>
      </c>
      <c r="AN196" s="29">
        <f t="shared" si="58"/>
        <v>0</v>
      </c>
      <c r="AO196" s="31">
        <f t="shared" si="58"/>
        <v>0</v>
      </c>
      <c r="AP196" s="29">
        <f t="shared" si="58"/>
        <v>0</v>
      </c>
      <c r="AQ196" s="31">
        <f t="shared" si="58"/>
        <v>0</v>
      </c>
      <c r="AR196" s="29">
        <f t="shared" si="58"/>
        <v>0</v>
      </c>
      <c r="AS196" s="31">
        <f t="shared" si="58"/>
        <v>0</v>
      </c>
      <c r="AT196" s="29">
        <f t="shared" si="58"/>
        <v>0</v>
      </c>
      <c r="AU196" s="31">
        <f t="shared" si="58"/>
        <v>0</v>
      </c>
      <c r="AV196" s="29">
        <f t="shared" si="58"/>
        <v>0</v>
      </c>
      <c r="AW196" s="31">
        <f t="shared" si="58"/>
        <v>0</v>
      </c>
      <c r="AX196" s="29">
        <f t="shared" si="58"/>
        <v>0</v>
      </c>
      <c r="AY196" s="31">
        <f t="shared" si="58"/>
        <v>0</v>
      </c>
      <c r="AZ196" s="29">
        <f t="shared" si="58"/>
        <v>0</v>
      </c>
      <c r="BA196" s="31">
        <f t="shared" si="58"/>
        <v>0</v>
      </c>
      <c r="BB196" s="29">
        <f t="shared" si="58"/>
        <v>0</v>
      </c>
      <c r="BC196" s="31">
        <f t="shared" si="58"/>
        <v>0</v>
      </c>
      <c r="BD196" s="29">
        <f t="shared" si="58"/>
        <v>0</v>
      </c>
      <c r="BE196" s="31">
        <f t="shared" si="58"/>
        <v>0</v>
      </c>
      <c r="BF196" s="29">
        <f t="shared" si="58"/>
        <v>0</v>
      </c>
      <c r="BG196" s="31">
        <f t="shared" si="58"/>
        <v>0</v>
      </c>
      <c r="BH196" s="29">
        <f t="shared" si="58"/>
        <v>0</v>
      </c>
      <c r="BI196" s="31">
        <f t="shared" si="58"/>
        <v>0</v>
      </c>
      <c r="BJ196" s="29">
        <f t="shared" si="58"/>
        <v>0</v>
      </c>
      <c r="BK196" s="41">
        <f t="shared" si="58"/>
        <v>0</v>
      </c>
      <c r="BL196" s="39">
        <f t="shared" si="58"/>
        <v>0</v>
      </c>
      <c r="BM196" s="31">
        <f t="shared" si="58"/>
        <v>0</v>
      </c>
      <c r="BN196" s="32">
        <f t="shared" si="58"/>
        <v>2</v>
      </c>
      <c r="BO196" s="40">
        <f t="shared" si="58"/>
        <v>2</v>
      </c>
      <c r="BP196" s="247">
        <f t="shared" si="58"/>
        <v>2</v>
      </c>
      <c r="BQ196" s="264">
        <f t="shared" si="58"/>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43" t="s">
        <v>218</v>
      </c>
      <c r="C199" s="749">
        <f>COUNTIF(B202:B220,"*")</f>
        <v>15</v>
      </c>
      <c r="D199" s="751">
        <v>1</v>
      </c>
      <c r="E199" s="738"/>
      <c r="F199" s="737">
        <v>2</v>
      </c>
      <c r="G199" s="738"/>
      <c r="H199" s="737">
        <v>3</v>
      </c>
      <c r="I199" s="738"/>
      <c r="J199" s="737">
        <v>4</v>
      </c>
      <c r="K199" s="738"/>
      <c r="L199" s="737">
        <v>5</v>
      </c>
      <c r="M199" s="738"/>
      <c r="N199" s="737">
        <v>6</v>
      </c>
      <c r="O199" s="738"/>
      <c r="P199" s="737">
        <v>7</v>
      </c>
      <c r="Q199" s="738"/>
      <c r="R199" s="737">
        <v>8</v>
      </c>
      <c r="S199" s="738"/>
      <c r="T199" s="737">
        <v>9</v>
      </c>
      <c r="U199" s="738"/>
      <c r="V199" s="737">
        <v>10</v>
      </c>
      <c r="W199" s="738"/>
      <c r="X199" s="737">
        <v>11</v>
      </c>
      <c r="Y199" s="738"/>
      <c r="Z199" s="737">
        <v>12</v>
      </c>
      <c r="AA199" s="738"/>
      <c r="AB199" s="737">
        <v>13</v>
      </c>
      <c r="AC199" s="738"/>
      <c r="AD199" s="737">
        <v>14</v>
      </c>
      <c r="AE199" s="738"/>
      <c r="AF199" s="737">
        <v>15</v>
      </c>
      <c r="AG199" s="738"/>
      <c r="AH199" s="738">
        <v>16</v>
      </c>
      <c r="AI199" s="741"/>
      <c r="AJ199" s="741">
        <v>17</v>
      </c>
      <c r="AK199" s="741"/>
      <c r="AL199" s="741">
        <v>18</v>
      </c>
      <c r="AM199" s="741"/>
      <c r="AN199" s="741">
        <v>19</v>
      </c>
      <c r="AO199" s="741"/>
      <c r="AP199" s="741">
        <v>20</v>
      </c>
      <c r="AQ199" s="741"/>
      <c r="AR199" s="741">
        <v>21</v>
      </c>
      <c r="AS199" s="741"/>
      <c r="AT199" s="741">
        <v>22</v>
      </c>
      <c r="AU199" s="741"/>
      <c r="AV199" s="741">
        <v>23</v>
      </c>
      <c r="AW199" s="741"/>
      <c r="AX199" s="741">
        <v>24</v>
      </c>
      <c r="AY199" s="741"/>
      <c r="AZ199" s="741">
        <v>25</v>
      </c>
      <c r="BA199" s="741"/>
      <c r="BB199" s="741">
        <v>26</v>
      </c>
      <c r="BC199" s="741"/>
      <c r="BD199" s="741">
        <v>27</v>
      </c>
      <c r="BE199" s="741"/>
      <c r="BF199" s="741">
        <v>28</v>
      </c>
      <c r="BG199" s="741"/>
      <c r="BH199" s="741">
        <v>29</v>
      </c>
      <c r="BI199" s="741"/>
      <c r="BJ199" s="741">
        <v>30</v>
      </c>
      <c r="BK199" s="741"/>
      <c r="BL199" s="741">
        <v>31</v>
      </c>
      <c r="BM199" s="741"/>
      <c r="BN199" s="738" t="s">
        <v>251</v>
      </c>
      <c r="BO199" s="760"/>
      <c r="BP199" s="771" t="s">
        <v>353</v>
      </c>
      <c r="BQ199" s="772"/>
    </row>
    <row r="200" spans="2:69" ht="24.95" customHeight="1">
      <c r="B200" s="744"/>
      <c r="C200" s="747"/>
      <c r="D200" s="752" t="str">
        <f>D2</f>
        <v>水</v>
      </c>
      <c r="E200" s="740"/>
      <c r="F200" s="739" t="str">
        <f>F2</f>
        <v>木</v>
      </c>
      <c r="G200" s="740"/>
      <c r="H200" s="739" t="str">
        <f>H2</f>
        <v>金</v>
      </c>
      <c r="I200" s="740"/>
      <c r="J200" s="739" t="str">
        <f>J2</f>
        <v>土</v>
      </c>
      <c r="K200" s="740"/>
      <c r="L200" s="739" t="str">
        <f>L2</f>
        <v>日</v>
      </c>
      <c r="M200" s="740"/>
      <c r="N200" s="739" t="str">
        <f>N2</f>
        <v>月</v>
      </c>
      <c r="O200" s="740"/>
      <c r="P200" s="739" t="str">
        <f>P2</f>
        <v>火</v>
      </c>
      <c r="Q200" s="740"/>
      <c r="R200" s="739" t="str">
        <f>R2</f>
        <v>水</v>
      </c>
      <c r="S200" s="740"/>
      <c r="T200" s="739" t="str">
        <f>T2</f>
        <v>木</v>
      </c>
      <c r="U200" s="740"/>
      <c r="V200" s="739" t="str">
        <f>V2</f>
        <v>金</v>
      </c>
      <c r="W200" s="740"/>
      <c r="X200" s="739" t="str">
        <f>X2</f>
        <v>土</v>
      </c>
      <c r="Y200" s="740"/>
      <c r="Z200" s="739" t="str">
        <f>Z2</f>
        <v>日</v>
      </c>
      <c r="AA200" s="740"/>
      <c r="AB200" s="739" t="str">
        <f>AB2</f>
        <v>月</v>
      </c>
      <c r="AC200" s="740"/>
      <c r="AD200" s="739" t="str">
        <f>AD2</f>
        <v>火</v>
      </c>
      <c r="AE200" s="740"/>
      <c r="AF200" s="739" t="str">
        <f>AF2</f>
        <v>水</v>
      </c>
      <c r="AG200" s="740"/>
      <c r="AH200" s="767" t="str">
        <f>AH2</f>
        <v>木</v>
      </c>
      <c r="AI200" s="767"/>
      <c r="AJ200" s="770" t="str">
        <f>AJ2</f>
        <v>金</v>
      </c>
      <c r="AK200" s="770"/>
      <c r="AL200" s="770" t="str">
        <f>AL2</f>
        <v>土</v>
      </c>
      <c r="AM200" s="770"/>
      <c r="AN200" s="770" t="str">
        <f>AN2</f>
        <v>日</v>
      </c>
      <c r="AO200" s="770"/>
      <c r="AP200" s="770" t="str">
        <f>AP2</f>
        <v>月</v>
      </c>
      <c r="AQ200" s="770"/>
      <c r="AR200" s="770" t="str">
        <f>AR2</f>
        <v>火</v>
      </c>
      <c r="AS200" s="770"/>
      <c r="AT200" s="770" t="str">
        <f>AT2</f>
        <v>水</v>
      </c>
      <c r="AU200" s="770"/>
      <c r="AV200" s="770" t="str">
        <f>AV2</f>
        <v>木</v>
      </c>
      <c r="AW200" s="770"/>
      <c r="AX200" s="770" t="str">
        <f>AX2</f>
        <v>金</v>
      </c>
      <c r="AY200" s="770"/>
      <c r="AZ200" s="770" t="str">
        <f>AZ2</f>
        <v>土</v>
      </c>
      <c r="BA200" s="770"/>
      <c r="BB200" s="770" t="str">
        <f>BB2</f>
        <v>日</v>
      </c>
      <c r="BC200" s="770"/>
      <c r="BD200" s="770" t="str">
        <f>BD2</f>
        <v>月</v>
      </c>
      <c r="BE200" s="770"/>
      <c r="BF200" s="770" t="str">
        <f>BF2</f>
        <v>火</v>
      </c>
      <c r="BG200" s="770"/>
      <c r="BH200" s="770" t="str">
        <f>BH2</f>
        <v>水</v>
      </c>
      <c r="BI200" s="770"/>
      <c r="BJ200" s="770" t="str">
        <f>BJ2</f>
        <v>木</v>
      </c>
      <c r="BK200" s="770"/>
      <c r="BL200" s="770" t="str">
        <f>BL2</f>
        <v>金</v>
      </c>
      <c r="BM200" s="770"/>
      <c r="BN200" s="761"/>
      <c r="BO200" s="762"/>
      <c r="BP200" s="773"/>
      <c r="BQ200" s="774"/>
    </row>
    <row r="201" spans="2:69" ht="24.95" customHeight="1" thickBot="1">
      <c r="B201" s="748"/>
      <c r="C201" s="750"/>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3" t="s">
        <v>73</v>
      </c>
      <c r="AH201" s="92"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
        <v>208</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9"/>
      <c r="AH202" s="89"/>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89"/>
      <c r="BK202" s="42"/>
      <c r="BL202" s="35"/>
      <c r="BM202" s="36"/>
      <c r="BN202" s="561">
        <f>SUM(D202,F202,H202,J202,L202,N202,P202,R202,T202,V202,X202,Z202,AB202,AD202,AF202,AH202,AJ202,AL202,AN202,AP202,AR202,AT202,AV202,AX202,AZ202,BB202,BD202,BF202,BH202,BJ202,BL202)</f>
        <v>0</v>
      </c>
      <c r="BO202" s="559">
        <f>SUM(E202,G202,I202,K202,M202,O202,Q202,S202,U202,W202,Y202,AA202,AC202,AE202,AG202,AI202,AK202,AM202,AO202,AQ202,AS202,AU202,AW202,AY202,BA202,BC202,BE202,BG202,BI202,BK202,BM202)</f>
        <v>0</v>
      </c>
      <c r="BP202" s="558">
        <f>BN202</f>
        <v>0</v>
      </c>
      <c r="BQ202" s="559">
        <f>BO202</f>
        <v>0</v>
      </c>
    </row>
    <row r="203" spans="2:69" s="6" customFormat="1" ht="50.1" customHeight="1">
      <c r="B203" s="201" t="s">
        <v>104</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567"/>
      <c r="AG203" s="569"/>
      <c r="AH203" s="567"/>
      <c r="AI203" s="14"/>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18"/>
      <c r="BK203" s="15"/>
      <c r="BL203" s="37"/>
      <c r="BM203" s="14"/>
      <c r="BN203" s="561">
        <f t="shared" ref="BN203:BN216" si="59">SUM(D203,F203,H203,J203,L203,N203,P203,R203,T203,V203,X203,Z203,AB203,AD203,AF203,AH203,AJ203,AL203,AN203,AP203,AR203,AT203,AV203,AX203,AZ203,BB203,BD203,BF203,BH203,BJ203,BL203)</f>
        <v>0</v>
      </c>
      <c r="BO203" s="559">
        <f t="shared" ref="BO203:BO216" si="60">SUM(E203,G203,I203,K203,M203,O203,Q203,S203,U203,W203,Y203,AA203,AC203,AE203,AG203,AI203,AK203,AM203,AO203,AQ203,AS203,AU203,AW203,AY203,BA203,BC203,BE203,BG203,BI203,BK203,BM203)</f>
        <v>0</v>
      </c>
      <c r="BP203" s="558">
        <f t="shared" ref="BP203:BP216" si="61">BN203</f>
        <v>0</v>
      </c>
      <c r="BQ203" s="559">
        <f t="shared" ref="BQ203:BQ216" si="62">BO203</f>
        <v>0</v>
      </c>
    </row>
    <row r="204" spans="2:69" s="6" customFormat="1" ht="50.1" customHeight="1">
      <c r="B204" s="201" t="s">
        <v>235</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92"/>
      <c r="AG204" s="593"/>
      <c r="AH204" s="592"/>
      <c r="AI204" s="20"/>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50"/>
      <c r="BK204" s="21"/>
      <c r="BL204" s="38"/>
      <c r="BM204" s="20"/>
      <c r="BN204" s="561">
        <f t="shared" si="59"/>
        <v>0</v>
      </c>
      <c r="BO204" s="559">
        <f t="shared" si="60"/>
        <v>0</v>
      </c>
      <c r="BP204" s="558">
        <f t="shared" si="61"/>
        <v>0</v>
      </c>
      <c r="BQ204" s="559">
        <f t="shared" si="62"/>
        <v>0</v>
      </c>
    </row>
    <row r="205" spans="2:69" s="6" customFormat="1" ht="50.1" customHeight="1">
      <c r="B205" s="201" t="s">
        <v>21</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92"/>
      <c r="AG205" s="569"/>
      <c r="AH205" s="592"/>
      <c r="AI205" s="14"/>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18"/>
      <c r="BK205" s="15"/>
      <c r="BL205" s="37"/>
      <c r="BM205" s="14"/>
      <c r="BN205" s="561">
        <f t="shared" si="59"/>
        <v>0</v>
      </c>
      <c r="BO205" s="559">
        <f t="shared" si="60"/>
        <v>0</v>
      </c>
      <c r="BP205" s="558">
        <f t="shared" si="61"/>
        <v>0</v>
      </c>
      <c r="BQ205" s="559">
        <f t="shared" si="62"/>
        <v>0</v>
      </c>
    </row>
    <row r="206" spans="2:69" s="6" customFormat="1" ht="50.1" customHeight="1">
      <c r="B206" s="201" t="s">
        <v>268</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92"/>
      <c r="AG206" s="569"/>
      <c r="AH206" s="592"/>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561">
        <f t="shared" si="59"/>
        <v>0</v>
      </c>
      <c r="BO206" s="559">
        <f t="shared" si="60"/>
        <v>0</v>
      </c>
      <c r="BP206" s="558">
        <f t="shared" si="61"/>
        <v>0</v>
      </c>
      <c r="BQ206" s="559">
        <f t="shared" si="62"/>
        <v>0</v>
      </c>
    </row>
    <row r="207" spans="2:69" s="6" customFormat="1" ht="50.1" customHeight="1">
      <c r="B207" s="201" t="s">
        <v>35</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92"/>
      <c r="AG207" s="569"/>
      <c r="AH207" s="592"/>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561">
        <f t="shared" si="59"/>
        <v>0</v>
      </c>
      <c r="BO207" s="559">
        <f t="shared" si="60"/>
        <v>0</v>
      </c>
      <c r="BP207" s="558">
        <f t="shared" si="61"/>
        <v>0</v>
      </c>
      <c r="BQ207" s="559">
        <f t="shared" si="62"/>
        <v>0</v>
      </c>
    </row>
    <row r="208" spans="2:69" s="6" customFormat="1" ht="50.1" customHeight="1">
      <c r="B208" s="201" t="s">
        <v>102</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92"/>
      <c r="AG208" s="569"/>
      <c r="AH208" s="592"/>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561">
        <f t="shared" si="59"/>
        <v>0</v>
      </c>
      <c r="BO208" s="559">
        <f t="shared" si="60"/>
        <v>0</v>
      </c>
      <c r="BP208" s="558">
        <f t="shared" si="61"/>
        <v>0</v>
      </c>
      <c r="BQ208" s="559">
        <f t="shared" si="62"/>
        <v>0</v>
      </c>
    </row>
    <row r="209" spans="2:69" s="6" customFormat="1" ht="50.1" customHeight="1">
      <c r="B209" s="201" t="s">
        <v>105</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92"/>
      <c r="AG209" s="569"/>
      <c r="AH209" s="592"/>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561">
        <f t="shared" si="59"/>
        <v>0</v>
      </c>
      <c r="BO209" s="559">
        <f t="shared" si="60"/>
        <v>0</v>
      </c>
      <c r="BP209" s="558">
        <f t="shared" si="61"/>
        <v>0</v>
      </c>
      <c r="BQ209" s="559">
        <f t="shared" si="62"/>
        <v>0</v>
      </c>
    </row>
    <row r="210" spans="2:69" s="6" customFormat="1" ht="50.1" customHeight="1">
      <c r="B210" s="201" t="s">
        <v>138</v>
      </c>
      <c r="C210" s="146"/>
      <c r="D210" s="18"/>
      <c r="E210" s="14"/>
      <c r="F210" s="18"/>
      <c r="G210" s="14"/>
      <c r="H210" s="18"/>
      <c r="I210" s="14"/>
      <c r="J210" s="18"/>
      <c r="K210" s="14"/>
      <c r="L210" s="18"/>
      <c r="M210" s="14"/>
      <c r="N210" s="18"/>
      <c r="O210" s="14"/>
      <c r="P210" s="18"/>
      <c r="Q210" s="14"/>
      <c r="R210" s="18">
        <v>3</v>
      </c>
      <c r="S210" s="14">
        <v>3</v>
      </c>
      <c r="T210" s="18"/>
      <c r="U210" s="14"/>
      <c r="V210" s="18"/>
      <c r="W210" s="14"/>
      <c r="X210" s="18"/>
      <c r="Y210" s="14"/>
      <c r="Z210" s="18"/>
      <c r="AA210" s="14"/>
      <c r="AB210" s="18"/>
      <c r="AC210" s="14"/>
      <c r="AD210" s="18"/>
      <c r="AE210" s="14"/>
      <c r="AF210" s="592"/>
      <c r="AG210" s="569"/>
      <c r="AH210" s="592"/>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561">
        <f t="shared" si="59"/>
        <v>3</v>
      </c>
      <c r="BO210" s="559">
        <f t="shared" si="60"/>
        <v>3</v>
      </c>
      <c r="BP210" s="558">
        <f t="shared" si="61"/>
        <v>3</v>
      </c>
      <c r="BQ210" s="559">
        <f t="shared" si="62"/>
        <v>3</v>
      </c>
    </row>
    <row r="211" spans="2:69" s="6" customFormat="1" ht="50.1" customHeight="1">
      <c r="B211" s="201" t="s">
        <v>26</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92"/>
      <c r="AG211" s="569"/>
      <c r="AH211" s="592"/>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561">
        <f t="shared" si="59"/>
        <v>0</v>
      </c>
      <c r="BO211" s="559">
        <f t="shared" si="60"/>
        <v>0</v>
      </c>
      <c r="BP211" s="558">
        <f t="shared" si="61"/>
        <v>0</v>
      </c>
      <c r="BQ211" s="559">
        <f t="shared" si="62"/>
        <v>0</v>
      </c>
    </row>
    <row r="212" spans="2:69" s="6" customFormat="1" ht="50.1" customHeight="1">
      <c r="B212" s="201" t="s">
        <v>245</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92"/>
      <c r="AG212" s="593"/>
      <c r="AH212" s="592"/>
      <c r="AI212" s="20"/>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50"/>
      <c r="BK212" s="21"/>
      <c r="BL212" s="38"/>
      <c r="BM212" s="20"/>
      <c r="BN212" s="561">
        <f t="shared" si="59"/>
        <v>0</v>
      </c>
      <c r="BO212" s="559">
        <f t="shared" si="60"/>
        <v>0</v>
      </c>
      <c r="BP212" s="558">
        <f t="shared" si="61"/>
        <v>0</v>
      </c>
      <c r="BQ212" s="559">
        <f t="shared" si="62"/>
        <v>0</v>
      </c>
    </row>
    <row r="213" spans="2:69" s="6" customFormat="1" ht="50.1" customHeight="1">
      <c r="B213" s="201" t="s">
        <v>233</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92"/>
      <c r="AG213" s="569"/>
      <c r="AH213" s="592"/>
      <c r="AI213" s="14"/>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18"/>
      <c r="BK213" s="15"/>
      <c r="BL213" s="37"/>
      <c r="BM213" s="14"/>
      <c r="BN213" s="561">
        <f t="shared" si="59"/>
        <v>0</v>
      </c>
      <c r="BO213" s="559">
        <f t="shared" si="60"/>
        <v>0</v>
      </c>
      <c r="BP213" s="558">
        <f t="shared" si="61"/>
        <v>0</v>
      </c>
      <c r="BQ213" s="559">
        <f t="shared" si="62"/>
        <v>0</v>
      </c>
    </row>
    <row r="214" spans="2:69" s="6" customFormat="1" ht="50.1" customHeight="1">
      <c r="B214" s="201" t="s">
        <v>22</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92"/>
      <c r="AG214" s="569"/>
      <c r="AH214" s="592"/>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561">
        <f t="shared" si="59"/>
        <v>0</v>
      </c>
      <c r="BO214" s="559">
        <f t="shared" si="60"/>
        <v>0</v>
      </c>
      <c r="BP214" s="558">
        <f t="shared" si="61"/>
        <v>0</v>
      </c>
      <c r="BQ214" s="559">
        <f t="shared" si="62"/>
        <v>0</v>
      </c>
    </row>
    <row r="215" spans="2:69" s="6" customFormat="1" ht="50.1" customHeight="1">
      <c r="B215" s="201" t="s">
        <v>132</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92"/>
      <c r="AG215" s="569"/>
      <c r="AH215" s="592"/>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561">
        <f t="shared" si="59"/>
        <v>0</v>
      </c>
      <c r="BO215" s="559">
        <f t="shared" si="60"/>
        <v>0</v>
      </c>
      <c r="BP215" s="558">
        <f t="shared" si="61"/>
        <v>0</v>
      </c>
      <c r="BQ215" s="559">
        <f t="shared" si="62"/>
        <v>0</v>
      </c>
    </row>
    <row r="216" spans="2:69" s="6" customFormat="1" ht="50.1" customHeight="1">
      <c r="B216" s="201" t="s">
        <v>176</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92"/>
      <c r="AG216" s="569"/>
      <c r="AH216" s="567"/>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561">
        <f t="shared" si="59"/>
        <v>0</v>
      </c>
      <c r="BO216" s="559">
        <f t="shared" si="60"/>
        <v>0</v>
      </c>
      <c r="BP216" s="558">
        <f t="shared" si="61"/>
        <v>0</v>
      </c>
      <c r="BQ216" s="559">
        <f t="shared" si="62"/>
        <v>0</v>
      </c>
    </row>
    <row r="217" spans="2:69" s="6" customFormat="1" ht="50.1" customHeight="1">
      <c r="B217" s="154"/>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92"/>
      <c r="AG217" s="569"/>
      <c r="AH217" s="567"/>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7"/>
      <c r="BO217" s="56"/>
      <c r="BP217" s="247"/>
      <c r="BQ217" s="264"/>
    </row>
    <row r="218" spans="2:69" s="6" customFormat="1" ht="15.95" customHeight="1">
      <c r="B218" s="154"/>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92"/>
      <c r="AG218" s="569"/>
      <c r="AH218" s="567"/>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7"/>
      <c r="BO218" s="56"/>
      <c r="BP218" s="247"/>
      <c r="BQ218" s="264"/>
    </row>
    <row r="219" spans="2:69" s="6" customFormat="1" ht="15.95" customHeight="1">
      <c r="B219" s="154"/>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92"/>
      <c r="AG219" s="569"/>
      <c r="AH219" s="567"/>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7"/>
      <c r="BO219" s="47"/>
      <c r="BP219" s="247"/>
      <c r="BQ219" s="264"/>
    </row>
    <row r="220" spans="2:69" s="6" customFormat="1" ht="15.95" customHeight="1" thickBot="1">
      <c r="B220" s="157"/>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92"/>
      <c r="AG220" s="569"/>
      <c r="AH220" s="592"/>
      <c r="AI220" s="20"/>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50"/>
      <c r="BK220" s="21"/>
      <c r="BL220" s="38"/>
      <c r="BM220" s="20"/>
      <c r="BN220" s="44"/>
      <c r="BO220" s="74"/>
      <c r="BP220" s="260"/>
      <c r="BQ220" s="264"/>
    </row>
    <row r="221" spans="2:69" s="6" customFormat="1" ht="39" customHeight="1" thickBot="1">
      <c r="B221" s="119" t="s">
        <v>101</v>
      </c>
      <c r="C221" s="149"/>
      <c r="D221" s="29">
        <f t="shared" ref="D221:AG221" si="63">SUM(D202:D220)</f>
        <v>0</v>
      </c>
      <c r="E221" s="31">
        <f t="shared" si="63"/>
        <v>0</v>
      </c>
      <c r="F221" s="29">
        <f t="shared" si="63"/>
        <v>0</v>
      </c>
      <c r="G221" s="31">
        <f t="shared" si="63"/>
        <v>0</v>
      </c>
      <c r="H221" s="29">
        <f t="shared" si="63"/>
        <v>0</v>
      </c>
      <c r="I221" s="31">
        <f t="shared" si="63"/>
        <v>0</v>
      </c>
      <c r="J221" s="29">
        <f t="shared" si="63"/>
        <v>0</v>
      </c>
      <c r="K221" s="31">
        <f t="shared" si="63"/>
        <v>0</v>
      </c>
      <c r="L221" s="29">
        <f t="shared" si="63"/>
        <v>0</v>
      </c>
      <c r="M221" s="31">
        <f t="shared" si="63"/>
        <v>0</v>
      </c>
      <c r="N221" s="29">
        <f t="shared" si="63"/>
        <v>0</v>
      </c>
      <c r="O221" s="31">
        <f t="shared" si="63"/>
        <v>0</v>
      </c>
      <c r="P221" s="29">
        <f t="shared" si="63"/>
        <v>0</v>
      </c>
      <c r="Q221" s="31">
        <f t="shared" si="63"/>
        <v>0</v>
      </c>
      <c r="R221" s="29">
        <f t="shared" si="63"/>
        <v>3</v>
      </c>
      <c r="S221" s="31">
        <f t="shared" si="63"/>
        <v>3</v>
      </c>
      <c r="T221" s="29">
        <f t="shared" si="63"/>
        <v>0</v>
      </c>
      <c r="U221" s="31">
        <f t="shared" si="63"/>
        <v>0</v>
      </c>
      <c r="V221" s="29">
        <f t="shared" si="63"/>
        <v>0</v>
      </c>
      <c r="W221" s="31">
        <f t="shared" si="63"/>
        <v>0</v>
      </c>
      <c r="X221" s="29">
        <f t="shared" si="63"/>
        <v>0</v>
      </c>
      <c r="Y221" s="31">
        <f t="shared" si="63"/>
        <v>0</v>
      </c>
      <c r="Z221" s="29">
        <f t="shared" si="63"/>
        <v>0</v>
      </c>
      <c r="AA221" s="31">
        <f t="shared" si="63"/>
        <v>0</v>
      </c>
      <c r="AB221" s="29">
        <f t="shared" si="63"/>
        <v>0</v>
      </c>
      <c r="AC221" s="31">
        <f t="shared" si="63"/>
        <v>0</v>
      </c>
      <c r="AD221" s="29">
        <f t="shared" si="63"/>
        <v>0</v>
      </c>
      <c r="AE221" s="31">
        <f t="shared" si="63"/>
        <v>0</v>
      </c>
      <c r="AF221" s="29">
        <f t="shared" si="63"/>
        <v>0</v>
      </c>
      <c r="AG221" s="31">
        <f t="shared" si="63"/>
        <v>0</v>
      </c>
      <c r="AH221" s="29">
        <f t="shared" ref="AH221:BM221" si="64">SUM(AH202:AH220)</f>
        <v>0</v>
      </c>
      <c r="AI221" s="31">
        <f t="shared" si="64"/>
        <v>0</v>
      </c>
      <c r="AJ221" s="29">
        <f t="shared" si="64"/>
        <v>0</v>
      </c>
      <c r="AK221" s="31">
        <f t="shared" si="64"/>
        <v>0</v>
      </c>
      <c r="AL221" s="29">
        <f t="shared" si="64"/>
        <v>0</v>
      </c>
      <c r="AM221" s="31">
        <f t="shared" si="64"/>
        <v>0</v>
      </c>
      <c r="AN221" s="29">
        <f t="shared" si="64"/>
        <v>0</v>
      </c>
      <c r="AO221" s="31">
        <f t="shared" si="64"/>
        <v>0</v>
      </c>
      <c r="AP221" s="29">
        <f t="shared" si="64"/>
        <v>0</v>
      </c>
      <c r="AQ221" s="31">
        <f t="shared" si="64"/>
        <v>0</v>
      </c>
      <c r="AR221" s="29">
        <f t="shared" si="64"/>
        <v>0</v>
      </c>
      <c r="AS221" s="31">
        <f t="shared" si="64"/>
        <v>0</v>
      </c>
      <c r="AT221" s="29">
        <f t="shared" si="64"/>
        <v>0</v>
      </c>
      <c r="AU221" s="31">
        <f t="shared" si="64"/>
        <v>0</v>
      </c>
      <c r="AV221" s="29">
        <f t="shared" si="64"/>
        <v>0</v>
      </c>
      <c r="AW221" s="31">
        <f t="shared" si="64"/>
        <v>0</v>
      </c>
      <c r="AX221" s="29">
        <f t="shared" si="64"/>
        <v>0</v>
      </c>
      <c r="AY221" s="31">
        <f t="shared" si="64"/>
        <v>0</v>
      </c>
      <c r="AZ221" s="29">
        <f t="shared" si="64"/>
        <v>0</v>
      </c>
      <c r="BA221" s="31">
        <f t="shared" si="64"/>
        <v>0</v>
      </c>
      <c r="BB221" s="29">
        <f t="shared" si="64"/>
        <v>0</v>
      </c>
      <c r="BC221" s="31">
        <f t="shared" si="64"/>
        <v>0</v>
      </c>
      <c r="BD221" s="29">
        <f t="shared" si="64"/>
        <v>0</v>
      </c>
      <c r="BE221" s="31">
        <f t="shared" si="64"/>
        <v>0</v>
      </c>
      <c r="BF221" s="29">
        <f t="shared" si="64"/>
        <v>0</v>
      </c>
      <c r="BG221" s="31">
        <f t="shared" si="64"/>
        <v>0</v>
      </c>
      <c r="BH221" s="29">
        <f t="shared" si="64"/>
        <v>0</v>
      </c>
      <c r="BI221" s="31">
        <f t="shared" si="64"/>
        <v>0</v>
      </c>
      <c r="BJ221" s="29">
        <f t="shared" si="64"/>
        <v>0</v>
      </c>
      <c r="BK221" s="41">
        <f t="shared" si="64"/>
        <v>0</v>
      </c>
      <c r="BL221" s="30">
        <f t="shared" si="64"/>
        <v>0</v>
      </c>
      <c r="BM221" s="41">
        <f t="shared" si="64"/>
        <v>0</v>
      </c>
      <c r="BN221" s="32">
        <f>SUM(BN202:BN220)</f>
        <v>3</v>
      </c>
      <c r="BO221" s="40">
        <f>SUM(BO202:BO220)</f>
        <v>3</v>
      </c>
      <c r="BP221" s="257">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43" t="s">
        <v>89</v>
      </c>
      <c r="C224" s="749">
        <f>COUNTIF(B227:B245,"*")</f>
        <v>18</v>
      </c>
      <c r="D224" s="751">
        <v>1</v>
      </c>
      <c r="E224" s="738"/>
      <c r="F224" s="737">
        <v>2</v>
      </c>
      <c r="G224" s="738"/>
      <c r="H224" s="737">
        <v>3</v>
      </c>
      <c r="I224" s="738"/>
      <c r="J224" s="737">
        <v>4</v>
      </c>
      <c r="K224" s="738"/>
      <c r="L224" s="737">
        <v>5</v>
      </c>
      <c r="M224" s="738"/>
      <c r="N224" s="737">
        <v>6</v>
      </c>
      <c r="O224" s="738"/>
      <c r="P224" s="737">
        <v>7</v>
      </c>
      <c r="Q224" s="738"/>
      <c r="R224" s="737">
        <v>8</v>
      </c>
      <c r="S224" s="738"/>
      <c r="T224" s="737">
        <v>9</v>
      </c>
      <c r="U224" s="738"/>
      <c r="V224" s="737">
        <v>10</v>
      </c>
      <c r="W224" s="738"/>
      <c r="X224" s="737">
        <v>11</v>
      </c>
      <c r="Y224" s="738"/>
      <c r="Z224" s="737">
        <v>12</v>
      </c>
      <c r="AA224" s="738"/>
      <c r="AB224" s="737">
        <v>13</v>
      </c>
      <c r="AC224" s="738"/>
      <c r="AD224" s="737">
        <v>14</v>
      </c>
      <c r="AE224" s="738"/>
      <c r="AF224" s="737">
        <v>15</v>
      </c>
      <c r="AG224" s="738"/>
      <c r="AH224" s="753">
        <v>16</v>
      </c>
      <c r="AI224" s="761"/>
      <c r="AJ224" s="775">
        <v>17</v>
      </c>
      <c r="AK224" s="761"/>
      <c r="AL224" s="775">
        <v>18</v>
      </c>
      <c r="AM224" s="761"/>
      <c r="AN224" s="775">
        <v>19</v>
      </c>
      <c r="AO224" s="761"/>
      <c r="AP224" s="775">
        <v>20</v>
      </c>
      <c r="AQ224" s="761"/>
      <c r="AR224" s="775">
        <v>21</v>
      </c>
      <c r="AS224" s="761"/>
      <c r="AT224" s="775">
        <v>22</v>
      </c>
      <c r="AU224" s="761"/>
      <c r="AV224" s="775">
        <v>23</v>
      </c>
      <c r="AW224" s="761"/>
      <c r="AX224" s="775">
        <v>24</v>
      </c>
      <c r="AY224" s="761"/>
      <c r="AZ224" s="775">
        <v>25</v>
      </c>
      <c r="BA224" s="761"/>
      <c r="BB224" s="775">
        <v>26</v>
      </c>
      <c r="BC224" s="761"/>
      <c r="BD224" s="775">
        <v>27</v>
      </c>
      <c r="BE224" s="761"/>
      <c r="BF224" s="775">
        <v>28</v>
      </c>
      <c r="BG224" s="761"/>
      <c r="BH224" s="775">
        <v>29</v>
      </c>
      <c r="BI224" s="761"/>
      <c r="BJ224" s="775">
        <v>30</v>
      </c>
      <c r="BK224" s="761"/>
      <c r="BL224" s="741">
        <v>31</v>
      </c>
      <c r="BM224" s="741"/>
      <c r="BN224" s="738" t="s">
        <v>251</v>
      </c>
      <c r="BO224" s="760"/>
      <c r="BP224" s="771" t="s">
        <v>353</v>
      </c>
      <c r="BQ224" s="772"/>
    </row>
    <row r="225" spans="2:69" ht="24.95" customHeight="1">
      <c r="B225" s="744"/>
      <c r="C225" s="747"/>
      <c r="D225" s="752" t="str">
        <f>D2</f>
        <v>水</v>
      </c>
      <c r="E225" s="740"/>
      <c r="F225" s="739" t="str">
        <f>F2</f>
        <v>木</v>
      </c>
      <c r="G225" s="740"/>
      <c r="H225" s="739" t="str">
        <f>H2</f>
        <v>金</v>
      </c>
      <c r="I225" s="740"/>
      <c r="J225" s="739" t="str">
        <f>J2</f>
        <v>土</v>
      </c>
      <c r="K225" s="740"/>
      <c r="L225" s="739" t="str">
        <f>L2</f>
        <v>日</v>
      </c>
      <c r="M225" s="740"/>
      <c r="N225" s="739" t="str">
        <f>N2</f>
        <v>月</v>
      </c>
      <c r="O225" s="740"/>
      <c r="P225" s="739" t="str">
        <f>P2</f>
        <v>火</v>
      </c>
      <c r="Q225" s="740"/>
      <c r="R225" s="739" t="str">
        <f>R2</f>
        <v>水</v>
      </c>
      <c r="S225" s="740"/>
      <c r="T225" s="739" t="str">
        <f>T2</f>
        <v>木</v>
      </c>
      <c r="U225" s="740"/>
      <c r="V225" s="739" t="str">
        <f>V2</f>
        <v>金</v>
      </c>
      <c r="W225" s="740"/>
      <c r="X225" s="739" t="str">
        <f>X2</f>
        <v>土</v>
      </c>
      <c r="Y225" s="740"/>
      <c r="Z225" s="739" t="str">
        <f>Z2</f>
        <v>日</v>
      </c>
      <c r="AA225" s="740"/>
      <c r="AB225" s="739" t="str">
        <f>AB2</f>
        <v>月</v>
      </c>
      <c r="AC225" s="740"/>
      <c r="AD225" s="739" t="str">
        <f>AD2</f>
        <v>火</v>
      </c>
      <c r="AE225" s="740"/>
      <c r="AF225" s="739" t="str">
        <f>AF2</f>
        <v>水</v>
      </c>
      <c r="AG225" s="740"/>
      <c r="AH225" s="767" t="str">
        <f>AH2</f>
        <v>木</v>
      </c>
      <c r="AI225" s="767"/>
      <c r="AJ225" s="770" t="str">
        <f>AJ2</f>
        <v>金</v>
      </c>
      <c r="AK225" s="770"/>
      <c r="AL225" s="770" t="str">
        <f>AL2</f>
        <v>土</v>
      </c>
      <c r="AM225" s="770"/>
      <c r="AN225" s="770" t="str">
        <f>AN2</f>
        <v>日</v>
      </c>
      <c r="AO225" s="770"/>
      <c r="AP225" s="770" t="str">
        <f>AP2</f>
        <v>月</v>
      </c>
      <c r="AQ225" s="770"/>
      <c r="AR225" s="770" t="str">
        <f>AR2</f>
        <v>火</v>
      </c>
      <c r="AS225" s="770"/>
      <c r="AT225" s="770" t="str">
        <f>AT2</f>
        <v>水</v>
      </c>
      <c r="AU225" s="770"/>
      <c r="AV225" s="770" t="str">
        <f>AV2</f>
        <v>木</v>
      </c>
      <c r="AW225" s="770"/>
      <c r="AX225" s="770" t="str">
        <f>AX2</f>
        <v>金</v>
      </c>
      <c r="AY225" s="770"/>
      <c r="AZ225" s="770" t="str">
        <f>AZ2</f>
        <v>土</v>
      </c>
      <c r="BA225" s="770"/>
      <c r="BB225" s="770" t="str">
        <f>BB2</f>
        <v>日</v>
      </c>
      <c r="BC225" s="770"/>
      <c r="BD225" s="770" t="str">
        <f>BD2</f>
        <v>月</v>
      </c>
      <c r="BE225" s="770"/>
      <c r="BF225" s="770" t="str">
        <f>BF2</f>
        <v>火</v>
      </c>
      <c r="BG225" s="770"/>
      <c r="BH225" s="770" t="str">
        <f>BH2</f>
        <v>水</v>
      </c>
      <c r="BI225" s="770"/>
      <c r="BJ225" s="770" t="str">
        <f>BJ2</f>
        <v>木</v>
      </c>
      <c r="BK225" s="770"/>
      <c r="BL225" s="770" t="str">
        <f>BL2</f>
        <v>金</v>
      </c>
      <c r="BM225" s="770"/>
      <c r="BN225" s="761"/>
      <c r="BO225" s="762"/>
      <c r="BP225" s="773"/>
      <c r="BQ225" s="774"/>
    </row>
    <row r="226" spans="2:69" ht="24.95" customHeight="1" thickBot="1">
      <c r="B226" s="757"/>
      <c r="C226" s="758"/>
      <c r="D226" s="529" t="s">
        <v>72</v>
      </c>
      <c r="E226" s="530" t="s">
        <v>73</v>
      </c>
      <c r="F226" s="531" t="s">
        <v>72</v>
      </c>
      <c r="G226" s="530" t="s">
        <v>73</v>
      </c>
      <c r="H226" s="531" t="s">
        <v>72</v>
      </c>
      <c r="I226" s="530" t="s">
        <v>73</v>
      </c>
      <c r="J226" s="529" t="s">
        <v>72</v>
      </c>
      <c r="K226" s="530" t="s">
        <v>73</v>
      </c>
      <c r="L226" s="529" t="s">
        <v>72</v>
      </c>
      <c r="M226" s="530" t="s">
        <v>73</v>
      </c>
      <c r="N226" s="529" t="s">
        <v>72</v>
      </c>
      <c r="O226" s="530" t="s">
        <v>73</v>
      </c>
      <c r="P226" s="529" t="s">
        <v>72</v>
      </c>
      <c r="Q226" s="530" t="s">
        <v>73</v>
      </c>
      <c r="R226" s="529" t="s">
        <v>72</v>
      </c>
      <c r="S226" s="530" t="s">
        <v>73</v>
      </c>
      <c r="T226" s="529" t="s">
        <v>72</v>
      </c>
      <c r="U226" s="530" t="s">
        <v>73</v>
      </c>
      <c r="V226" s="529" t="s">
        <v>72</v>
      </c>
      <c r="W226" s="530" t="s">
        <v>73</v>
      </c>
      <c r="X226" s="529" t="s">
        <v>72</v>
      </c>
      <c r="Y226" s="530" t="s">
        <v>73</v>
      </c>
      <c r="Z226" s="529" t="s">
        <v>72</v>
      </c>
      <c r="AA226" s="532" t="s">
        <v>73</v>
      </c>
      <c r="AB226" s="533" t="s">
        <v>72</v>
      </c>
      <c r="AC226" s="532" t="s">
        <v>73</v>
      </c>
      <c r="AD226" s="533" t="s">
        <v>72</v>
      </c>
      <c r="AE226" s="532" t="s">
        <v>73</v>
      </c>
      <c r="AF226" s="533" t="s">
        <v>72</v>
      </c>
      <c r="AG226" s="530" t="s">
        <v>73</v>
      </c>
      <c r="AH226" s="482" t="s">
        <v>72</v>
      </c>
      <c r="AI226" s="512"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c r="B227" s="204" t="s">
        <v>46</v>
      </c>
      <c r="C227" s="551"/>
      <c r="D227" s="548"/>
      <c r="E227" s="547"/>
      <c r="F227" s="548"/>
      <c r="G227" s="77"/>
      <c r="H227" s="18"/>
      <c r="I227" s="14"/>
      <c r="J227" s="18"/>
      <c r="K227" s="14"/>
      <c r="L227" s="18"/>
      <c r="M227" s="14"/>
      <c r="N227" s="18"/>
      <c r="O227" s="14"/>
      <c r="P227" s="18"/>
      <c r="Q227" s="14"/>
      <c r="R227" s="18"/>
      <c r="S227" s="14"/>
      <c r="T227" s="18">
        <v>2</v>
      </c>
      <c r="U227" s="14">
        <v>3</v>
      </c>
      <c r="V227" s="18"/>
      <c r="W227" s="14"/>
      <c r="X227" s="18"/>
      <c r="Y227" s="14"/>
      <c r="Z227" s="18"/>
      <c r="AA227" s="14"/>
      <c r="AB227" s="18"/>
      <c r="AC227" s="14"/>
      <c r="AD227" s="18"/>
      <c r="AE227" s="14"/>
      <c r="AF227" s="567"/>
      <c r="AG227" s="569"/>
      <c r="AH227" s="567"/>
      <c r="AI227" s="14"/>
      <c r="AJ227" s="76"/>
      <c r="AK227" s="77"/>
      <c r="AL227" s="18"/>
      <c r="AM227" s="14"/>
      <c r="AN227" s="18"/>
      <c r="AO227" s="14"/>
      <c r="AP227" s="18"/>
      <c r="AQ227" s="14"/>
      <c r="AR227" s="18"/>
      <c r="AS227" s="14"/>
      <c r="AT227" s="18"/>
      <c r="AU227" s="14"/>
      <c r="AV227" s="18"/>
      <c r="AW227" s="14"/>
      <c r="AX227" s="18"/>
      <c r="AY227" s="14"/>
      <c r="AZ227" s="18"/>
      <c r="BA227" s="14"/>
      <c r="BB227" s="18"/>
      <c r="BC227" s="14"/>
      <c r="BD227" s="18"/>
      <c r="BE227" s="14"/>
      <c r="BF227" s="18"/>
      <c r="BG227" s="14"/>
      <c r="BH227" s="18"/>
      <c r="BI227" s="14"/>
      <c r="BJ227" s="18"/>
      <c r="BK227" s="15"/>
      <c r="BL227" s="37"/>
      <c r="BM227" s="14"/>
      <c r="BN227" s="561">
        <f>SUM(D227,F227,H227,J227,L227,N227,P227,R227,T227,V227,X227,Z227,AB227,AD227,AF227,AH227,AJ227,AL227,AN227,AP227,AR227,AT227,AV227,AX227,AZ227,BB227,BD227,BF227,BH227,BJ227,BL227)</f>
        <v>2</v>
      </c>
      <c r="BO227" s="559">
        <f>SUM(E227,G227,I227,K227,M227,O227,Q227,S227,U227,W227,Y227,AA227,AC227,AE227,AG227,AI227,AK227,AM227,AO227,AQ227,AS227,AU227,AW227,AY227,BA227,BC227,BE227,BG227,BI227,BK227,BM227)</f>
        <v>3</v>
      </c>
      <c r="BP227" s="558">
        <f>BN227</f>
        <v>2</v>
      </c>
      <c r="BQ227" s="559">
        <f>BO227</f>
        <v>3</v>
      </c>
    </row>
    <row r="228" spans="2:69" s="6" customFormat="1" ht="50.1" customHeight="1">
      <c r="B228" s="562" t="s">
        <v>270</v>
      </c>
      <c r="C228" s="564"/>
      <c r="D228" s="548"/>
      <c r="E228" s="547"/>
      <c r="F228" s="548"/>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567"/>
      <c r="AG228" s="569"/>
      <c r="AH228" s="567"/>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561">
        <f t="shared" ref="BN228:BN245" si="65">SUM(D228,F228,H228,J228,L228,N228,P228,R228,T228,V228,X228,Z228,AB228,AD228,AF228,AH228,AJ228,AL228,AN228,AP228,AR228,AT228,AV228,AX228,AZ228,BB228,BD228,BF228,BH228,BJ228,BL228)</f>
        <v>0</v>
      </c>
      <c r="BO228" s="559">
        <f t="shared" ref="BO228:BO245" si="66">SUM(E228,G228,I228,K228,M228,O228,Q228,S228,U228,W228,Y228,AA228,AC228,AE228,AG228,AI228,AK228,AM228,AO228,AQ228,AS228,AU228,AW228,AY228,BA228,BC228,BE228,BG228,BI228,BK228,BM228)</f>
        <v>0</v>
      </c>
      <c r="BP228" s="558">
        <f t="shared" ref="BP228:BP245" si="67">BN228</f>
        <v>0</v>
      </c>
      <c r="BQ228" s="559">
        <f t="shared" ref="BQ228:BQ245" si="68">BO228</f>
        <v>0</v>
      </c>
    </row>
    <row r="229" spans="2:69" s="6" customFormat="1" ht="50.1" customHeight="1">
      <c r="B229" s="201" t="s">
        <v>118</v>
      </c>
      <c r="C229" s="146"/>
      <c r="D229" s="18"/>
      <c r="E229" s="14"/>
      <c r="F229" s="76"/>
      <c r="G229" s="77"/>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v>5</v>
      </c>
      <c r="AE229" s="14">
        <v>5</v>
      </c>
      <c r="AF229" s="567"/>
      <c r="AG229" s="569"/>
      <c r="AH229" s="567"/>
      <c r="AI229" s="14"/>
      <c r="AJ229" s="76"/>
      <c r="AK229" s="77"/>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561">
        <f t="shared" si="65"/>
        <v>5</v>
      </c>
      <c r="BO229" s="559">
        <f t="shared" si="66"/>
        <v>5</v>
      </c>
      <c r="BP229" s="558">
        <f t="shared" si="67"/>
        <v>5</v>
      </c>
      <c r="BQ229" s="559">
        <f t="shared" si="68"/>
        <v>5</v>
      </c>
    </row>
    <row r="230" spans="2:69" s="6" customFormat="1" ht="50.1" customHeight="1">
      <c r="B230" s="204" t="s">
        <v>222</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567"/>
      <c r="AG230" s="569"/>
      <c r="AH230" s="567"/>
      <c r="AI230" s="14"/>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561">
        <f t="shared" si="65"/>
        <v>0</v>
      </c>
      <c r="BO230" s="559">
        <f t="shared" si="66"/>
        <v>0</v>
      </c>
      <c r="BP230" s="558">
        <f t="shared" si="67"/>
        <v>0</v>
      </c>
      <c r="BQ230" s="559">
        <f t="shared" si="68"/>
        <v>0</v>
      </c>
    </row>
    <row r="231" spans="2:69" s="6" customFormat="1" ht="50.1" customHeight="1">
      <c r="B231" s="201" t="s">
        <v>47</v>
      </c>
      <c r="C231" s="146"/>
      <c r="D231" s="18"/>
      <c r="E231" s="14"/>
      <c r="F231" s="18"/>
      <c r="G231" s="14"/>
      <c r="H231" s="18"/>
      <c r="I231" s="14"/>
      <c r="J231" s="18"/>
      <c r="K231" s="14"/>
      <c r="L231" s="18"/>
      <c r="M231" s="14"/>
      <c r="N231" s="18"/>
      <c r="O231" s="14"/>
      <c r="P231" s="18"/>
      <c r="Q231" s="14"/>
      <c r="R231" s="18"/>
      <c r="S231" s="14"/>
      <c r="T231" s="18"/>
      <c r="U231" s="14"/>
      <c r="V231" s="18">
        <v>1</v>
      </c>
      <c r="W231" s="14">
        <v>1</v>
      </c>
      <c r="X231" s="18"/>
      <c r="Y231" s="14"/>
      <c r="Z231" s="18"/>
      <c r="AA231" s="14"/>
      <c r="AB231" s="18"/>
      <c r="AC231" s="14"/>
      <c r="AD231" s="18"/>
      <c r="AE231" s="14"/>
      <c r="AF231" s="567"/>
      <c r="AG231" s="569"/>
      <c r="AH231" s="567"/>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561">
        <f t="shared" si="65"/>
        <v>1</v>
      </c>
      <c r="BO231" s="559">
        <f t="shared" si="66"/>
        <v>1</v>
      </c>
      <c r="BP231" s="558">
        <f t="shared" si="67"/>
        <v>1</v>
      </c>
      <c r="BQ231" s="559">
        <f t="shared" si="68"/>
        <v>1</v>
      </c>
    </row>
    <row r="232" spans="2:69" s="6" customFormat="1" ht="50.1" customHeight="1">
      <c r="B232" s="201" t="s">
        <v>159</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567"/>
      <c r="AG232" s="569"/>
      <c r="AH232" s="567"/>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561">
        <f t="shared" si="65"/>
        <v>0</v>
      </c>
      <c r="BO232" s="559">
        <f t="shared" si="66"/>
        <v>0</v>
      </c>
      <c r="BP232" s="558">
        <f t="shared" si="67"/>
        <v>0</v>
      </c>
      <c r="BQ232" s="559">
        <f t="shared" si="68"/>
        <v>0</v>
      </c>
    </row>
    <row r="233" spans="2:69" s="6" customFormat="1" ht="50.1" customHeight="1">
      <c r="B233" s="201" t="s">
        <v>158</v>
      </c>
      <c r="C233" s="146"/>
      <c r="D233" s="18"/>
      <c r="E233" s="14"/>
      <c r="F233" s="50"/>
      <c r="G233" s="20"/>
      <c r="H233" s="50"/>
      <c r="I233" s="20"/>
      <c r="J233" s="50"/>
      <c r="K233" s="20"/>
      <c r="L233" s="50"/>
      <c r="M233" s="20"/>
      <c r="N233" s="50"/>
      <c r="O233" s="20"/>
      <c r="P233" s="50"/>
      <c r="Q233" s="20"/>
      <c r="R233" s="50"/>
      <c r="S233" s="20"/>
      <c r="T233" s="50"/>
      <c r="U233" s="20"/>
      <c r="V233" s="50"/>
      <c r="W233" s="20"/>
      <c r="X233" s="50"/>
      <c r="Y233" s="20"/>
      <c r="Z233" s="50"/>
      <c r="AA233" s="20"/>
      <c r="AB233" s="50"/>
      <c r="AC233" s="20"/>
      <c r="AD233" s="50"/>
      <c r="AE233" s="20"/>
      <c r="AF233" s="567">
        <v>1</v>
      </c>
      <c r="AG233" s="593">
        <v>1</v>
      </c>
      <c r="AH233" s="567"/>
      <c r="AI233" s="20"/>
      <c r="AJ233" s="50"/>
      <c r="AK233" s="20"/>
      <c r="AL233" s="50"/>
      <c r="AM233" s="20"/>
      <c r="AN233" s="50"/>
      <c r="AO233" s="20"/>
      <c r="AP233" s="50"/>
      <c r="AQ233" s="20"/>
      <c r="AR233" s="50"/>
      <c r="AS233" s="20"/>
      <c r="AT233" s="50"/>
      <c r="AU233" s="20"/>
      <c r="AV233" s="50"/>
      <c r="AW233" s="20"/>
      <c r="AX233" s="50"/>
      <c r="AY233" s="20"/>
      <c r="AZ233" s="50"/>
      <c r="BA233" s="20"/>
      <c r="BB233" s="50"/>
      <c r="BC233" s="20"/>
      <c r="BD233" s="50"/>
      <c r="BE233" s="20"/>
      <c r="BF233" s="50"/>
      <c r="BG233" s="20"/>
      <c r="BH233" s="50"/>
      <c r="BI233" s="20"/>
      <c r="BJ233" s="50"/>
      <c r="BK233" s="21"/>
      <c r="BL233" s="38"/>
      <c r="BM233" s="20"/>
      <c r="BN233" s="561">
        <f t="shared" si="65"/>
        <v>1</v>
      </c>
      <c r="BO233" s="559">
        <f t="shared" si="66"/>
        <v>1</v>
      </c>
      <c r="BP233" s="558">
        <f t="shared" si="67"/>
        <v>1</v>
      </c>
      <c r="BQ233" s="559">
        <f t="shared" si="68"/>
        <v>1</v>
      </c>
    </row>
    <row r="234" spans="2:69" s="6" customFormat="1" ht="50.1" customHeight="1">
      <c r="B234" s="201" t="s">
        <v>177</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567"/>
      <c r="AG234" s="569"/>
      <c r="AH234" s="567"/>
      <c r="AI234" s="14"/>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18"/>
      <c r="BK234" s="15"/>
      <c r="BL234" s="37"/>
      <c r="BM234" s="14"/>
      <c r="BN234" s="561">
        <f t="shared" si="65"/>
        <v>0</v>
      </c>
      <c r="BO234" s="559">
        <f t="shared" si="66"/>
        <v>0</v>
      </c>
      <c r="BP234" s="558">
        <f t="shared" si="67"/>
        <v>0</v>
      </c>
      <c r="BQ234" s="559">
        <f t="shared" si="68"/>
        <v>0</v>
      </c>
    </row>
    <row r="235" spans="2:69" s="6" customFormat="1" ht="50.1" customHeight="1">
      <c r="B235" s="563" t="s">
        <v>195</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567"/>
      <c r="AG235" s="569"/>
      <c r="AH235" s="567"/>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561">
        <f t="shared" si="65"/>
        <v>0</v>
      </c>
      <c r="BO235" s="559">
        <f t="shared" si="66"/>
        <v>0</v>
      </c>
      <c r="BP235" s="558">
        <f t="shared" si="67"/>
        <v>0</v>
      </c>
      <c r="BQ235" s="559">
        <f t="shared" si="68"/>
        <v>0</v>
      </c>
    </row>
    <row r="236" spans="2:69" s="6" customFormat="1" ht="50.1" customHeight="1">
      <c r="B236" s="540" t="s">
        <v>509</v>
      </c>
      <c r="C236" s="146"/>
      <c r="D236" s="18"/>
      <c r="E236" s="14"/>
      <c r="F236" s="18"/>
      <c r="G236" s="14"/>
      <c r="H236" s="18"/>
      <c r="I236" s="14"/>
      <c r="J236" s="18"/>
      <c r="K236" s="14"/>
      <c r="L236" s="18"/>
      <c r="M236" s="14"/>
      <c r="N236" s="18">
        <v>1</v>
      </c>
      <c r="O236" s="14">
        <v>1</v>
      </c>
      <c r="P236" s="18"/>
      <c r="Q236" s="14"/>
      <c r="R236" s="18"/>
      <c r="S236" s="14"/>
      <c r="T236" s="18"/>
      <c r="U236" s="14"/>
      <c r="V236" s="18"/>
      <c r="W236" s="14"/>
      <c r="X236" s="18"/>
      <c r="Y236" s="14"/>
      <c r="Z236" s="18"/>
      <c r="AA236" s="14"/>
      <c r="AB236" s="18"/>
      <c r="AC236" s="14"/>
      <c r="AD236" s="18"/>
      <c r="AE236" s="14"/>
      <c r="AF236" s="567"/>
      <c r="AG236" s="569"/>
      <c r="AH236" s="567"/>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561">
        <f t="shared" si="65"/>
        <v>1</v>
      </c>
      <c r="BO236" s="559">
        <f t="shared" si="66"/>
        <v>1</v>
      </c>
      <c r="BP236" s="558">
        <f t="shared" si="67"/>
        <v>1</v>
      </c>
      <c r="BQ236" s="559">
        <f t="shared" si="68"/>
        <v>1</v>
      </c>
    </row>
    <row r="237" spans="2:69" s="6" customFormat="1" ht="50.1" customHeight="1">
      <c r="B237" s="201"/>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567"/>
      <c r="AG237" s="569"/>
      <c r="AH237" s="567"/>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561"/>
      <c r="BO237" s="559"/>
      <c r="BP237" s="558"/>
      <c r="BQ237" s="559"/>
    </row>
    <row r="238" spans="2:69" s="6" customFormat="1" ht="50.1" customHeight="1">
      <c r="B238" s="201" t="s">
        <v>64</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567"/>
      <c r="AG238" s="569"/>
      <c r="AH238" s="567"/>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561">
        <f t="shared" si="65"/>
        <v>0</v>
      </c>
      <c r="BO238" s="559">
        <f t="shared" si="66"/>
        <v>0</v>
      </c>
      <c r="BP238" s="558">
        <f t="shared" si="67"/>
        <v>0</v>
      </c>
      <c r="BQ238" s="559">
        <f t="shared" si="68"/>
        <v>0</v>
      </c>
    </row>
    <row r="239" spans="2:69" s="6" customFormat="1" ht="50.1" customHeight="1">
      <c r="B239" s="201" t="s">
        <v>205</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567"/>
      <c r="AG239" s="569"/>
      <c r="AH239" s="567"/>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561">
        <f t="shared" si="65"/>
        <v>0</v>
      </c>
      <c r="BO239" s="559">
        <f t="shared" si="66"/>
        <v>0</v>
      </c>
      <c r="BP239" s="558">
        <f t="shared" si="67"/>
        <v>0</v>
      </c>
      <c r="BQ239" s="559">
        <f t="shared" si="68"/>
        <v>0</v>
      </c>
    </row>
    <row r="240" spans="2:69" s="6" customFormat="1" ht="50.1" customHeight="1">
      <c r="B240" s="201" t="s">
        <v>119</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567"/>
      <c r="AG240" s="569"/>
      <c r="AH240" s="567"/>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561">
        <f t="shared" si="65"/>
        <v>0</v>
      </c>
      <c r="BO240" s="559">
        <f t="shared" si="66"/>
        <v>0</v>
      </c>
      <c r="BP240" s="558">
        <f t="shared" si="67"/>
        <v>0</v>
      </c>
      <c r="BQ240" s="559">
        <f t="shared" si="68"/>
        <v>0</v>
      </c>
    </row>
    <row r="241" spans="2:69" s="6" customFormat="1" ht="50.1" customHeight="1">
      <c r="B241" s="201" t="s">
        <v>111</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567"/>
      <c r="AG241" s="569"/>
      <c r="AH241" s="567"/>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561">
        <f t="shared" si="65"/>
        <v>0</v>
      </c>
      <c r="BO241" s="559">
        <f t="shared" si="66"/>
        <v>0</v>
      </c>
      <c r="BP241" s="558">
        <f t="shared" si="67"/>
        <v>0</v>
      </c>
      <c r="BQ241" s="559">
        <f t="shared" si="68"/>
        <v>0</v>
      </c>
    </row>
    <row r="242" spans="2:69" s="6" customFormat="1" ht="50.1" customHeight="1">
      <c r="B242" s="207" t="s">
        <v>275</v>
      </c>
      <c r="C242" s="146"/>
      <c r="D242" s="18"/>
      <c r="E242" s="14"/>
      <c r="F242" s="18"/>
      <c r="G242" s="14"/>
      <c r="H242" s="18"/>
      <c r="I242" s="14"/>
      <c r="J242" s="18"/>
      <c r="K242" s="14"/>
      <c r="L242" s="18"/>
      <c r="M242" s="14"/>
      <c r="N242" s="18"/>
      <c r="O242" s="14"/>
      <c r="P242" s="18"/>
      <c r="Q242" s="14"/>
      <c r="R242" s="18">
        <v>2</v>
      </c>
      <c r="S242" s="14">
        <v>4</v>
      </c>
      <c r="T242" s="18"/>
      <c r="U242" s="14"/>
      <c r="V242" s="18"/>
      <c r="W242" s="14"/>
      <c r="X242" s="18"/>
      <c r="Y242" s="14"/>
      <c r="Z242" s="18"/>
      <c r="AA242" s="14"/>
      <c r="AB242" s="18"/>
      <c r="AC242" s="14"/>
      <c r="AD242" s="18"/>
      <c r="AE242" s="14"/>
      <c r="AF242" s="567"/>
      <c r="AG242" s="569"/>
      <c r="AH242" s="567"/>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561">
        <f t="shared" si="65"/>
        <v>2</v>
      </c>
      <c r="BO242" s="559">
        <f t="shared" si="66"/>
        <v>4</v>
      </c>
      <c r="BP242" s="558">
        <f t="shared" si="67"/>
        <v>2</v>
      </c>
      <c r="BQ242" s="559">
        <f t="shared" si="68"/>
        <v>4</v>
      </c>
    </row>
    <row r="243" spans="2:69" s="6" customFormat="1" ht="50.1" customHeight="1" thickBot="1">
      <c r="B243" s="321" t="s">
        <v>48</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567"/>
      <c r="AG243" s="569"/>
      <c r="AH243" s="567"/>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561">
        <f t="shared" si="65"/>
        <v>0</v>
      </c>
      <c r="BO243" s="559">
        <f t="shared" si="66"/>
        <v>0</v>
      </c>
      <c r="BP243" s="558">
        <f t="shared" si="67"/>
        <v>0</v>
      </c>
      <c r="BQ243" s="559">
        <f t="shared" si="68"/>
        <v>0</v>
      </c>
    </row>
    <row r="244" spans="2:69" s="6" customFormat="1" ht="50.1" customHeight="1">
      <c r="B244" s="201" t="s">
        <v>535</v>
      </c>
      <c r="C244" s="146"/>
      <c r="D244" s="18"/>
      <c r="E244" s="14"/>
      <c r="F244" s="18"/>
      <c r="G244" s="14"/>
      <c r="H244" s="18"/>
      <c r="I244" s="14"/>
      <c r="J244" s="18"/>
      <c r="K244" s="14"/>
      <c r="L244" s="18"/>
      <c r="M244" s="14"/>
      <c r="N244" s="18"/>
      <c r="O244" s="14"/>
      <c r="P244" s="18"/>
      <c r="Q244" s="14"/>
      <c r="R244" s="18"/>
      <c r="S244" s="14"/>
      <c r="T244" s="18"/>
      <c r="U244" s="14"/>
      <c r="V244" s="18"/>
      <c r="W244" s="14"/>
      <c r="X244" s="18">
        <v>2</v>
      </c>
      <c r="Y244" s="14">
        <v>2</v>
      </c>
      <c r="Z244" s="18"/>
      <c r="AA244" s="14"/>
      <c r="AB244" s="18"/>
      <c r="AC244" s="14"/>
      <c r="AD244" s="18"/>
      <c r="AE244" s="14"/>
      <c r="AF244" s="567"/>
      <c r="AG244" s="569"/>
      <c r="AH244" s="567"/>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561">
        <f t="shared" si="65"/>
        <v>2</v>
      </c>
      <c r="BO244" s="559">
        <f t="shared" si="66"/>
        <v>2</v>
      </c>
      <c r="BP244" s="558">
        <f t="shared" si="67"/>
        <v>2</v>
      </c>
      <c r="BQ244" s="559">
        <f t="shared" si="68"/>
        <v>2</v>
      </c>
    </row>
    <row r="245" spans="2:69" s="6" customFormat="1" ht="50.1" customHeight="1" thickBot="1">
      <c r="B245" s="206" t="s">
        <v>91</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4"/>
      <c r="AH245" s="567"/>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561">
        <f t="shared" si="65"/>
        <v>0</v>
      </c>
      <c r="BO245" s="559">
        <f t="shared" si="66"/>
        <v>0</v>
      </c>
      <c r="BP245" s="558">
        <f t="shared" si="67"/>
        <v>0</v>
      </c>
      <c r="BQ245" s="559">
        <f t="shared" si="68"/>
        <v>0</v>
      </c>
    </row>
    <row r="246" spans="2:69" s="6" customFormat="1" ht="39" customHeight="1" thickBot="1">
      <c r="B246" s="119" t="s">
        <v>101</v>
      </c>
      <c r="C246" s="149"/>
      <c r="D246" s="29">
        <f>SUM(D227:D245)</f>
        <v>0</v>
      </c>
      <c r="E246" s="31">
        <f t="shared" ref="E246:AG246" si="69">SUM(E227:E245)</f>
        <v>0</v>
      </c>
      <c r="F246" s="29">
        <f t="shared" si="69"/>
        <v>0</v>
      </c>
      <c r="G246" s="31">
        <f t="shared" si="69"/>
        <v>0</v>
      </c>
      <c r="H246" s="29">
        <f t="shared" si="69"/>
        <v>0</v>
      </c>
      <c r="I246" s="31">
        <f t="shared" si="69"/>
        <v>0</v>
      </c>
      <c r="J246" s="29">
        <f t="shared" si="69"/>
        <v>0</v>
      </c>
      <c r="K246" s="31">
        <f t="shared" si="69"/>
        <v>0</v>
      </c>
      <c r="L246" s="29">
        <f t="shared" si="69"/>
        <v>0</v>
      </c>
      <c r="M246" s="31">
        <f t="shared" si="69"/>
        <v>0</v>
      </c>
      <c r="N246" s="29">
        <f t="shared" si="69"/>
        <v>1</v>
      </c>
      <c r="O246" s="31">
        <f t="shared" si="69"/>
        <v>1</v>
      </c>
      <c r="P246" s="29">
        <f t="shared" si="69"/>
        <v>0</v>
      </c>
      <c r="Q246" s="31">
        <f t="shared" si="69"/>
        <v>0</v>
      </c>
      <c r="R246" s="29">
        <f t="shared" si="69"/>
        <v>2</v>
      </c>
      <c r="S246" s="31">
        <f t="shared" si="69"/>
        <v>4</v>
      </c>
      <c r="T246" s="29">
        <f t="shared" si="69"/>
        <v>2</v>
      </c>
      <c r="U246" s="31">
        <f t="shared" si="69"/>
        <v>3</v>
      </c>
      <c r="V246" s="29">
        <f t="shared" si="69"/>
        <v>1</v>
      </c>
      <c r="W246" s="31">
        <f t="shared" si="69"/>
        <v>1</v>
      </c>
      <c r="X246" s="29">
        <f t="shared" si="69"/>
        <v>2</v>
      </c>
      <c r="Y246" s="31">
        <f t="shared" si="69"/>
        <v>2</v>
      </c>
      <c r="Z246" s="29">
        <f t="shared" si="69"/>
        <v>0</v>
      </c>
      <c r="AA246" s="31">
        <f t="shared" si="69"/>
        <v>0</v>
      </c>
      <c r="AB246" s="29">
        <f t="shared" si="69"/>
        <v>0</v>
      </c>
      <c r="AC246" s="31">
        <f t="shared" si="69"/>
        <v>0</v>
      </c>
      <c r="AD246" s="29">
        <f t="shared" si="69"/>
        <v>5</v>
      </c>
      <c r="AE246" s="31">
        <f t="shared" si="69"/>
        <v>5</v>
      </c>
      <c r="AF246" s="29">
        <f t="shared" si="69"/>
        <v>1</v>
      </c>
      <c r="AG246" s="31">
        <f t="shared" si="69"/>
        <v>1</v>
      </c>
      <c r="AH246" s="29">
        <f>SUM(AH227:AH245)</f>
        <v>0</v>
      </c>
      <c r="AI246" s="31">
        <f t="shared" ref="AI246:BQ246" si="70">SUM(AI227:AI245)</f>
        <v>0</v>
      </c>
      <c r="AJ246" s="29">
        <f t="shared" si="70"/>
        <v>0</v>
      </c>
      <c r="AK246" s="31">
        <f t="shared" si="70"/>
        <v>0</v>
      </c>
      <c r="AL246" s="29">
        <f t="shared" si="70"/>
        <v>0</v>
      </c>
      <c r="AM246" s="31">
        <f t="shared" si="70"/>
        <v>0</v>
      </c>
      <c r="AN246" s="29">
        <f t="shared" si="70"/>
        <v>0</v>
      </c>
      <c r="AO246" s="31">
        <f t="shared" si="70"/>
        <v>0</v>
      </c>
      <c r="AP246" s="29">
        <f t="shared" si="70"/>
        <v>0</v>
      </c>
      <c r="AQ246" s="29">
        <f t="shared" si="70"/>
        <v>0</v>
      </c>
      <c r="AR246" s="29">
        <f t="shared" si="70"/>
        <v>0</v>
      </c>
      <c r="AS246" s="31">
        <f t="shared" si="70"/>
        <v>0</v>
      </c>
      <c r="AT246" s="29">
        <f t="shared" si="70"/>
        <v>0</v>
      </c>
      <c r="AU246" s="31">
        <f t="shared" si="70"/>
        <v>0</v>
      </c>
      <c r="AV246" s="29">
        <f t="shared" si="70"/>
        <v>0</v>
      </c>
      <c r="AW246" s="31">
        <f t="shared" si="70"/>
        <v>0</v>
      </c>
      <c r="AX246" s="29">
        <f t="shared" si="70"/>
        <v>0</v>
      </c>
      <c r="AY246" s="31">
        <f t="shared" si="70"/>
        <v>0</v>
      </c>
      <c r="AZ246" s="29">
        <f t="shared" si="70"/>
        <v>0</v>
      </c>
      <c r="BA246" s="31">
        <f t="shared" si="70"/>
        <v>0</v>
      </c>
      <c r="BB246" s="29">
        <f t="shared" si="70"/>
        <v>0</v>
      </c>
      <c r="BC246" s="31">
        <f t="shared" si="70"/>
        <v>0</v>
      </c>
      <c r="BD246" s="29">
        <f t="shared" si="70"/>
        <v>0</v>
      </c>
      <c r="BE246" s="31">
        <f t="shared" si="70"/>
        <v>0</v>
      </c>
      <c r="BF246" s="29">
        <f t="shared" si="70"/>
        <v>0</v>
      </c>
      <c r="BG246" s="31">
        <f t="shared" si="70"/>
        <v>0</v>
      </c>
      <c r="BH246" s="29">
        <f t="shared" si="70"/>
        <v>0</v>
      </c>
      <c r="BI246" s="31">
        <f t="shared" si="70"/>
        <v>0</v>
      </c>
      <c r="BJ246" s="29">
        <f t="shared" si="70"/>
        <v>0</v>
      </c>
      <c r="BK246" s="41">
        <f t="shared" si="70"/>
        <v>0</v>
      </c>
      <c r="BL246" s="39">
        <f t="shared" si="70"/>
        <v>0</v>
      </c>
      <c r="BM246" s="31">
        <f t="shared" si="70"/>
        <v>0</v>
      </c>
      <c r="BN246" s="32">
        <f t="shared" si="70"/>
        <v>14</v>
      </c>
      <c r="BO246" s="41">
        <f t="shared" si="70"/>
        <v>17</v>
      </c>
      <c r="BP246" s="257">
        <f t="shared" si="70"/>
        <v>14</v>
      </c>
      <c r="BQ246" s="240">
        <f t="shared" si="70"/>
        <v>17</v>
      </c>
    </row>
    <row r="247" spans="2:69" ht="24.75" customHeight="1">
      <c r="B247" s="120"/>
      <c r="AG247" s="34"/>
      <c r="AJ247" s="7"/>
      <c r="AK247" s="7"/>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J248" s="7"/>
      <c r="AK248" s="7"/>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95" customHeight="1">
      <c r="B249" s="743" t="s">
        <v>54</v>
      </c>
      <c r="C249" s="749">
        <f>COUNTIF(B252:B257,"*")</f>
        <v>4</v>
      </c>
      <c r="D249" s="751">
        <v>1</v>
      </c>
      <c r="E249" s="738"/>
      <c r="F249" s="737">
        <v>2</v>
      </c>
      <c r="G249" s="738"/>
      <c r="H249" s="737">
        <v>3</v>
      </c>
      <c r="I249" s="738"/>
      <c r="J249" s="737">
        <v>4</v>
      </c>
      <c r="K249" s="738"/>
      <c r="L249" s="737">
        <v>5</v>
      </c>
      <c r="M249" s="738"/>
      <c r="N249" s="737">
        <v>6</v>
      </c>
      <c r="O249" s="738"/>
      <c r="P249" s="737">
        <v>7</v>
      </c>
      <c r="Q249" s="738"/>
      <c r="R249" s="737">
        <v>8</v>
      </c>
      <c r="S249" s="738"/>
      <c r="T249" s="737">
        <v>9</v>
      </c>
      <c r="U249" s="738"/>
      <c r="V249" s="737">
        <v>10</v>
      </c>
      <c r="W249" s="738"/>
      <c r="X249" s="737">
        <v>11</v>
      </c>
      <c r="Y249" s="738"/>
      <c r="Z249" s="737">
        <v>12</v>
      </c>
      <c r="AA249" s="738"/>
      <c r="AB249" s="737">
        <v>13</v>
      </c>
      <c r="AC249" s="738"/>
      <c r="AD249" s="737">
        <v>14</v>
      </c>
      <c r="AE249" s="738"/>
      <c r="AF249" s="737">
        <v>15</v>
      </c>
      <c r="AG249" s="738"/>
      <c r="AH249" s="738">
        <v>16</v>
      </c>
      <c r="AI249" s="741"/>
      <c r="AJ249" s="741">
        <v>17</v>
      </c>
      <c r="AK249" s="741"/>
      <c r="AL249" s="741">
        <v>18</v>
      </c>
      <c r="AM249" s="741"/>
      <c r="AN249" s="741">
        <v>19</v>
      </c>
      <c r="AO249" s="741"/>
      <c r="AP249" s="741">
        <v>20</v>
      </c>
      <c r="AQ249" s="741"/>
      <c r="AR249" s="741">
        <v>21</v>
      </c>
      <c r="AS249" s="741"/>
      <c r="AT249" s="741">
        <v>22</v>
      </c>
      <c r="AU249" s="741"/>
      <c r="AV249" s="741">
        <v>23</v>
      </c>
      <c r="AW249" s="741"/>
      <c r="AX249" s="741">
        <v>24</v>
      </c>
      <c r="AY249" s="741"/>
      <c r="AZ249" s="741">
        <v>25</v>
      </c>
      <c r="BA249" s="741"/>
      <c r="BB249" s="741">
        <v>26</v>
      </c>
      <c r="BC249" s="741"/>
      <c r="BD249" s="741">
        <v>27</v>
      </c>
      <c r="BE249" s="741"/>
      <c r="BF249" s="741">
        <v>28</v>
      </c>
      <c r="BG249" s="741"/>
      <c r="BH249" s="741">
        <v>29</v>
      </c>
      <c r="BI249" s="741"/>
      <c r="BJ249" s="741">
        <v>30</v>
      </c>
      <c r="BK249" s="741"/>
      <c r="BL249" s="741">
        <v>31</v>
      </c>
      <c r="BM249" s="741"/>
      <c r="BN249" s="738" t="s">
        <v>251</v>
      </c>
      <c r="BO249" s="760"/>
      <c r="BP249" s="771" t="s">
        <v>353</v>
      </c>
      <c r="BQ249" s="772"/>
    </row>
    <row r="250" spans="2:69" ht="24.95" customHeight="1">
      <c r="B250" s="744"/>
      <c r="C250" s="747"/>
      <c r="D250" s="752" t="str">
        <f>D2</f>
        <v>水</v>
      </c>
      <c r="E250" s="740"/>
      <c r="F250" s="739" t="str">
        <f>F2</f>
        <v>木</v>
      </c>
      <c r="G250" s="740"/>
      <c r="H250" s="739" t="str">
        <f>H2</f>
        <v>金</v>
      </c>
      <c r="I250" s="740"/>
      <c r="J250" s="739" t="str">
        <f>J2</f>
        <v>土</v>
      </c>
      <c r="K250" s="740"/>
      <c r="L250" s="739" t="str">
        <f>L2</f>
        <v>日</v>
      </c>
      <c r="M250" s="740"/>
      <c r="N250" s="739" t="str">
        <f>N2</f>
        <v>月</v>
      </c>
      <c r="O250" s="740"/>
      <c r="P250" s="739" t="str">
        <f>P2</f>
        <v>火</v>
      </c>
      <c r="Q250" s="740"/>
      <c r="R250" s="739" t="str">
        <f>R2</f>
        <v>水</v>
      </c>
      <c r="S250" s="740"/>
      <c r="T250" s="739" t="str">
        <f>T2</f>
        <v>木</v>
      </c>
      <c r="U250" s="740"/>
      <c r="V250" s="739" t="str">
        <f>V2</f>
        <v>金</v>
      </c>
      <c r="W250" s="740"/>
      <c r="X250" s="739" t="str">
        <f>X2</f>
        <v>土</v>
      </c>
      <c r="Y250" s="740"/>
      <c r="Z250" s="739" t="str">
        <f>Z2</f>
        <v>日</v>
      </c>
      <c r="AA250" s="740"/>
      <c r="AB250" s="739" t="str">
        <f>AB2</f>
        <v>月</v>
      </c>
      <c r="AC250" s="740"/>
      <c r="AD250" s="739" t="str">
        <f>AD2</f>
        <v>火</v>
      </c>
      <c r="AE250" s="740"/>
      <c r="AF250" s="739" t="str">
        <f>AF2</f>
        <v>水</v>
      </c>
      <c r="AG250" s="740"/>
      <c r="AH250" s="767" t="str">
        <f>AH2</f>
        <v>木</v>
      </c>
      <c r="AI250" s="767"/>
      <c r="AJ250" s="770" t="str">
        <f>AJ2</f>
        <v>金</v>
      </c>
      <c r="AK250" s="770"/>
      <c r="AL250" s="770" t="str">
        <f>AL2</f>
        <v>土</v>
      </c>
      <c r="AM250" s="770"/>
      <c r="AN250" s="770" t="str">
        <f>AN2</f>
        <v>日</v>
      </c>
      <c r="AO250" s="770"/>
      <c r="AP250" s="770" t="str">
        <f>AP2</f>
        <v>月</v>
      </c>
      <c r="AQ250" s="770"/>
      <c r="AR250" s="770" t="str">
        <f>AR2</f>
        <v>火</v>
      </c>
      <c r="AS250" s="770"/>
      <c r="AT250" s="770" t="str">
        <f>AT2</f>
        <v>水</v>
      </c>
      <c r="AU250" s="770"/>
      <c r="AV250" s="770" t="str">
        <f>AV2</f>
        <v>木</v>
      </c>
      <c r="AW250" s="770"/>
      <c r="AX250" s="770" t="str">
        <f>AX2</f>
        <v>金</v>
      </c>
      <c r="AY250" s="770"/>
      <c r="AZ250" s="770" t="str">
        <f>AZ2</f>
        <v>土</v>
      </c>
      <c r="BA250" s="770"/>
      <c r="BB250" s="770" t="str">
        <f>BB2</f>
        <v>日</v>
      </c>
      <c r="BC250" s="770"/>
      <c r="BD250" s="770" t="str">
        <f>BD2</f>
        <v>月</v>
      </c>
      <c r="BE250" s="770"/>
      <c r="BF250" s="770" t="str">
        <f>BF2</f>
        <v>火</v>
      </c>
      <c r="BG250" s="770"/>
      <c r="BH250" s="770" t="str">
        <f>BH2</f>
        <v>水</v>
      </c>
      <c r="BI250" s="770"/>
      <c r="BJ250" s="770" t="str">
        <f>BJ2</f>
        <v>木</v>
      </c>
      <c r="BK250" s="770"/>
      <c r="BL250" s="770" t="str">
        <f>BL2</f>
        <v>金</v>
      </c>
      <c r="BM250" s="770"/>
      <c r="BN250" s="761"/>
      <c r="BO250" s="762"/>
      <c r="BP250" s="773"/>
      <c r="BQ250" s="774"/>
    </row>
    <row r="251" spans="2:69" ht="24.95" customHeight="1" thickBot="1">
      <c r="B251" s="748"/>
      <c r="C251" s="750"/>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3" t="s">
        <v>73</v>
      </c>
      <c r="AH251" s="92"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s="6" customFormat="1" ht="50.1" customHeight="1" thickTop="1">
      <c r="B252" s="201" t="s">
        <v>57</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567"/>
      <c r="AG252" s="569"/>
      <c r="AH252" s="567"/>
      <c r="AI252" s="14"/>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8"/>
      <c r="BK252" s="15"/>
      <c r="BL252" s="37"/>
      <c r="BM252" s="14"/>
      <c r="BN252" s="561">
        <f t="shared" ref="BN252:BO255" si="71">SUM(D252,F252,H252,J252,L252,N252,P252,R252,T252,V252,X252,Z252,AB252,AD252,AF252,AH252,AJ252,AL252,AN252,AP252,AR252,AT252,AV252,AX252,AZ252,BB252,BD252,BF252,BH252,BJ252,BL252)</f>
        <v>0</v>
      </c>
      <c r="BO252" s="559">
        <f t="shared" si="71"/>
        <v>0</v>
      </c>
      <c r="BP252" s="558">
        <f t="shared" ref="BP252:BQ255" si="72">BN252</f>
        <v>0</v>
      </c>
      <c r="BQ252" s="559">
        <f t="shared" si="72"/>
        <v>0</v>
      </c>
    </row>
    <row r="253" spans="2:69" s="6" customFormat="1" ht="50.1" customHeight="1">
      <c r="B253" s="202" t="s">
        <v>56</v>
      </c>
      <c r="C253" s="146"/>
      <c r="D253" s="18"/>
      <c r="E253" s="14"/>
      <c r="F253" s="18"/>
      <c r="G253" s="14"/>
      <c r="H253" s="18"/>
      <c r="I253" s="14"/>
      <c r="J253" s="18"/>
      <c r="K253" s="14"/>
      <c r="L253" s="18"/>
      <c r="M253" s="14"/>
      <c r="N253" s="18"/>
      <c r="O253" s="14"/>
      <c r="P253" s="18"/>
      <c r="Q253" s="14"/>
      <c r="R253" s="18"/>
      <c r="S253" s="14"/>
      <c r="T253" s="18"/>
      <c r="U253" s="14"/>
      <c r="V253" s="18"/>
      <c r="W253" s="14"/>
      <c r="X253" s="18">
        <v>2</v>
      </c>
      <c r="Y253" s="14">
        <v>4</v>
      </c>
      <c r="Z253" s="18"/>
      <c r="AA253" s="14"/>
      <c r="AB253" s="18"/>
      <c r="AC253" s="14"/>
      <c r="AD253" s="18"/>
      <c r="AE253" s="14"/>
      <c r="AF253" s="567"/>
      <c r="AG253" s="569"/>
      <c r="AH253" s="567"/>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561">
        <f t="shared" si="71"/>
        <v>2</v>
      </c>
      <c r="BO253" s="559">
        <f t="shared" si="71"/>
        <v>4</v>
      </c>
      <c r="BP253" s="558">
        <f t="shared" si="72"/>
        <v>2</v>
      </c>
      <c r="BQ253" s="559">
        <f t="shared" si="72"/>
        <v>4</v>
      </c>
    </row>
    <row r="254" spans="2:69" s="6" customFormat="1" ht="50.1" customHeight="1">
      <c r="B254" s="201" t="s">
        <v>55</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567"/>
      <c r="AG254" s="569"/>
      <c r="AH254" s="567"/>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561">
        <f t="shared" si="71"/>
        <v>0</v>
      </c>
      <c r="BO254" s="559">
        <f t="shared" si="71"/>
        <v>0</v>
      </c>
      <c r="BP254" s="558">
        <f t="shared" si="72"/>
        <v>0</v>
      </c>
      <c r="BQ254" s="559">
        <f t="shared" si="72"/>
        <v>0</v>
      </c>
    </row>
    <row r="255" spans="2:69" s="6" customFormat="1" ht="50.1" customHeight="1">
      <c r="B255" s="201" t="s">
        <v>328</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567"/>
      <c r="AG255" s="593"/>
      <c r="AH255" s="592"/>
      <c r="AI255" s="20"/>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50"/>
      <c r="BK255" s="21"/>
      <c r="BL255" s="38"/>
      <c r="BM255" s="20"/>
      <c r="BN255" s="561">
        <f t="shared" si="71"/>
        <v>0</v>
      </c>
      <c r="BO255" s="559">
        <f t="shared" si="71"/>
        <v>0</v>
      </c>
      <c r="BP255" s="558">
        <f t="shared" si="72"/>
        <v>0</v>
      </c>
      <c r="BQ255" s="559">
        <f t="shared" si="72"/>
        <v>0</v>
      </c>
    </row>
    <row r="256" spans="2:69" s="6" customFormat="1" ht="50.1" customHeight="1">
      <c r="B256" s="154"/>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567"/>
      <c r="AG256" s="569"/>
      <c r="AH256" s="567"/>
      <c r="AI256" s="14"/>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18"/>
      <c r="BK256" s="15"/>
      <c r="BL256" s="37"/>
      <c r="BM256" s="14"/>
      <c r="BN256" s="17"/>
      <c r="BO256" s="56"/>
      <c r="BP256" s="247"/>
      <c r="BQ256" s="264"/>
    </row>
    <row r="257" spans="2:69" s="6" customFormat="1" ht="15.95" customHeight="1" thickBot="1">
      <c r="B257" s="156"/>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92"/>
      <c r="AG257" s="593"/>
      <c r="AH257" s="592"/>
      <c r="AI257" s="20"/>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50"/>
      <c r="BK257" s="21"/>
      <c r="BL257" s="38"/>
      <c r="BM257" s="20"/>
      <c r="BN257" s="27"/>
      <c r="BO257" s="65"/>
      <c r="BP257" s="260"/>
      <c r="BQ257" s="264"/>
    </row>
    <row r="258" spans="2:69" s="6" customFormat="1" ht="39" customHeight="1" thickBot="1">
      <c r="B258" s="119" t="s">
        <v>101</v>
      </c>
      <c r="C258" s="149"/>
      <c r="D258" s="29">
        <f t="shared" ref="D258:AG258" si="73">SUM(D252:D257)</f>
        <v>0</v>
      </c>
      <c r="E258" s="31">
        <f t="shared" si="73"/>
        <v>0</v>
      </c>
      <c r="F258" s="29">
        <f t="shared" si="73"/>
        <v>0</v>
      </c>
      <c r="G258" s="31">
        <f t="shared" si="73"/>
        <v>0</v>
      </c>
      <c r="H258" s="29">
        <f t="shared" si="73"/>
        <v>0</v>
      </c>
      <c r="I258" s="31">
        <f t="shared" si="73"/>
        <v>0</v>
      </c>
      <c r="J258" s="29">
        <f t="shared" si="73"/>
        <v>0</v>
      </c>
      <c r="K258" s="31">
        <f t="shared" si="73"/>
        <v>0</v>
      </c>
      <c r="L258" s="29">
        <f t="shared" si="73"/>
        <v>0</v>
      </c>
      <c r="M258" s="31">
        <f t="shared" si="73"/>
        <v>0</v>
      </c>
      <c r="N258" s="29">
        <f>SUM(N252:N257)</f>
        <v>0</v>
      </c>
      <c r="O258" s="31">
        <f t="shared" si="73"/>
        <v>0</v>
      </c>
      <c r="P258" s="29">
        <f t="shared" si="73"/>
        <v>0</v>
      </c>
      <c r="Q258" s="31">
        <f t="shared" si="73"/>
        <v>0</v>
      </c>
      <c r="R258" s="29">
        <f t="shared" si="73"/>
        <v>0</v>
      </c>
      <c r="S258" s="31">
        <f t="shared" si="73"/>
        <v>0</v>
      </c>
      <c r="T258" s="29">
        <f t="shared" si="73"/>
        <v>0</v>
      </c>
      <c r="U258" s="31">
        <f t="shared" si="73"/>
        <v>0</v>
      </c>
      <c r="V258" s="29">
        <f t="shared" si="73"/>
        <v>0</v>
      </c>
      <c r="W258" s="31">
        <f t="shared" si="73"/>
        <v>0</v>
      </c>
      <c r="X258" s="29">
        <f t="shared" si="73"/>
        <v>2</v>
      </c>
      <c r="Y258" s="31">
        <f t="shared" si="73"/>
        <v>4</v>
      </c>
      <c r="Z258" s="29">
        <f t="shared" si="73"/>
        <v>0</v>
      </c>
      <c r="AA258" s="31">
        <f t="shared" si="73"/>
        <v>0</v>
      </c>
      <c r="AB258" s="29">
        <f t="shared" si="73"/>
        <v>0</v>
      </c>
      <c r="AC258" s="31">
        <f t="shared" si="73"/>
        <v>0</v>
      </c>
      <c r="AD258" s="29">
        <f t="shared" si="73"/>
        <v>0</v>
      </c>
      <c r="AE258" s="31">
        <f t="shared" si="73"/>
        <v>0</v>
      </c>
      <c r="AF258" s="29">
        <f t="shared" si="73"/>
        <v>0</v>
      </c>
      <c r="AG258" s="31">
        <f t="shared" si="73"/>
        <v>0</v>
      </c>
      <c r="AH258" s="29">
        <f t="shared" ref="AH258:BO258" si="74">SUM(AH252:AH257)</f>
        <v>0</v>
      </c>
      <c r="AI258" s="31">
        <f t="shared" si="74"/>
        <v>0</v>
      </c>
      <c r="AJ258" s="29">
        <f t="shared" si="74"/>
        <v>0</v>
      </c>
      <c r="AK258" s="31">
        <f t="shared" si="74"/>
        <v>0</v>
      </c>
      <c r="AL258" s="29">
        <f t="shared" si="74"/>
        <v>0</v>
      </c>
      <c r="AM258" s="31">
        <f t="shared" si="74"/>
        <v>0</v>
      </c>
      <c r="AN258" s="29">
        <f t="shared" si="74"/>
        <v>0</v>
      </c>
      <c r="AO258" s="31">
        <f t="shared" si="74"/>
        <v>0</v>
      </c>
      <c r="AP258" s="29">
        <f t="shared" si="74"/>
        <v>0</v>
      </c>
      <c r="AQ258" s="31">
        <f t="shared" si="74"/>
        <v>0</v>
      </c>
      <c r="AR258" s="29">
        <f>SUM(AR252:AR257)</f>
        <v>0</v>
      </c>
      <c r="AS258" s="31">
        <f t="shared" si="74"/>
        <v>0</v>
      </c>
      <c r="AT258" s="29">
        <f t="shared" si="74"/>
        <v>0</v>
      </c>
      <c r="AU258" s="31">
        <f t="shared" si="74"/>
        <v>0</v>
      </c>
      <c r="AV258" s="29">
        <f t="shared" si="74"/>
        <v>0</v>
      </c>
      <c r="AW258" s="31">
        <f t="shared" si="74"/>
        <v>0</v>
      </c>
      <c r="AX258" s="29">
        <f t="shared" si="74"/>
        <v>0</v>
      </c>
      <c r="AY258" s="31">
        <f t="shared" si="74"/>
        <v>0</v>
      </c>
      <c r="AZ258" s="29">
        <f t="shared" si="74"/>
        <v>0</v>
      </c>
      <c r="BA258" s="31">
        <f t="shared" si="74"/>
        <v>0</v>
      </c>
      <c r="BB258" s="29">
        <f t="shared" si="74"/>
        <v>0</v>
      </c>
      <c r="BC258" s="31">
        <f t="shared" si="74"/>
        <v>0</v>
      </c>
      <c r="BD258" s="29">
        <f t="shared" si="74"/>
        <v>0</v>
      </c>
      <c r="BE258" s="31">
        <f t="shared" si="74"/>
        <v>0</v>
      </c>
      <c r="BF258" s="29">
        <f t="shared" si="74"/>
        <v>0</v>
      </c>
      <c r="BG258" s="31">
        <f t="shared" si="74"/>
        <v>0</v>
      </c>
      <c r="BH258" s="29">
        <f t="shared" si="74"/>
        <v>0</v>
      </c>
      <c r="BI258" s="31">
        <f t="shared" si="74"/>
        <v>0</v>
      </c>
      <c r="BJ258" s="29">
        <f t="shared" si="74"/>
        <v>0</v>
      </c>
      <c r="BK258" s="41">
        <f t="shared" si="74"/>
        <v>0</v>
      </c>
      <c r="BL258" s="39">
        <f t="shared" si="74"/>
        <v>0</v>
      </c>
      <c r="BM258" s="31">
        <f t="shared" si="74"/>
        <v>0</v>
      </c>
      <c r="BN258" s="43">
        <f>SUM(BN252:BN257)</f>
        <v>2</v>
      </c>
      <c r="BO258" s="108">
        <f t="shared" si="74"/>
        <v>4</v>
      </c>
      <c r="BP258" s="257">
        <f>SUM(BP252:BP257)</f>
        <v>2</v>
      </c>
      <c r="BQ258" s="240">
        <f>SUM(BQ252:BQ257)</f>
        <v>4</v>
      </c>
    </row>
    <row r="259" spans="2:69" ht="23.25" customHeight="1">
      <c r="B259" s="120"/>
      <c r="AJ259" s="7"/>
      <c r="AK259" s="7"/>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row>
    <row r="260" spans="2:69" ht="24.95" customHeight="1" thickBot="1">
      <c r="B260" s="120"/>
      <c r="AJ260" s="7"/>
      <c r="AK260" s="7"/>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43" t="s">
        <v>526</v>
      </c>
      <c r="C261" s="749">
        <f>COUNTIF(B264:B291,"*")</f>
        <v>19</v>
      </c>
      <c r="D261" s="751">
        <v>1</v>
      </c>
      <c r="E261" s="738"/>
      <c r="F261" s="737">
        <v>2</v>
      </c>
      <c r="G261" s="738"/>
      <c r="H261" s="737">
        <v>3</v>
      </c>
      <c r="I261" s="738"/>
      <c r="J261" s="737">
        <v>4</v>
      </c>
      <c r="K261" s="738"/>
      <c r="L261" s="737">
        <v>5</v>
      </c>
      <c r="M261" s="738"/>
      <c r="N261" s="737">
        <v>6</v>
      </c>
      <c r="O261" s="738"/>
      <c r="P261" s="737">
        <v>7</v>
      </c>
      <c r="Q261" s="738"/>
      <c r="R261" s="737">
        <v>8</v>
      </c>
      <c r="S261" s="738"/>
      <c r="T261" s="737">
        <v>9</v>
      </c>
      <c r="U261" s="738"/>
      <c r="V261" s="737">
        <v>10</v>
      </c>
      <c r="W261" s="738"/>
      <c r="X261" s="737">
        <v>11</v>
      </c>
      <c r="Y261" s="738"/>
      <c r="Z261" s="737">
        <v>12</v>
      </c>
      <c r="AA261" s="738"/>
      <c r="AB261" s="737">
        <v>13</v>
      </c>
      <c r="AC261" s="738"/>
      <c r="AD261" s="737">
        <v>14</v>
      </c>
      <c r="AE261" s="738"/>
      <c r="AF261" s="737">
        <v>15</v>
      </c>
      <c r="AG261" s="738"/>
      <c r="AH261" s="738">
        <v>16</v>
      </c>
      <c r="AI261" s="741"/>
      <c r="AJ261" s="741">
        <v>17</v>
      </c>
      <c r="AK261" s="741"/>
      <c r="AL261" s="741">
        <v>18</v>
      </c>
      <c r="AM261" s="741"/>
      <c r="AN261" s="741">
        <v>19</v>
      </c>
      <c r="AO261" s="741"/>
      <c r="AP261" s="741">
        <v>20</v>
      </c>
      <c r="AQ261" s="741"/>
      <c r="AR261" s="741">
        <v>21</v>
      </c>
      <c r="AS261" s="741"/>
      <c r="AT261" s="741">
        <v>22</v>
      </c>
      <c r="AU261" s="741"/>
      <c r="AV261" s="741">
        <v>23</v>
      </c>
      <c r="AW261" s="741"/>
      <c r="AX261" s="741">
        <v>24</v>
      </c>
      <c r="AY261" s="741"/>
      <c r="AZ261" s="741">
        <v>25</v>
      </c>
      <c r="BA261" s="741"/>
      <c r="BB261" s="741">
        <v>26</v>
      </c>
      <c r="BC261" s="741"/>
      <c r="BD261" s="741">
        <v>27</v>
      </c>
      <c r="BE261" s="741"/>
      <c r="BF261" s="741">
        <v>28</v>
      </c>
      <c r="BG261" s="741"/>
      <c r="BH261" s="741">
        <v>29</v>
      </c>
      <c r="BI261" s="741"/>
      <c r="BJ261" s="741">
        <v>30</v>
      </c>
      <c r="BK261" s="741"/>
      <c r="BL261" s="741">
        <v>31</v>
      </c>
      <c r="BM261" s="741"/>
      <c r="BN261" s="738" t="s">
        <v>251</v>
      </c>
      <c r="BO261" s="760"/>
      <c r="BP261" s="771" t="s">
        <v>353</v>
      </c>
      <c r="BQ261" s="772"/>
    </row>
    <row r="262" spans="2:69" ht="24.95" customHeight="1">
      <c r="B262" s="744"/>
      <c r="C262" s="747"/>
      <c r="D262" s="752" t="str">
        <f>D2</f>
        <v>水</v>
      </c>
      <c r="E262" s="740"/>
      <c r="F262" s="739" t="str">
        <f>F2</f>
        <v>木</v>
      </c>
      <c r="G262" s="740"/>
      <c r="H262" s="739" t="str">
        <f>H2</f>
        <v>金</v>
      </c>
      <c r="I262" s="740"/>
      <c r="J262" s="739" t="str">
        <f>J2</f>
        <v>土</v>
      </c>
      <c r="K262" s="740"/>
      <c r="L262" s="739" t="str">
        <f>L2</f>
        <v>日</v>
      </c>
      <c r="M262" s="740"/>
      <c r="N262" s="739" t="str">
        <f>N2</f>
        <v>月</v>
      </c>
      <c r="O262" s="740"/>
      <c r="P262" s="739" t="str">
        <f>P2</f>
        <v>火</v>
      </c>
      <c r="Q262" s="740"/>
      <c r="R262" s="739" t="str">
        <f>R2</f>
        <v>水</v>
      </c>
      <c r="S262" s="740"/>
      <c r="T262" s="739" t="str">
        <f>T2</f>
        <v>木</v>
      </c>
      <c r="U262" s="740"/>
      <c r="V262" s="739" t="str">
        <f>V2</f>
        <v>金</v>
      </c>
      <c r="W262" s="740"/>
      <c r="X262" s="739" t="str">
        <f>X2</f>
        <v>土</v>
      </c>
      <c r="Y262" s="740"/>
      <c r="Z262" s="739" t="str">
        <f>Z2</f>
        <v>日</v>
      </c>
      <c r="AA262" s="740"/>
      <c r="AB262" s="739" t="str">
        <f>AB2</f>
        <v>月</v>
      </c>
      <c r="AC262" s="740"/>
      <c r="AD262" s="739" t="str">
        <f>AD2</f>
        <v>火</v>
      </c>
      <c r="AE262" s="740"/>
      <c r="AF262" s="739" t="str">
        <f>AF2</f>
        <v>水</v>
      </c>
      <c r="AG262" s="740"/>
      <c r="AH262" s="767" t="str">
        <f>AH2</f>
        <v>木</v>
      </c>
      <c r="AI262" s="767"/>
      <c r="AJ262" s="770" t="str">
        <f>AJ2</f>
        <v>金</v>
      </c>
      <c r="AK262" s="770"/>
      <c r="AL262" s="770" t="str">
        <f>AL2</f>
        <v>土</v>
      </c>
      <c r="AM262" s="770"/>
      <c r="AN262" s="770" t="str">
        <f>AN2</f>
        <v>日</v>
      </c>
      <c r="AO262" s="770"/>
      <c r="AP262" s="770" t="str">
        <f>AP2</f>
        <v>月</v>
      </c>
      <c r="AQ262" s="770"/>
      <c r="AR262" s="770" t="str">
        <f>AR2</f>
        <v>火</v>
      </c>
      <c r="AS262" s="770"/>
      <c r="AT262" s="770" t="str">
        <f>AT2</f>
        <v>水</v>
      </c>
      <c r="AU262" s="770"/>
      <c r="AV262" s="770" t="str">
        <f>AV2</f>
        <v>木</v>
      </c>
      <c r="AW262" s="770"/>
      <c r="AX262" s="770" t="str">
        <f>AX2</f>
        <v>金</v>
      </c>
      <c r="AY262" s="770"/>
      <c r="AZ262" s="770" t="str">
        <f>AZ2</f>
        <v>土</v>
      </c>
      <c r="BA262" s="770"/>
      <c r="BB262" s="770" t="str">
        <f>BB2</f>
        <v>日</v>
      </c>
      <c r="BC262" s="770"/>
      <c r="BD262" s="770" t="str">
        <f>BD2</f>
        <v>月</v>
      </c>
      <c r="BE262" s="770"/>
      <c r="BF262" s="770" t="str">
        <f>BF2</f>
        <v>火</v>
      </c>
      <c r="BG262" s="770"/>
      <c r="BH262" s="770" t="str">
        <f>BH2</f>
        <v>水</v>
      </c>
      <c r="BI262" s="770"/>
      <c r="BJ262" s="770" t="str">
        <f>BJ2</f>
        <v>木</v>
      </c>
      <c r="BK262" s="770"/>
      <c r="BL262" s="770" t="str">
        <f>BL2</f>
        <v>金</v>
      </c>
      <c r="BM262" s="770"/>
      <c r="BN262" s="761"/>
      <c r="BO262" s="762"/>
      <c r="BP262" s="773"/>
      <c r="BQ262" s="774"/>
    </row>
    <row r="263" spans="2:69" ht="24.95" customHeight="1">
      <c r="B263" s="744"/>
      <c r="C263" s="747"/>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3" t="s">
        <v>73</v>
      </c>
      <c r="AH263" s="48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s="6" customFormat="1" ht="50.1" customHeight="1">
      <c r="B264" s="203" t="s">
        <v>137</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36"/>
      <c r="AH264" s="89"/>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89"/>
      <c r="BK264" s="42"/>
      <c r="BL264" s="35"/>
      <c r="BM264" s="36"/>
      <c r="BN264" s="669">
        <f>SUM(D264,F264,H264,J264,L264,N264,P264,R264,T264,V264,X264,Z264,AB264,AD264,AF264,AH264,AJ264,AL264,AN264,AP264,AR264,AT264,AV264,AX264,AZ264,BB264,BD264,BF264,BH264,BJ264,BL264)</f>
        <v>0</v>
      </c>
      <c r="BO264" s="670">
        <f>SUM(E264,G264,I264,K264,M264,O264,Q264,S264,U264,W264,Y264,AA264,AC264,AE264,AG264,AI264,AK264,AM264,AO264,AQ264,AS264,AU264,AW264,AY264,BA264,BC264,BE264,BG264,BI264,BK264,BM264)</f>
        <v>0</v>
      </c>
      <c r="BP264" s="671">
        <f>BN264</f>
        <v>0</v>
      </c>
      <c r="BQ264" s="670">
        <f>BO264</f>
        <v>0</v>
      </c>
    </row>
    <row r="265" spans="2:69" s="6" customFormat="1" ht="50.1" customHeight="1">
      <c r="B265" s="201" t="s">
        <v>61</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567"/>
      <c r="AG265" s="569"/>
      <c r="AH265" s="567"/>
      <c r="AI265" s="14"/>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18"/>
      <c r="BK265" s="15"/>
      <c r="BL265" s="37"/>
      <c r="BM265" s="14"/>
      <c r="BN265" s="561">
        <f t="shared" ref="BN265:BN282" si="75">SUM(D265,F265,H265,J265,L265,N265,P265,R265,T265,V265,X265,Z265,AB265,AD265,AF265,AH265,AJ265,AL265,AN265,AP265,AR265,AT265,AV265,AX265,AZ265,BB265,BD265,BF265,BH265,BJ265,BL265)</f>
        <v>0</v>
      </c>
      <c r="BO265" s="559">
        <f t="shared" ref="BO265:BO282" si="76">SUM(E265,G265,I265,K265,M265,O265,Q265,S265,U265,W265,Y265,AA265,AC265,AE265,AG265,AI265,AK265,AM265,AO265,AQ265,AS265,AU265,AW265,AY265,BA265,BC265,BE265,BG265,BI265,BK265,BM265)</f>
        <v>0</v>
      </c>
      <c r="BP265" s="558">
        <f t="shared" ref="BP265:BP282" si="77">BN265</f>
        <v>0</v>
      </c>
      <c r="BQ265" s="559">
        <f t="shared" ref="BQ265:BQ282" si="78">BO265</f>
        <v>0</v>
      </c>
    </row>
    <row r="266" spans="2:69" s="6" customFormat="1" ht="50.1" customHeight="1">
      <c r="B266" s="209" t="s">
        <v>179</v>
      </c>
      <c r="C266" s="146"/>
      <c r="D266" s="18"/>
      <c r="E266" s="14"/>
      <c r="F266" s="18"/>
      <c r="G266" s="14"/>
      <c r="H266" s="18">
        <v>1</v>
      </c>
      <c r="I266" s="14">
        <v>2</v>
      </c>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567">
        <v>1</v>
      </c>
      <c r="AG266" s="569">
        <v>1</v>
      </c>
      <c r="AH266" s="567"/>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561">
        <f t="shared" si="75"/>
        <v>2</v>
      </c>
      <c r="BO266" s="559">
        <f t="shared" si="76"/>
        <v>3</v>
      </c>
      <c r="BP266" s="558">
        <f t="shared" si="77"/>
        <v>2</v>
      </c>
      <c r="BQ266" s="559">
        <f t="shared" si="78"/>
        <v>3</v>
      </c>
    </row>
    <row r="267" spans="2:69" s="6" customFormat="1" ht="50.1" customHeight="1">
      <c r="B267" s="201" t="s">
        <v>126</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567"/>
      <c r="AG267" s="569"/>
      <c r="AH267" s="567"/>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561">
        <f t="shared" si="75"/>
        <v>0</v>
      </c>
      <c r="BO267" s="559">
        <f t="shared" si="76"/>
        <v>0</v>
      </c>
      <c r="BP267" s="558">
        <f t="shared" si="77"/>
        <v>0</v>
      </c>
      <c r="BQ267" s="559">
        <f t="shared" si="78"/>
        <v>0</v>
      </c>
    </row>
    <row r="268" spans="2:69" s="6" customFormat="1" ht="50.1" customHeight="1">
      <c r="B268" s="201" t="s">
        <v>62</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567"/>
      <c r="AG268" s="593"/>
      <c r="AH268" s="592"/>
      <c r="AI268" s="20"/>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50"/>
      <c r="BK268" s="21"/>
      <c r="BL268" s="38"/>
      <c r="BM268" s="20"/>
      <c r="BN268" s="561">
        <f t="shared" si="75"/>
        <v>0</v>
      </c>
      <c r="BO268" s="559">
        <f t="shared" si="76"/>
        <v>0</v>
      </c>
      <c r="BP268" s="558">
        <f t="shared" si="77"/>
        <v>0</v>
      </c>
      <c r="BQ268" s="559">
        <f t="shared" si="78"/>
        <v>0</v>
      </c>
    </row>
    <row r="269" spans="2:69" s="6" customFormat="1" ht="50.1" customHeight="1">
      <c r="B269" s="201" t="s">
        <v>63</v>
      </c>
      <c r="C269" s="146"/>
      <c r="D269" s="18"/>
      <c r="E269" s="14"/>
      <c r="F269" s="18"/>
      <c r="G269" s="14"/>
      <c r="H269" s="18">
        <v>1</v>
      </c>
      <c r="I269" s="14">
        <v>2</v>
      </c>
      <c r="J269" s="18"/>
      <c r="K269" s="14"/>
      <c r="L269" s="18"/>
      <c r="M269" s="14"/>
      <c r="N269" s="18">
        <v>1</v>
      </c>
      <c r="O269" s="14">
        <v>1</v>
      </c>
      <c r="P269" s="18"/>
      <c r="Q269" s="14"/>
      <c r="R269" s="18"/>
      <c r="S269" s="14"/>
      <c r="T269" s="18"/>
      <c r="U269" s="14"/>
      <c r="V269" s="18"/>
      <c r="W269" s="14"/>
      <c r="X269" s="18"/>
      <c r="Y269" s="14"/>
      <c r="Z269" s="18"/>
      <c r="AA269" s="14"/>
      <c r="AB269" s="18"/>
      <c r="AC269" s="14"/>
      <c r="AD269" s="18"/>
      <c r="AE269" s="14"/>
      <c r="AF269" s="567"/>
      <c r="AG269" s="569"/>
      <c r="AH269" s="567"/>
      <c r="AI269" s="14"/>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18"/>
      <c r="BK269" s="15"/>
      <c r="BL269" s="37"/>
      <c r="BM269" s="14"/>
      <c r="BN269" s="561">
        <f t="shared" si="75"/>
        <v>2</v>
      </c>
      <c r="BO269" s="559">
        <f t="shared" si="76"/>
        <v>3</v>
      </c>
      <c r="BP269" s="558">
        <f t="shared" si="77"/>
        <v>2</v>
      </c>
      <c r="BQ269" s="559">
        <f t="shared" si="78"/>
        <v>3</v>
      </c>
    </row>
    <row r="270" spans="2:69" s="6" customFormat="1" ht="50.1" customHeight="1">
      <c r="B270" s="201" t="s">
        <v>135</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567"/>
      <c r="AG270" s="569"/>
      <c r="AH270" s="567"/>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561">
        <f t="shared" si="75"/>
        <v>0</v>
      </c>
      <c r="BO270" s="559">
        <f t="shared" si="76"/>
        <v>0</v>
      </c>
      <c r="BP270" s="558">
        <f t="shared" si="77"/>
        <v>0</v>
      </c>
      <c r="BQ270" s="559">
        <f t="shared" si="78"/>
        <v>0</v>
      </c>
    </row>
    <row r="271" spans="2:69" s="6" customFormat="1" ht="50.1" customHeight="1">
      <c r="B271" s="201" t="s">
        <v>180</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v>1</v>
      </c>
      <c r="AE271" s="14">
        <v>2</v>
      </c>
      <c r="AF271" s="567"/>
      <c r="AG271" s="569"/>
      <c r="AH271" s="567"/>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561">
        <f t="shared" si="75"/>
        <v>1</v>
      </c>
      <c r="BO271" s="559">
        <f t="shared" si="76"/>
        <v>2</v>
      </c>
      <c r="BP271" s="558">
        <f t="shared" si="77"/>
        <v>1</v>
      </c>
      <c r="BQ271" s="559">
        <f t="shared" si="78"/>
        <v>2</v>
      </c>
    </row>
    <row r="272" spans="2:69" s="6" customFormat="1" ht="50.1" customHeight="1">
      <c r="B272" s="201" t="s">
        <v>173</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567"/>
      <c r="AG272" s="569"/>
      <c r="AH272" s="567"/>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561">
        <f t="shared" si="75"/>
        <v>0</v>
      </c>
      <c r="BO272" s="559">
        <f t="shared" si="76"/>
        <v>0</v>
      </c>
      <c r="BP272" s="558">
        <f t="shared" si="77"/>
        <v>0</v>
      </c>
      <c r="BQ272" s="559">
        <f t="shared" si="78"/>
        <v>0</v>
      </c>
    </row>
    <row r="273" spans="2:69" s="6" customFormat="1" ht="50.1" customHeight="1">
      <c r="B273" s="201" t="s">
        <v>67</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567">
        <v>2</v>
      </c>
      <c r="AG273" s="569">
        <v>2</v>
      </c>
      <c r="AH273" s="567"/>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561">
        <f t="shared" si="75"/>
        <v>2</v>
      </c>
      <c r="BO273" s="559">
        <f t="shared" si="76"/>
        <v>2</v>
      </c>
      <c r="BP273" s="558">
        <f t="shared" si="77"/>
        <v>2</v>
      </c>
      <c r="BQ273" s="559">
        <f t="shared" si="78"/>
        <v>2</v>
      </c>
    </row>
    <row r="274" spans="2:69" s="6" customFormat="1" ht="50.1" customHeight="1">
      <c r="B274" s="201" t="s">
        <v>66</v>
      </c>
      <c r="C274" s="146"/>
      <c r="D274" s="18"/>
      <c r="E274" s="14"/>
      <c r="F274" s="18"/>
      <c r="G274" s="14"/>
      <c r="H274" s="18"/>
      <c r="I274" s="14"/>
      <c r="J274" s="18"/>
      <c r="K274" s="14"/>
      <c r="L274" s="18"/>
      <c r="M274" s="14"/>
      <c r="N274" s="18"/>
      <c r="O274" s="14"/>
      <c r="P274" s="18"/>
      <c r="Q274" s="14"/>
      <c r="R274" s="18"/>
      <c r="S274" s="14"/>
      <c r="T274" s="18"/>
      <c r="U274" s="14"/>
      <c r="V274" s="18"/>
      <c r="W274" s="14"/>
      <c r="X274" s="18">
        <v>1</v>
      </c>
      <c r="Y274" s="14">
        <v>2</v>
      </c>
      <c r="Z274" s="18"/>
      <c r="AA274" s="14"/>
      <c r="AB274" s="18"/>
      <c r="AC274" s="14"/>
      <c r="AD274" s="18">
        <v>1</v>
      </c>
      <c r="AE274" s="14">
        <v>2</v>
      </c>
      <c r="AF274" s="567"/>
      <c r="AG274" s="569"/>
      <c r="AH274" s="567"/>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561">
        <f t="shared" si="75"/>
        <v>2</v>
      </c>
      <c r="BO274" s="559">
        <f t="shared" si="76"/>
        <v>4</v>
      </c>
      <c r="BP274" s="558">
        <f t="shared" si="77"/>
        <v>2</v>
      </c>
      <c r="BQ274" s="559">
        <f t="shared" si="78"/>
        <v>4</v>
      </c>
    </row>
    <row r="275" spans="2:69" s="6" customFormat="1" ht="50.1" customHeight="1">
      <c r="B275" s="201" t="s">
        <v>65</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567"/>
      <c r="AG275" s="569"/>
      <c r="AH275" s="567"/>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561">
        <f t="shared" si="75"/>
        <v>0</v>
      </c>
      <c r="BO275" s="559">
        <f t="shared" si="76"/>
        <v>0</v>
      </c>
      <c r="BP275" s="558">
        <f t="shared" si="77"/>
        <v>0</v>
      </c>
      <c r="BQ275" s="559">
        <f t="shared" si="78"/>
        <v>0</v>
      </c>
    </row>
    <row r="276" spans="2:69" s="6" customFormat="1" ht="50.1" customHeight="1">
      <c r="B276" s="201" t="s">
        <v>68</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567"/>
      <c r="AG276" s="569"/>
      <c r="AH276" s="567"/>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561">
        <f t="shared" si="75"/>
        <v>0</v>
      </c>
      <c r="BO276" s="559">
        <f t="shared" si="76"/>
        <v>0</v>
      </c>
      <c r="BP276" s="558">
        <f t="shared" si="77"/>
        <v>0</v>
      </c>
      <c r="BQ276" s="559">
        <f t="shared" si="78"/>
        <v>0</v>
      </c>
    </row>
    <row r="277" spans="2:69" s="6" customFormat="1" ht="50.1" customHeight="1">
      <c r="B277" s="201" t="s">
        <v>136</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567"/>
      <c r="AG277" s="569"/>
      <c r="AH277" s="567"/>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561">
        <f t="shared" si="75"/>
        <v>0</v>
      </c>
      <c r="BO277" s="559">
        <f t="shared" si="76"/>
        <v>0</v>
      </c>
      <c r="BP277" s="558">
        <f t="shared" si="77"/>
        <v>0</v>
      </c>
      <c r="BQ277" s="559">
        <f t="shared" si="78"/>
        <v>0</v>
      </c>
    </row>
    <row r="278" spans="2:69" s="6" customFormat="1" ht="50.1" customHeight="1">
      <c r="B278" s="201" t="s">
        <v>133</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567"/>
      <c r="AG278" s="569"/>
      <c r="AH278" s="567"/>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561">
        <f t="shared" si="75"/>
        <v>0</v>
      </c>
      <c r="BO278" s="559">
        <f t="shared" si="76"/>
        <v>0</v>
      </c>
      <c r="BP278" s="558">
        <f t="shared" si="77"/>
        <v>0</v>
      </c>
      <c r="BQ278" s="559">
        <f t="shared" si="78"/>
        <v>0</v>
      </c>
    </row>
    <row r="279" spans="2:69" s="6" customFormat="1" ht="50.1" customHeight="1">
      <c r="B279" s="201" t="s">
        <v>113</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567"/>
      <c r="AG279" s="569"/>
      <c r="AH279" s="567"/>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561">
        <f t="shared" si="75"/>
        <v>0</v>
      </c>
      <c r="BO279" s="559">
        <f t="shared" si="76"/>
        <v>0</v>
      </c>
      <c r="BP279" s="558">
        <f t="shared" si="77"/>
        <v>0</v>
      </c>
      <c r="BQ279" s="559">
        <f t="shared" si="78"/>
        <v>0</v>
      </c>
    </row>
    <row r="280" spans="2:69" s="6" customFormat="1" ht="50.1" customHeight="1">
      <c r="B280" s="201" t="s">
        <v>149</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567"/>
      <c r="AG280" s="593"/>
      <c r="AH280" s="567"/>
      <c r="AI280" s="20"/>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50"/>
      <c r="BK280" s="21"/>
      <c r="BL280" s="38"/>
      <c r="BM280" s="20"/>
      <c r="BN280" s="561">
        <f t="shared" si="75"/>
        <v>0</v>
      </c>
      <c r="BO280" s="559">
        <f t="shared" si="76"/>
        <v>0</v>
      </c>
      <c r="BP280" s="558">
        <f t="shared" si="77"/>
        <v>0</v>
      </c>
      <c r="BQ280" s="559">
        <f t="shared" si="78"/>
        <v>0</v>
      </c>
    </row>
    <row r="281" spans="2:69" s="6" customFormat="1" ht="50.1" customHeight="1">
      <c r="B281" s="201" t="s">
        <v>178</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567"/>
      <c r="AG281" s="593"/>
      <c r="AH281" s="567"/>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561">
        <f t="shared" si="75"/>
        <v>0</v>
      </c>
      <c r="BO281" s="559">
        <f t="shared" si="76"/>
        <v>0</v>
      </c>
      <c r="BP281" s="558">
        <f t="shared" si="77"/>
        <v>0</v>
      </c>
      <c r="BQ281" s="559">
        <f t="shared" si="78"/>
        <v>0</v>
      </c>
    </row>
    <row r="282" spans="2:69" s="6" customFormat="1" ht="50.1" customHeight="1">
      <c r="B282" s="201" t="s">
        <v>196</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567"/>
      <c r="AG282" s="593"/>
      <c r="AH282" s="567"/>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561">
        <f t="shared" si="75"/>
        <v>0</v>
      </c>
      <c r="BO282" s="559">
        <f t="shared" si="76"/>
        <v>0</v>
      </c>
      <c r="BP282" s="558">
        <f t="shared" si="77"/>
        <v>0</v>
      </c>
      <c r="BQ282" s="559">
        <f t="shared" si="78"/>
        <v>0</v>
      </c>
    </row>
    <row r="283" spans="2:69" s="6" customFormat="1" ht="50.1" customHeight="1">
      <c r="B283" s="201"/>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567"/>
      <c r="AG283" s="593"/>
      <c r="AH283" s="567"/>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7"/>
      <c r="BO283" s="56"/>
      <c r="BP283" s="247"/>
      <c r="BQ283" s="264"/>
    </row>
    <row r="284" spans="2:69" s="6" customFormat="1" ht="15.95" customHeight="1">
      <c r="B284" s="154"/>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567"/>
      <c r="AG284" s="593"/>
      <c r="AH284" s="567"/>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7"/>
      <c r="BO284" s="56"/>
      <c r="BP284" s="247"/>
      <c r="BQ284" s="264"/>
    </row>
    <row r="285" spans="2:69" s="6" customFormat="1" ht="15.95" customHeight="1">
      <c r="B285" s="154"/>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567"/>
      <c r="AG285" s="593"/>
      <c r="AH285" s="592"/>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7"/>
      <c r="BO285" s="56"/>
      <c r="BP285" s="247"/>
      <c r="BQ285" s="264"/>
    </row>
    <row r="286" spans="2:69" s="6" customFormat="1" ht="15.95" customHeight="1">
      <c r="B286" s="154"/>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567"/>
      <c r="AG286" s="611"/>
      <c r="AH286" s="592"/>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7"/>
      <c r="BO286" s="56"/>
      <c r="BP286" s="247"/>
      <c r="BQ286" s="264"/>
    </row>
    <row r="287" spans="2:69" s="6" customFormat="1" ht="15.95" customHeight="1">
      <c r="B287" s="154"/>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92"/>
      <c r="AG287" s="593"/>
      <c r="AH287" s="592"/>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7"/>
      <c r="BO287" s="56"/>
      <c r="BP287" s="247"/>
      <c r="BQ287" s="264"/>
    </row>
    <row r="288" spans="2:69" s="6" customFormat="1" ht="15.95" customHeight="1">
      <c r="B288" s="154"/>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92"/>
      <c r="AG288" s="593"/>
      <c r="AH288" s="592"/>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7"/>
      <c r="BO288" s="56"/>
      <c r="BP288" s="247"/>
      <c r="BQ288" s="264"/>
    </row>
    <row r="289" spans="2:69" s="6" customFormat="1" ht="15.95" customHeight="1">
      <c r="B289" s="154"/>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92"/>
      <c r="AG289" s="593"/>
      <c r="AH289" s="592"/>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7"/>
      <c r="BO289" s="56"/>
      <c r="BP289" s="247"/>
      <c r="BQ289" s="264"/>
    </row>
    <row r="290" spans="2:69" s="6" customFormat="1" ht="15.95" customHeight="1">
      <c r="B290" s="154"/>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92"/>
      <c r="AG290" s="593"/>
      <c r="AH290" s="592"/>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7"/>
      <c r="BO290" s="56"/>
      <c r="BP290" s="247"/>
      <c r="BQ290" s="264"/>
    </row>
    <row r="291" spans="2:69" s="6" customFormat="1" ht="15.95" customHeight="1" thickBot="1">
      <c r="B291" s="154"/>
      <c r="C291" s="146"/>
      <c r="D291" s="18"/>
      <c r="E291" s="14"/>
      <c r="F291" s="18"/>
      <c r="G291" s="14"/>
      <c r="H291" s="18"/>
      <c r="I291" s="14"/>
      <c r="J291" s="18"/>
      <c r="K291" s="14"/>
      <c r="L291" s="18"/>
      <c r="M291" s="14"/>
      <c r="N291" s="18"/>
      <c r="O291" s="14"/>
      <c r="P291" s="18"/>
      <c r="Q291" s="14"/>
      <c r="R291" s="18"/>
      <c r="S291" s="14"/>
      <c r="T291" s="18"/>
      <c r="U291" s="14"/>
      <c r="V291" s="18"/>
      <c r="W291" s="14"/>
      <c r="X291" s="18"/>
      <c r="Y291" s="14"/>
      <c r="Z291" s="18"/>
      <c r="AA291" s="14"/>
      <c r="AB291" s="18"/>
      <c r="AC291" s="14"/>
      <c r="AD291" s="18"/>
      <c r="AE291" s="14"/>
      <c r="AF291" s="567"/>
      <c r="AG291" s="569"/>
      <c r="AH291" s="567"/>
      <c r="AI291" s="14"/>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18"/>
      <c r="BK291" s="15"/>
      <c r="BL291" s="37"/>
      <c r="BM291" s="14"/>
      <c r="BN291" s="17"/>
      <c r="BO291" s="56"/>
      <c r="BP291" s="260"/>
      <c r="BQ291" s="264"/>
    </row>
    <row r="292" spans="2:69" s="6" customFormat="1" ht="48" customHeight="1" thickBot="1">
      <c r="B292" s="121" t="s">
        <v>101</v>
      </c>
      <c r="C292" s="148"/>
      <c r="D292" s="172">
        <f t="shared" ref="D292:AI292" si="79">SUM(D264:D291)</f>
        <v>0</v>
      </c>
      <c r="E292" s="64">
        <f t="shared" si="79"/>
        <v>0</v>
      </c>
      <c r="F292" s="172">
        <f t="shared" si="79"/>
        <v>0</v>
      </c>
      <c r="G292" s="64">
        <f t="shared" si="79"/>
        <v>0</v>
      </c>
      <c r="H292" s="172">
        <f t="shared" si="79"/>
        <v>2</v>
      </c>
      <c r="I292" s="64">
        <f t="shared" si="79"/>
        <v>4</v>
      </c>
      <c r="J292" s="172">
        <f t="shared" si="79"/>
        <v>0</v>
      </c>
      <c r="K292" s="64">
        <f t="shared" si="79"/>
        <v>0</v>
      </c>
      <c r="L292" s="172">
        <f t="shared" si="79"/>
        <v>0</v>
      </c>
      <c r="M292" s="64">
        <f t="shared" si="79"/>
        <v>0</v>
      </c>
      <c r="N292" s="172">
        <f t="shared" si="79"/>
        <v>1</v>
      </c>
      <c r="O292" s="64">
        <f t="shared" si="79"/>
        <v>1</v>
      </c>
      <c r="P292" s="172">
        <f t="shared" si="79"/>
        <v>0</v>
      </c>
      <c r="Q292" s="64">
        <f t="shared" si="79"/>
        <v>0</v>
      </c>
      <c r="R292" s="172">
        <f t="shared" si="79"/>
        <v>0</v>
      </c>
      <c r="S292" s="64">
        <f t="shared" si="79"/>
        <v>0</v>
      </c>
      <c r="T292" s="172">
        <f t="shared" si="79"/>
        <v>0</v>
      </c>
      <c r="U292" s="64">
        <f t="shared" si="79"/>
        <v>0</v>
      </c>
      <c r="V292" s="172">
        <f t="shared" si="79"/>
        <v>0</v>
      </c>
      <c r="W292" s="64">
        <f t="shared" si="79"/>
        <v>0</v>
      </c>
      <c r="X292" s="172">
        <f t="shared" si="79"/>
        <v>1</v>
      </c>
      <c r="Y292" s="64">
        <f t="shared" si="79"/>
        <v>2</v>
      </c>
      <c r="Z292" s="172">
        <f t="shared" si="79"/>
        <v>0</v>
      </c>
      <c r="AA292" s="64">
        <f t="shared" si="79"/>
        <v>0</v>
      </c>
      <c r="AB292" s="172">
        <f t="shared" si="79"/>
        <v>0</v>
      </c>
      <c r="AC292" s="64">
        <f t="shared" si="79"/>
        <v>0</v>
      </c>
      <c r="AD292" s="172">
        <f t="shared" si="79"/>
        <v>2</v>
      </c>
      <c r="AE292" s="64">
        <f t="shared" si="79"/>
        <v>4</v>
      </c>
      <c r="AF292" s="172">
        <f t="shared" si="79"/>
        <v>3</v>
      </c>
      <c r="AG292" s="64">
        <f t="shared" si="79"/>
        <v>3</v>
      </c>
      <c r="AH292" s="29">
        <f t="shared" si="79"/>
        <v>0</v>
      </c>
      <c r="AI292" s="31">
        <f t="shared" si="79"/>
        <v>0</v>
      </c>
      <c r="AJ292" s="29">
        <f t="shared" ref="AJ292:BO292" si="80">SUM(AJ264:AJ291)</f>
        <v>0</v>
      </c>
      <c r="AK292" s="31">
        <f t="shared" si="80"/>
        <v>0</v>
      </c>
      <c r="AL292" s="29">
        <f t="shared" si="80"/>
        <v>0</v>
      </c>
      <c r="AM292" s="31">
        <f t="shared" si="80"/>
        <v>0</v>
      </c>
      <c r="AN292" s="29">
        <f t="shared" si="80"/>
        <v>0</v>
      </c>
      <c r="AO292" s="31">
        <f t="shared" si="80"/>
        <v>0</v>
      </c>
      <c r="AP292" s="29">
        <f t="shared" si="80"/>
        <v>0</v>
      </c>
      <c r="AQ292" s="31">
        <f t="shared" si="80"/>
        <v>0</v>
      </c>
      <c r="AR292" s="29">
        <f t="shared" si="80"/>
        <v>0</v>
      </c>
      <c r="AS292" s="31">
        <f t="shared" si="80"/>
        <v>0</v>
      </c>
      <c r="AT292" s="29">
        <f t="shared" si="80"/>
        <v>0</v>
      </c>
      <c r="AU292" s="31">
        <f t="shared" si="80"/>
        <v>0</v>
      </c>
      <c r="AV292" s="29">
        <f t="shared" si="80"/>
        <v>0</v>
      </c>
      <c r="AW292" s="31">
        <f t="shared" si="80"/>
        <v>0</v>
      </c>
      <c r="AX292" s="29">
        <f t="shared" si="80"/>
        <v>0</v>
      </c>
      <c r="AY292" s="31">
        <f t="shared" si="80"/>
        <v>0</v>
      </c>
      <c r="AZ292" s="29">
        <f t="shared" si="80"/>
        <v>0</v>
      </c>
      <c r="BA292" s="31">
        <f t="shared" si="80"/>
        <v>0</v>
      </c>
      <c r="BB292" s="29">
        <f t="shared" si="80"/>
        <v>0</v>
      </c>
      <c r="BC292" s="31">
        <f t="shared" si="80"/>
        <v>0</v>
      </c>
      <c r="BD292" s="29">
        <f t="shared" si="80"/>
        <v>0</v>
      </c>
      <c r="BE292" s="31">
        <f t="shared" si="80"/>
        <v>0</v>
      </c>
      <c r="BF292" s="29">
        <f t="shared" si="80"/>
        <v>0</v>
      </c>
      <c r="BG292" s="31">
        <f t="shared" si="80"/>
        <v>0</v>
      </c>
      <c r="BH292" s="29">
        <f t="shared" si="80"/>
        <v>0</v>
      </c>
      <c r="BI292" s="31">
        <f t="shared" si="80"/>
        <v>0</v>
      </c>
      <c r="BJ292" s="29">
        <f t="shared" si="80"/>
        <v>0</v>
      </c>
      <c r="BK292" s="41">
        <f t="shared" si="80"/>
        <v>0</v>
      </c>
      <c r="BL292" s="39">
        <f t="shared" si="80"/>
        <v>0</v>
      </c>
      <c r="BM292" s="31">
        <f t="shared" si="80"/>
        <v>0</v>
      </c>
      <c r="BN292" s="32">
        <f t="shared" si="80"/>
        <v>9</v>
      </c>
      <c r="BO292" s="40">
        <f t="shared" si="80"/>
        <v>14</v>
      </c>
      <c r="BP292" s="257">
        <f>SUM(BP264:BP291)</f>
        <v>9</v>
      </c>
      <c r="BQ292" s="240">
        <f>SUM(BQ264:BQ291)</f>
        <v>14</v>
      </c>
    </row>
    <row r="293" spans="2:69" ht="24.75" customHeight="1">
      <c r="B293" s="120"/>
      <c r="AJ293" s="7"/>
      <c r="AK293" s="7"/>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row>
    <row r="294" spans="2:69" ht="24.75" customHeight="1" thickBot="1">
      <c r="B294" s="120"/>
      <c r="AG294" s="8"/>
      <c r="AJ294" s="7"/>
      <c r="AK294" s="7"/>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95" customHeight="1">
      <c r="B295" s="743" t="s">
        <v>147</v>
      </c>
      <c r="C295" s="749">
        <f>COUNTIF(B298:B326,"*")</f>
        <v>26</v>
      </c>
      <c r="D295" s="751">
        <v>1</v>
      </c>
      <c r="E295" s="738"/>
      <c r="F295" s="737">
        <v>2</v>
      </c>
      <c r="G295" s="738"/>
      <c r="H295" s="737">
        <v>3</v>
      </c>
      <c r="I295" s="738"/>
      <c r="J295" s="737">
        <v>4</v>
      </c>
      <c r="K295" s="738"/>
      <c r="L295" s="737">
        <v>5</v>
      </c>
      <c r="M295" s="738"/>
      <c r="N295" s="737">
        <v>6</v>
      </c>
      <c r="O295" s="738"/>
      <c r="P295" s="737">
        <v>7</v>
      </c>
      <c r="Q295" s="738"/>
      <c r="R295" s="737">
        <v>8</v>
      </c>
      <c r="S295" s="738"/>
      <c r="T295" s="737">
        <v>9</v>
      </c>
      <c r="U295" s="738"/>
      <c r="V295" s="737">
        <v>10</v>
      </c>
      <c r="W295" s="738"/>
      <c r="X295" s="737">
        <v>11</v>
      </c>
      <c r="Y295" s="738"/>
      <c r="Z295" s="737">
        <v>12</v>
      </c>
      <c r="AA295" s="738"/>
      <c r="AB295" s="737">
        <v>13</v>
      </c>
      <c r="AC295" s="738"/>
      <c r="AD295" s="737">
        <v>14</v>
      </c>
      <c r="AE295" s="742"/>
      <c r="AF295" s="737">
        <v>15</v>
      </c>
      <c r="AG295" s="738"/>
      <c r="AH295" s="738">
        <v>16</v>
      </c>
      <c r="AI295" s="741"/>
      <c r="AJ295" s="741">
        <v>17</v>
      </c>
      <c r="AK295" s="741"/>
      <c r="AL295" s="741">
        <v>18</v>
      </c>
      <c r="AM295" s="741"/>
      <c r="AN295" s="741">
        <v>19</v>
      </c>
      <c r="AO295" s="741"/>
      <c r="AP295" s="741">
        <v>20</v>
      </c>
      <c r="AQ295" s="741"/>
      <c r="AR295" s="741">
        <v>21</v>
      </c>
      <c r="AS295" s="741"/>
      <c r="AT295" s="741">
        <v>22</v>
      </c>
      <c r="AU295" s="741"/>
      <c r="AV295" s="741">
        <v>23</v>
      </c>
      <c r="AW295" s="741"/>
      <c r="AX295" s="741">
        <v>24</v>
      </c>
      <c r="AY295" s="741"/>
      <c r="AZ295" s="741">
        <v>25</v>
      </c>
      <c r="BA295" s="741"/>
      <c r="BB295" s="741">
        <v>26</v>
      </c>
      <c r="BC295" s="741"/>
      <c r="BD295" s="741">
        <v>27</v>
      </c>
      <c r="BE295" s="741"/>
      <c r="BF295" s="741">
        <v>28</v>
      </c>
      <c r="BG295" s="741"/>
      <c r="BH295" s="741">
        <v>29</v>
      </c>
      <c r="BI295" s="741"/>
      <c r="BJ295" s="741">
        <v>30</v>
      </c>
      <c r="BK295" s="741"/>
      <c r="BL295" s="741">
        <v>31</v>
      </c>
      <c r="BM295" s="741"/>
      <c r="BN295" s="738" t="s">
        <v>251</v>
      </c>
      <c r="BO295" s="760"/>
      <c r="BP295" s="771" t="s">
        <v>353</v>
      </c>
      <c r="BQ295" s="772"/>
    </row>
    <row r="296" spans="2:69" ht="24.95" customHeight="1">
      <c r="B296" s="744"/>
      <c r="C296" s="747"/>
      <c r="D296" s="752" t="str">
        <f>D2</f>
        <v>水</v>
      </c>
      <c r="E296" s="740"/>
      <c r="F296" s="739" t="str">
        <f>F2</f>
        <v>木</v>
      </c>
      <c r="G296" s="740"/>
      <c r="H296" s="739" t="str">
        <f>H2</f>
        <v>金</v>
      </c>
      <c r="I296" s="740"/>
      <c r="J296" s="739" t="str">
        <f>J2</f>
        <v>土</v>
      </c>
      <c r="K296" s="740"/>
      <c r="L296" s="739" t="str">
        <f>L2</f>
        <v>日</v>
      </c>
      <c r="M296" s="740"/>
      <c r="N296" s="739" t="str">
        <f>N2</f>
        <v>月</v>
      </c>
      <c r="O296" s="740"/>
      <c r="P296" s="739" t="str">
        <f>P2</f>
        <v>火</v>
      </c>
      <c r="Q296" s="740"/>
      <c r="R296" s="739" t="str">
        <f>R2</f>
        <v>水</v>
      </c>
      <c r="S296" s="740"/>
      <c r="T296" s="739" t="str">
        <f>T2</f>
        <v>木</v>
      </c>
      <c r="U296" s="740"/>
      <c r="V296" s="739" t="str">
        <f>V2</f>
        <v>金</v>
      </c>
      <c r="W296" s="740"/>
      <c r="X296" s="739" t="str">
        <f>X2</f>
        <v>土</v>
      </c>
      <c r="Y296" s="740"/>
      <c r="Z296" s="739" t="str">
        <f>Z2</f>
        <v>日</v>
      </c>
      <c r="AA296" s="740"/>
      <c r="AB296" s="739" t="str">
        <f>AB2</f>
        <v>月</v>
      </c>
      <c r="AC296" s="740"/>
      <c r="AD296" s="739" t="str">
        <f>AD2</f>
        <v>火</v>
      </c>
      <c r="AE296" s="756"/>
      <c r="AF296" s="739" t="str">
        <f>AF2</f>
        <v>水</v>
      </c>
      <c r="AG296" s="740"/>
      <c r="AH296" s="767" t="str">
        <f>AH2</f>
        <v>木</v>
      </c>
      <c r="AI296" s="767"/>
      <c r="AJ296" s="770" t="str">
        <f>AJ2</f>
        <v>金</v>
      </c>
      <c r="AK296" s="770"/>
      <c r="AL296" s="770" t="str">
        <f>AL2</f>
        <v>土</v>
      </c>
      <c r="AM296" s="770"/>
      <c r="AN296" s="770" t="str">
        <f>AN2</f>
        <v>日</v>
      </c>
      <c r="AO296" s="770"/>
      <c r="AP296" s="770" t="str">
        <f>AP2</f>
        <v>月</v>
      </c>
      <c r="AQ296" s="770"/>
      <c r="AR296" s="770" t="str">
        <f>AR2</f>
        <v>火</v>
      </c>
      <c r="AS296" s="770"/>
      <c r="AT296" s="770" t="str">
        <f>AT2</f>
        <v>水</v>
      </c>
      <c r="AU296" s="770"/>
      <c r="AV296" s="770" t="str">
        <f>AV2</f>
        <v>木</v>
      </c>
      <c r="AW296" s="770"/>
      <c r="AX296" s="770" t="str">
        <f>AX2</f>
        <v>金</v>
      </c>
      <c r="AY296" s="770"/>
      <c r="AZ296" s="770" t="str">
        <f>AZ2</f>
        <v>土</v>
      </c>
      <c r="BA296" s="770"/>
      <c r="BB296" s="770" t="str">
        <f>BB2</f>
        <v>日</v>
      </c>
      <c r="BC296" s="770"/>
      <c r="BD296" s="770" t="str">
        <f>BD2</f>
        <v>月</v>
      </c>
      <c r="BE296" s="770"/>
      <c r="BF296" s="770" t="str">
        <f>BF2</f>
        <v>火</v>
      </c>
      <c r="BG296" s="770"/>
      <c r="BH296" s="770" t="str">
        <f>BH2</f>
        <v>水</v>
      </c>
      <c r="BI296" s="770"/>
      <c r="BJ296" s="770" t="str">
        <f>BJ2</f>
        <v>木</v>
      </c>
      <c r="BK296" s="770"/>
      <c r="BL296" s="770" t="str">
        <f>BL2</f>
        <v>金</v>
      </c>
      <c r="BM296" s="770"/>
      <c r="BN296" s="761"/>
      <c r="BO296" s="762"/>
      <c r="BP296" s="773"/>
      <c r="BQ296" s="774"/>
    </row>
    <row r="297" spans="2:69" ht="24.95" customHeight="1" thickBot="1">
      <c r="B297" s="744"/>
      <c r="C297" s="747"/>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584" t="s">
        <v>73</v>
      </c>
      <c r="AF297" s="552" t="s">
        <v>72</v>
      </c>
      <c r="AG297" s="583" t="s">
        <v>73</v>
      </c>
      <c r="AH297" s="482" t="s">
        <v>72</v>
      </c>
      <c r="AI297" s="481"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45" customHeight="1" thickTop="1">
      <c r="B298" s="205" t="s">
        <v>27</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10"/>
      <c r="AF298" s="179"/>
      <c r="AG298" s="9"/>
      <c r="AH298" s="46"/>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46"/>
      <c r="BK298" s="9"/>
      <c r="BL298" s="46"/>
      <c r="BM298" s="10"/>
      <c r="BN298" s="561">
        <f>SUM(D298,F298,H298,J298,L298,N298,P298,R298,T298,V298,X298,Z298,AB298,AD298,AF298,AH298,AJ298,AL298,AN298,AP298,AR298,AT298,AV298,AX298,AZ298,BB298,BD298,BF298,BH298,BJ298,BL298)</f>
        <v>0</v>
      </c>
      <c r="BO298" s="559">
        <f>SUM(E298,G298,I298,K298,M298,O298,Q298,S298,U298,W298,Y298,AA298,AC298,AE298,AG298,AI298,AK298,AM298,AO298,AQ298,AS298,AU298,AW298,AY298,BA298,BC298,BE298,BG298,BI298,BK298,BM298)</f>
        <v>0</v>
      </c>
      <c r="BP298" s="558">
        <f>BN298</f>
        <v>0</v>
      </c>
      <c r="BQ298" s="559">
        <f>BO298</f>
        <v>0</v>
      </c>
    </row>
    <row r="299" spans="2:69" s="6" customFormat="1" ht="45" customHeight="1">
      <c r="B299" s="201" t="s">
        <v>29</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600"/>
      <c r="AF299" s="601"/>
      <c r="AG299" s="569"/>
      <c r="AH299" s="567"/>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18"/>
      <c r="BK299" s="14"/>
      <c r="BL299" s="18"/>
      <c r="BM299" s="15"/>
      <c r="BN299" s="561">
        <f t="shared" ref="BN299:BN322" si="81">SUM(D299,F299,H299,J299,L299,N299,P299,R299,T299,V299,X299,Z299,AB299,AD299,AF299,AH299,AJ299,AL299,AN299,AP299,AR299,AT299,AV299,AX299,AZ299,BB299,BD299,BF299,BH299,BJ299,BL299)</f>
        <v>0</v>
      </c>
      <c r="BO299" s="559">
        <f t="shared" ref="BO299:BO322" si="82">SUM(E299,G299,I299,K299,M299,O299,Q299,S299,U299,W299,Y299,AA299,AC299,AE299,AG299,AI299,AK299,AM299,AO299,AQ299,AS299,AU299,AW299,AY299,BA299,BC299,BE299,BG299,BI299,BK299,BM299)</f>
        <v>0</v>
      </c>
      <c r="BP299" s="558">
        <f t="shared" ref="BP299:BP322" si="83">BN299</f>
        <v>0</v>
      </c>
      <c r="BQ299" s="559">
        <f t="shared" ref="BQ299:BQ322" si="84">BO299</f>
        <v>0</v>
      </c>
    </row>
    <row r="300" spans="2:69" s="6" customFormat="1" ht="45" customHeight="1">
      <c r="B300" s="201" t="s">
        <v>198</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600"/>
      <c r="AF300" s="601"/>
      <c r="AG300" s="569"/>
      <c r="AH300" s="567"/>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561">
        <f t="shared" si="81"/>
        <v>0</v>
      </c>
      <c r="BO300" s="559">
        <f t="shared" si="82"/>
        <v>0</v>
      </c>
      <c r="BP300" s="558">
        <f t="shared" si="83"/>
        <v>0</v>
      </c>
      <c r="BQ300" s="559">
        <f t="shared" si="84"/>
        <v>0</v>
      </c>
    </row>
    <row r="301" spans="2:69" s="6" customFormat="1" ht="45" customHeight="1">
      <c r="B301" s="201" t="s">
        <v>157</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600"/>
      <c r="AF301" s="601"/>
      <c r="AG301" s="569"/>
      <c r="AH301" s="567"/>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561">
        <f t="shared" si="81"/>
        <v>0</v>
      </c>
      <c r="BO301" s="559">
        <f t="shared" si="82"/>
        <v>0</v>
      </c>
      <c r="BP301" s="558">
        <f t="shared" si="83"/>
        <v>0</v>
      </c>
      <c r="BQ301" s="559">
        <f t="shared" si="84"/>
        <v>0</v>
      </c>
    </row>
    <row r="302" spans="2:69" s="6" customFormat="1" ht="45" customHeight="1">
      <c r="B302" s="201" t="s">
        <v>351</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594"/>
      <c r="AF302" s="601"/>
      <c r="AG302" s="593"/>
      <c r="AH302" s="567"/>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50"/>
      <c r="BK302" s="20"/>
      <c r="BL302" s="50"/>
      <c r="BM302" s="21"/>
      <c r="BN302" s="561">
        <f t="shared" si="81"/>
        <v>0</v>
      </c>
      <c r="BO302" s="559">
        <f t="shared" si="82"/>
        <v>0</v>
      </c>
      <c r="BP302" s="558">
        <f t="shared" si="83"/>
        <v>0</v>
      </c>
      <c r="BQ302" s="559">
        <f t="shared" si="84"/>
        <v>0</v>
      </c>
    </row>
    <row r="303" spans="2:69" s="6" customFormat="1" ht="45" customHeight="1">
      <c r="B303" s="201" t="s">
        <v>103</v>
      </c>
      <c r="C303" s="146"/>
      <c r="D303" s="18"/>
      <c r="E303" s="14"/>
      <c r="F303" s="18"/>
      <c r="G303" s="14"/>
      <c r="H303" s="18"/>
      <c r="I303" s="14"/>
      <c r="J303" s="18"/>
      <c r="K303" s="14"/>
      <c r="L303" s="18"/>
      <c r="M303" s="14"/>
      <c r="N303" s="18"/>
      <c r="O303" s="14"/>
      <c r="P303" s="18"/>
      <c r="Q303" s="14"/>
      <c r="R303" s="18"/>
      <c r="S303" s="14"/>
      <c r="T303" s="18">
        <v>1</v>
      </c>
      <c r="U303" s="14">
        <v>2</v>
      </c>
      <c r="V303" s="18"/>
      <c r="W303" s="14"/>
      <c r="X303" s="18"/>
      <c r="Y303" s="14"/>
      <c r="Z303" s="18"/>
      <c r="AA303" s="14"/>
      <c r="AB303" s="18"/>
      <c r="AC303" s="14"/>
      <c r="AD303" s="18"/>
      <c r="AE303" s="600"/>
      <c r="AF303" s="601"/>
      <c r="AG303" s="569"/>
      <c r="AH303" s="567"/>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18"/>
      <c r="BK303" s="14"/>
      <c r="BL303" s="18"/>
      <c r="BM303" s="15"/>
      <c r="BN303" s="561">
        <f t="shared" si="81"/>
        <v>1</v>
      </c>
      <c r="BO303" s="559">
        <f t="shared" si="82"/>
        <v>2</v>
      </c>
      <c r="BP303" s="558">
        <f t="shared" si="83"/>
        <v>1</v>
      </c>
      <c r="BQ303" s="559">
        <f t="shared" si="84"/>
        <v>2</v>
      </c>
    </row>
    <row r="304" spans="2:69" s="6" customFormat="1" ht="45" customHeight="1">
      <c r="B304" s="201" t="s">
        <v>107</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600"/>
      <c r="AF304" s="601"/>
      <c r="AG304" s="569"/>
      <c r="AH304" s="567"/>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561">
        <f t="shared" si="81"/>
        <v>0</v>
      </c>
      <c r="BO304" s="559">
        <f t="shared" si="82"/>
        <v>0</v>
      </c>
      <c r="BP304" s="558">
        <f t="shared" si="83"/>
        <v>0</v>
      </c>
      <c r="BQ304" s="559">
        <f t="shared" si="84"/>
        <v>0</v>
      </c>
    </row>
    <row r="305" spans="2:69" s="6" customFormat="1" ht="45" customHeight="1">
      <c r="B305" s="208" t="s">
        <v>192</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600"/>
      <c r="AF305" s="601"/>
      <c r="AG305" s="569"/>
      <c r="AH305" s="567"/>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561">
        <f t="shared" si="81"/>
        <v>0</v>
      </c>
      <c r="BO305" s="559">
        <f t="shared" si="82"/>
        <v>0</v>
      </c>
      <c r="BP305" s="558">
        <f t="shared" si="83"/>
        <v>0</v>
      </c>
      <c r="BQ305" s="559">
        <f t="shared" si="84"/>
        <v>0</v>
      </c>
    </row>
    <row r="306" spans="2:69" s="6" customFormat="1" ht="45" customHeight="1">
      <c r="B306" s="201" t="s">
        <v>24</v>
      </c>
      <c r="C306" s="146"/>
      <c r="D306" s="18"/>
      <c r="E306" s="14"/>
      <c r="F306" s="18"/>
      <c r="G306" s="14"/>
      <c r="H306" s="18"/>
      <c r="I306" s="14"/>
      <c r="J306" s="18"/>
      <c r="K306" s="14"/>
      <c r="L306" s="18"/>
      <c r="M306" s="14"/>
      <c r="N306" s="18"/>
      <c r="O306" s="14"/>
      <c r="P306" s="18"/>
      <c r="Q306" s="14"/>
      <c r="R306" s="18">
        <v>1</v>
      </c>
      <c r="S306" s="14">
        <v>2</v>
      </c>
      <c r="T306" s="18"/>
      <c r="U306" s="14"/>
      <c r="V306" s="18"/>
      <c r="W306" s="14"/>
      <c r="X306" s="18"/>
      <c r="Y306" s="14"/>
      <c r="Z306" s="18"/>
      <c r="AA306" s="14"/>
      <c r="AB306" s="18"/>
      <c r="AC306" s="14"/>
      <c r="AD306" s="18"/>
      <c r="AE306" s="600"/>
      <c r="AF306" s="601"/>
      <c r="AG306" s="569"/>
      <c r="AH306" s="567"/>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561">
        <f t="shared" si="81"/>
        <v>1</v>
      </c>
      <c r="BO306" s="559">
        <f t="shared" si="82"/>
        <v>2</v>
      </c>
      <c r="BP306" s="558">
        <f t="shared" si="83"/>
        <v>1</v>
      </c>
      <c r="BQ306" s="559">
        <f t="shared" si="84"/>
        <v>2</v>
      </c>
    </row>
    <row r="307" spans="2:69" s="6" customFormat="1" ht="45" customHeight="1">
      <c r="B307" s="201" t="s">
        <v>108</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600"/>
      <c r="AF307" s="601"/>
      <c r="AG307" s="569"/>
      <c r="AH307" s="567"/>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561">
        <f t="shared" si="81"/>
        <v>0</v>
      </c>
      <c r="BO307" s="559">
        <f t="shared" si="82"/>
        <v>0</v>
      </c>
      <c r="BP307" s="558">
        <f t="shared" si="83"/>
        <v>0</v>
      </c>
      <c r="BQ307" s="559">
        <f t="shared" si="84"/>
        <v>0</v>
      </c>
    </row>
    <row r="308" spans="2:69" s="6" customFormat="1" ht="45" customHeight="1">
      <c r="B308" s="201" t="s">
        <v>154</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600"/>
      <c r="AF308" s="601"/>
      <c r="AG308" s="569"/>
      <c r="AH308" s="567"/>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561">
        <f t="shared" si="81"/>
        <v>0</v>
      </c>
      <c r="BO308" s="559">
        <f t="shared" si="82"/>
        <v>0</v>
      </c>
      <c r="BP308" s="558">
        <f t="shared" si="83"/>
        <v>0</v>
      </c>
      <c r="BQ308" s="559">
        <f t="shared" si="84"/>
        <v>0</v>
      </c>
    </row>
    <row r="309" spans="2:69" s="6" customFormat="1" ht="45" customHeight="1">
      <c r="B309" s="202" t="s">
        <v>30</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594"/>
      <c r="AF309" s="612"/>
      <c r="AG309" s="593"/>
      <c r="AH309" s="592"/>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50"/>
      <c r="BK309" s="20"/>
      <c r="BL309" s="50"/>
      <c r="BM309" s="21"/>
      <c r="BN309" s="561">
        <f t="shared" si="81"/>
        <v>0</v>
      </c>
      <c r="BO309" s="559">
        <f t="shared" si="82"/>
        <v>0</v>
      </c>
      <c r="BP309" s="558">
        <f t="shared" si="83"/>
        <v>0</v>
      </c>
      <c r="BQ309" s="559">
        <f t="shared" si="84"/>
        <v>0</v>
      </c>
    </row>
    <row r="310" spans="2:69" s="6" customFormat="1" ht="45" customHeight="1">
      <c r="B310" s="201" t="s">
        <v>36</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594"/>
      <c r="AF310" s="601"/>
      <c r="AG310" s="593"/>
      <c r="AH310" s="567"/>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561">
        <f t="shared" si="81"/>
        <v>0</v>
      </c>
      <c r="BO310" s="559">
        <f t="shared" si="82"/>
        <v>0</v>
      </c>
      <c r="BP310" s="558">
        <f t="shared" si="83"/>
        <v>0</v>
      </c>
      <c r="BQ310" s="559">
        <f t="shared" si="84"/>
        <v>0</v>
      </c>
    </row>
    <row r="311" spans="2:69" s="6" customFormat="1" ht="45" customHeight="1">
      <c r="B311" s="201" t="s">
        <v>109</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600"/>
      <c r="AF311" s="601"/>
      <c r="AG311" s="569"/>
      <c r="AH311" s="567"/>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18"/>
      <c r="BK311" s="14"/>
      <c r="BL311" s="18"/>
      <c r="BM311" s="15"/>
      <c r="BN311" s="561">
        <f t="shared" si="81"/>
        <v>0</v>
      </c>
      <c r="BO311" s="559">
        <f t="shared" si="82"/>
        <v>0</v>
      </c>
      <c r="BP311" s="558">
        <f t="shared" si="83"/>
        <v>0</v>
      </c>
      <c r="BQ311" s="559">
        <f t="shared" si="84"/>
        <v>0</v>
      </c>
    </row>
    <row r="312" spans="2:69" s="6" customFormat="1" ht="45" customHeight="1">
      <c r="B312" s="201" t="s">
        <v>162</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600"/>
      <c r="AF312" s="601"/>
      <c r="AG312" s="569"/>
      <c r="AH312" s="567"/>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561">
        <f t="shared" si="81"/>
        <v>0</v>
      </c>
      <c r="BO312" s="559">
        <f t="shared" si="82"/>
        <v>0</v>
      </c>
      <c r="BP312" s="558">
        <f t="shared" si="83"/>
        <v>0</v>
      </c>
      <c r="BQ312" s="559">
        <f t="shared" si="84"/>
        <v>0</v>
      </c>
    </row>
    <row r="313" spans="2:69" s="6" customFormat="1" ht="45" customHeight="1">
      <c r="B313" s="201" t="s">
        <v>129</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600"/>
      <c r="AF313" s="601"/>
      <c r="AG313" s="569"/>
      <c r="AH313" s="567"/>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561">
        <f t="shared" si="81"/>
        <v>0</v>
      </c>
      <c r="BO313" s="559">
        <f t="shared" si="82"/>
        <v>0</v>
      </c>
      <c r="BP313" s="558">
        <f t="shared" si="83"/>
        <v>0</v>
      </c>
      <c r="BQ313" s="559">
        <f t="shared" si="84"/>
        <v>0</v>
      </c>
    </row>
    <row r="314" spans="2:69" s="6" customFormat="1" ht="45" customHeight="1">
      <c r="B314" s="201" t="s">
        <v>112</v>
      </c>
      <c r="C314" s="146"/>
      <c r="D314" s="18"/>
      <c r="E314" s="14"/>
      <c r="F314" s="18"/>
      <c r="G314" s="14"/>
      <c r="H314" s="18"/>
      <c r="I314" s="14"/>
      <c r="J314" s="18"/>
      <c r="K314" s="14"/>
      <c r="L314" s="18"/>
      <c r="M314" s="14"/>
      <c r="N314" s="18"/>
      <c r="O314" s="14"/>
      <c r="P314" s="18"/>
      <c r="Q314" s="14"/>
      <c r="R314" s="18"/>
      <c r="S314" s="14"/>
      <c r="T314" s="18"/>
      <c r="U314" s="14"/>
      <c r="V314" s="18">
        <v>2</v>
      </c>
      <c r="W314" s="14">
        <v>2</v>
      </c>
      <c r="X314" s="18"/>
      <c r="Y314" s="14"/>
      <c r="Z314" s="18"/>
      <c r="AA314" s="14"/>
      <c r="AB314" s="18"/>
      <c r="AC314" s="14"/>
      <c r="AD314" s="18"/>
      <c r="AE314" s="600"/>
      <c r="AF314" s="601"/>
      <c r="AG314" s="569"/>
      <c r="AH314" s="567"/>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561">
        <f t="shared" si="81"/>
        <v>2</v>
      </c>
      <c r="BO314" s="559">
        <f t="shared" si="82"/>
        <v>2</v>
      </c>
      <c r="BP314" s="558">
        <f t="shared" si="83"/>
        <v>2</v>
      </c>
      <c r="BQ314" s="559">
        <f t="shared" si="84"/>
        <v>2</v>
      </c>
    </row>
    <row r="315" spans="2:69" s="6" customFormat="1" ht="45" customHeight="1">
      <c r="B315" s="201" t="s">
        <v>94</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600"/>
      <c r="AF315" s="601"/>
      <c r="AG315" s="569"/>
      <c r="AH315" s="567"/>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561">
        <f t="shared" si="81"/>
        <v>0</v>
      </c>
      <c r="BO315" s="559">
        <f t="shared" si="82"/>
        <v>0</v>
      </c>
      <c r="BP315" s="558">
        <f t="shared" si="83"/>
        <v>0</v>
      </c>
      <c r="BQ315" s="559">
        <f t="shared" si="84"/>
        <v>0</v>
      </c>
    </row>
    <row r="316" spans="2:69" s="6" customFormat="1" ht="45" customHeight="1">
      <c r="B316" s="201" t="s">
        <v>28</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600"/>
      <c r="AF316" s="601"/>
      <c r="AG316" s="569"/>
      <c r="AH316" s="567"/>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561">
        <f t="shared" si="81"/>
        <v>0</v>
      </c>
      <c r="BO316" s="559">
        <f t="shared" si="82"/>
        <v>0</v>
      </c>
      <c r="BP316" s="558">
        <f t="shared" si="83"/>
        <v>0</v>
      </c>
      <c r="BQ316" s="559">
        <f t="shared" si="84"/>
        <v>0</v>
      </c>
    </row>
    <row r="317" spans="2:69" s="6" customFormat="1" ht="45" customHeight="1">
      <c r="B317" s="201" t="s">
        <v>32</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600"/>
      <c r="AF317" s="601"/>
      <c r="AG317" s="569"/>
      <c r="AH317" s="567"/>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561">
        <f t="shared" si="81"/>
        <v>0</v>
      </c>
      <c r="BO317" s="559">
        <f t="shared" si="82"/>
        <v>0</v>
      </c>
      <c r="BP317" s="558">
        <f t="shared" si="83"/>
        <v>0</v>
      </c>
      <c r="BQ317" s="559">
        <f t="shared" si="84"/>
        <v>0</v>
      </c>
    </row>
    <row r="318" spans="2:69" s="6" customFormat="1" ht="45" customHeight="1">
      <c r="B318" s="201" t="s">
        <v>327</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600"/>
      <c r="AF318" s="601"/>
      <c r="AG318" s="569"/>
      <c r="AH318" s="567"/>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561">
        <f t="shared" si="81"/>
        <v>0</v>
      </c>
      <c r="BO318" s="559">
        <f t="shared" si="82"/>
        <v>0</v>
      </c>
      <c r="BP318" s="558">
        <f t="shared" si="83"/>
        <v>0</v>
      </c>
      <c r="BQ318" s="559">
        <f t="shared" si="84"/>
        <v>0</v>
      </c>
    </row>
    <row r="319" spans="2:69" s="6" customFormat="1" ht="45" customHeight="1">
      <c r="B319" s="201" t="s">
        <v>189</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600"/>
      <c r="AF319" s="601"/>
      <c r="AG319" s="569"/>
      <c r="AH319" s="567"/>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561">
        <f t="shared" si="81"/>
        <v>0</v>
      </c>
      <c r="BO319" s="559">
        <f t="shared" si="82"/>
        <v>0</v>
      </c>
      <c r="BP319" s="558">
        <f t="shared" si="83"/>
        <v>0</v>
      </c>
      <c r="BQ319" s="559">
        <f t="shared" si="84"/>
        <v>0</v>
      </c>
    </row>
    <row r="320" spans="2:69" s="6" customFormat="1" ht="45" customHeight="1">
      <c r="B320" s="201" t="s">
        <v>482</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600"/>
      <c r="AF320" s="601"/>
      <c r="AG320" s="569"/>
      <c r="AH320" s="567"/>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561">
        <f t="shared" si="81"/>
        <v>0</v>
      </c>
      <c r="BO320" s="559">
        <f t="shared" si="82"/>
        <v>0</v>
      </c>
      <c r="BP320" s="558">
        <f t="shared" si="83"/>
        <v>0</v>
      </c>
      <c r="BQ320" s="559">
        <f t="shared" si="84"/>
        <v>0</v>
      </c>
    </row>
    <row r="321" spans="2:69" s="6" customFormat="1" ht="45" customHeight="1">
      <c r="B321" s="202" t="s">
        <v>181</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600"/>
      <c r="AF321" s="601"/>
      <c r="AG321" s="569"/>
      <c r="AH321" s="567"/>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561">
        <f t="shared" si="81"/>
        <v>0</v>
      </c>
      <c r="BO321" s="559">
        <f t="shared" si="82"/>
        <v>0</v>
      </c>
      <c r="BP321" s="558">
        <f t="shared" si="83"/>
        <v>0</v>
      </c>
      <c r="BQ321" s="559">
        <f t="shared" si="84"/>
        <v>0</v>
      </c>
    </row>
    <row r="322" spans="2:69" s="6" customFormat="1" ht="45" customHeight="1">
      <c r="B322" s="201" t="s">
        <v>39</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600"/>
      <c r="AF322" s="601"/>
      <c r="AG322" s="569"/>
      <c r="AH322" s="567"/>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561">
        <f t="shared" si="81"/>
        <v>0</v>
      </c>
      <c r="BO322" s="559">
        <f t="shared" si="82"/>
        <v>0</v>
      </c>
      <c r="BP322" s="558">
        <f t="shared" si="83"/>
        <v>0</v>
      </c>
      <c r="BQ322" s="559">
        <f t="shared" si="84"/>
        <v>0</v>
      </c>
    </row>
    <row r="323" spans="2:69" s="6" customFormat="1" ht="45" customHeight="1">
      <c r="B323" s="202" t="s">
        <v>197</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600"/>
      <c r="AF323" s="601"/>
      <c r="AG323" s="569"/>
      <c r="AH323" s="567"/>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561">
        <f>SUM(D323,F323,H323,J323,L323,N323,P323,R323,T323,V323,X323,Z323,AB323,AD323,AF323,AH323,AJ323,AL323,AN323,AP323,AR323,AT323,AV323,AX323,AZ323,BB323,BD323,BF323,BH323,BJ323,BL323)</f>
        <v>0</v>
      </c>
      <c r="BO323" s="559">
        <f>SUM(E323,G323,I323,K323,M323,O323,Q323,S323,U323,W323,Y323,AA323,AC323,AE323,AG323,AI323,AK323,AM323,AO323,AQ323,AS323,AU323,AW323,AY323,BA323,BC323,BE323,BG323,BI323,BK323,BM323)</f>
        <v>0</v>
      </c>
      <c r="BP323" s="558">
        <f>BN323</f>
        <v>0</v>
      </c>
      <c r="BQ323" s="559">
        <f>BO323</f>
        <v>0</v>
      </c>
    </row>
    <row r="324" spans="2:69" s="6" customFormat="1" ht="15.9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600"/>
      <c r="AF324" s="601"/>
      <c r="AG324" s="569"/>
      <c r="AH324" s="567"/>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7"/>
      <c r="BO324" s="56"/>
      <c r="BP324" s="247"/>
      <c r="BQ324" s="264"/>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600"/>
      <c r="AF325" s="601"/>
      <c r="AG325" s="569"/>
      <c r="AH325" s="567"/>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7"/>
      <c r="BO325" s="56"/>
      <c r="BP325" s="247"/>
      <c r="BQ325" s="264"/>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600"/>
      <c r="AF326" s="601"/>
      <c r="AG326" s="569"/>
      <c r="AH326" s="567"/>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7"/>
      <c r="BO326" s="56"/>
      <c r="BP326" s="247"/>
      <c r="BQ326" s="264"/>
    </row>
    <row r="327" spans="2:69" s="6" customFormat="1" ht="49.5" customHeight="1" thickBot="1">
      <c r="B327" s="119" t="s">
        <v>462</v>
      </c>
      <c r="C327" s="149"/>
      <c r="D327" s="29">
        <f t="shared" ref="D327:AG327" si="85">SUM(D298:D326)</f>
        <v>0</v>
      </c>
      <c r="E327" s="31">
        <f t="shared" si="85"/>
        <v>0</v>
      </c>
      <c r="F327" s="29">
        <f t="shared" si="85"/>
        <v>0</v>
      </c>
      <c r="G327" s="31">
        <f t="shared" si="85"/>
        <v>0</v>
      </c>
      <c r="H327" s="29">
        <f t="shared" si="85"/>
        <v>0</v>
      </c>
      <c r="I327" s="31">
        <f t="shared" si="85"/>
        <v>0</v>
      </c>
      <c r="J327" s="29">
        <f t="shared" si="85"/>
        <v>0</v>
      </c>
      <c r="K327" s="31">
        <f t="shared" si="85"/>
        <v>0</v>
      </c>
      <c r="L327" s="29">
        <f t="shared" si="85"/>
        <v>0</v>
      </c>
      <c r="M327" s="31">
        <f t="shared" si="85"/>
        <v>0</v>
      </c>
      <c r="N327" s="29">
        <f t="shared" si="85"/>
        <v>0</v>
      </c>
      <c r="O327" s="31">
        <f t="shared" si="85"/>
        <v>0</v>
      </c>
      <c r="P327" s="29">
        <f t="shared" si="85"/>
        <v>0</v>
      </c>
      <c r="Q327" s="31">
        <f t="shared" si="85"/>
        <v>0</v>
      </c>
      <c r="R327" s="29">
        <f t="shared" si="85"/>
        <v>1</v>
      </c>
      <c r="S327" s="31">
        <f t="shared" si="85"/>
        <v>2</v>
      </c>
      <c r="T327" s="29">
        <f t="shared" si="85"/>
        <v>1</v>
      </c>
      <c r="U327" s="31">
        <f t="shared" si="85"/>
        <v>2</v>
      </c>
      <c r="V327" s="29">
        <f t="shared" si="85"/>
        <v>2</v>
      </c>
      <c r="W327" s="31">
        <f t="shared" si="85"/>
        <v>2</v>
      </c>
      <c r="X327" s="29">
        <f t="shared" si="85"/>
        <v>0</v>
      </c>
      <c r="Y327" s="31">
        <f t="shared" si="85"/>
        <v>0</v>
      </c>
      <c r="Z327" s="29">
        <f t="shared" si="85"/>
        <v>0</v>
      </c>
      <c r="AA327" s="31">
        <f t="shared" si="85"/>
        <v>0</v>
      </c>
      <c r="AB327" s="29">
        <f t="shared" si="85"/>
        <v>0</v>
      </c>
      <c r="AC327" s="31">
        <f t="shared" si="85"/>
        <v>0</v>
      </c>
      <c r="AD327" s="29">
        <f t="shared" si="85"/>
        <v>0</v>
      </c>
      <c r="AE327" s="41">
        <f t="shared" si="85"/>
        <v>0</v>
      </c>
      <c r="AF327" s="39">
        <f t="shared" si="85"/>
        <v>0</v>
      </c>
      <c r="AG327" s="31">
        <f t="shared" si="85"/>
        <v>0</v>
      </c>
      <c r="AH327" s="29">
        <f t="shared" ref="AH327:BQ327" si="86">SUM(AH298:AH326)</f>
        <v>0</v>
      </c>
      <c r="AI327" s="31">
        <f t="shared" si="86"/>
        <v>0</v>
      </c>
      <c r="AJ327" s="29">
        <f t="shared" si="86"/>
        <v>0</v>
      </c>
      <c r="AK327" s="31">
        <f t="shared" si="86"/>
        <v>0</v>
      </c>
      <c r="AL327" s="29">
        <f t="shared" si="86"/>
        <v>0</v>
      </c>
      <c r="AM327" s="31">
        <f t="shared" si="86"/>
        <v>0</v>
      </c>
      <c r="AN327" s="29">
        <f t="shared" si="86"/>
        <v>0</v>
      </c>
      <c r="AO327" s="31">
        <f t="shared" si="86"/>
        <v>0</v>
      </c>
      <c r="AP327" s="29">
        <f t="shared" si="86"/>
        <v>0</v>
      </c>
      <c r="AQ327" s="31">
        <f t="shared" si="86"/>
        <v>0</v>
      </c>
      <c r="AR327" s="29">
        <f t="shared" si="86"/>
        <v>0</v>
      </c>
      <c r="AS327" s="31">
        <f t="shared" si="86"/>
        <v>0</v>
      </c>
      <c r="AT327" s="29">
        <f t="shared" si="86"/>
        <v>0</v>
      </c>
      <c r="AU327" s="31">
        <f t="shared" si="86"/>
        <v>0</v>
      </c>
      <c r="AV327" s="29">
        <f t="shared" si="86"/>
        <v>0</v>
      </c>
      <c r="AW327" s="31">
        <f t="shared" si="86"/>
        <v>0</v>
      </c>
      <c r="AX327" s="29">
        <f t="shared" si="86"/>
        <v>0</v>
      </c>
      <c r="AY327" s="31">
        <f t="shared" si="86"/>
        <v>0</v>
      </c>
      <c r="AZ327" s="29">
        <f t="shared" si="86"/>
        <v>0</v>
      </c>
      <c r="BA327" s="31">
        <f t="shared" si="86"/>
        <v>0</v>
      </c>
      <c r="BB327" s="29">
        <f t="shared" si="86"/>
        <v>0</v>
      </c>
      <c r="BC327" s="31">
        <f t="shared" si="86"/>
        <v>0</v>
      </c>
      <c r="BD327" s="29">
        <f t="shared" si="86"/>
        <v>0</v>
      </c>
      <c r="BE327" s="31">
        <f t="shared" si="86"/>
        <v>0</v>
      </c>
      <c r="BF327" s="29">
        <f t="shared" si="86"/>
        <v>0</v>
      </c>
      <c r="BG327" s="31">
        <f t="shared" si="86"/>
        <v>0</v>
      </c>
      <c r="BH327" s="29">
        <f t="shared" si="86"/>
        <v>0</v>
      </c>
      <c r="BI327" s="31">
        <f t="shared" si="86"/>
        <v>0</v>
      </c>
      <c r="BJ327" s="29">
        <f t="shared" si="86"/>
        <v>0</v>
      </c>
      <c r="BK327" s="31">
        <f t="shared" si="86"/>
        <v>0</v>
      </c>
      <c r="BL327" s="29">
        <f t="shared" si="86"/>
        <v>0</v>
      </c>
      <c r="BM327" s="41">
        <f t="shared" si="86"/>
        <v>0</v>
      </c>
      <c r="BN327" s="32">
        <f t="shared" si="86"/>
        <v>4</v>
      </c>
      <c r="BO327" s="41">
        <f t="shared" si="86"/>
        <v>6</v>
      </c>
      <c r="BP327" s="247">
        <f t="shared" si="86"/>
        <v>4</v>
      </c>
      <c r="BQ327" s="264">
        <f t="shared" si="86"/>
        <v>6</v>
      </c>
    </row>
    <row r="328" spans="2:69" ht="24.75" customHeight="1" thickBot="1">
      <c r="B328" s="120"/>
      <c r="AG328" s="34"/>
      <c r="AJ328" s="7"/>
      <c r="AK328" s="7"/>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c r="BP328" s="257"/>
      <c r="BQ328" s="240"/>
    </row>
    <row r="329" spans="2:69" ht="24.95" customHeight="1" thickBot="1">
      <c r="B329" s="120"/>
      <c r="AG329" s="8"/>
      <c r="AJ329" s="7"/>
      <c r="AK329" s="7"/>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43" t="s">
        <v>49</v>
      </c>
      <c r="C330" s="749">
        <f>COUNTIF(B333:B341,"*")</f>
        <v>8</v>
      </c>
      <c r="D330" s="751">
        <v>1</v>
      </c>
      <c r="E330" s="738"/>
      <c r="F330" s="737">
        <v>2</v>
      </c>
      <c r="G330" s="738"/>
      <c r="H330" s="737">
        <v>3</v>
      </c>
      <c r="I330" s="738"/>
      <c r="J330" s="737">
        <v>4</v>
      </c>
      <c r="K330" s="738"/>
      <c r="L330" s="737">
        <v>5</v>
      </c>
      <c r="M330" s="738"/>
      <c r="N330" s="737">
        <v>6</v>
      </c>
      <c r="O330" s="738"/>
      <c r="P330" s="737">
        <v>7</v>
      </c>
      <c r="Q330" s="738"/>
      <c r="R330" s="737">
        <v>8</v>
      </c>
      <c r="S330" s="738"/>
      <c r="T330" s="737">
        <v>9</v>
      </c>
      <c r="U330" s="738"/>
      <c r="V330" s="737">
        <v>10</v>
      </c>
      <c r="W330" s="738"/>
      <c r="X330" s="737">
        <v>11</v>
      </c>
      <c r="Y330" s="738"/>
      <c r="Z330" s="737">
        <v>12</v>
      </c>
      <c r="AA330" s="738"/>
      <c r="AB330" s="737">
        <v>13</v>
      </c>
      <c r="AC330" s="738"/>
      <c r="AD330" s="737">
        <v>14</v>
      </c>
      <c r="AE330" s="742"/>
      <c r="AF330" s="737">
        <v>15</v>
      </c>
      <c r="AG330" s="738"/>
      <c r="AH330" s="738">
        <v>16</v>
      </c>
      <c r="AI330" s="741"/>
      <c r="AJ330" s="741">
        <v>17</v>
      </c>
      <c r="AK330" s="741"/>
      <c r="AL330" s="741">
        <v>18</v>
      </c>
      <c r="AM330" s="741"/>
      <c r="AN330" s="741">
        <v>19</v>
      </c>
      <c r="AO330" s="741"/>
      <c r="AP330" s="741">
        <v>20</v>
      </c>
      <c r="AQ330" s="741"/>
      <c r="AR330" s="741">
        <v>21</v>
      </c>
      <c r="AS330" s="741"/>
      <c r="AT330" s="741">
        <v>22</v>
      </c>
      <c r="AU330" s="741"/>
      <c r="AV330" s="741">
        <v>23</v>
      </c>
      <c r="AW330" s="741"/>
      <c r="AX330" s="741">
        <v>24</v>
      </c>
      <c r="AY330" s="741"/>
      <c r="AZ330" s="741">
        <v>25</v>
      </c>
      <c r="BA330" s="741"/>
      <c r="BB330" s="741">
        <v>26</v>
      </c>
      <c r="BC330" s="741"/>
      <c r="BD330" s="741">
        <v>27</v>
      </c>
      <c r="BE330" s="741"/>
      <c r="BF330" s="741">
        <v>28</v>
      </c>
      <c r="BG330" s="741"/>
      <c r="BH330" s="741">
        <v>29</v>
      </c>
      <c r="BI330" s="741"/>
      <c r="BJ330" s="741">
        <v>30</v>
      </c>
      <c r="BK330" s="741"/>
      <c r="BL330" s="741">
        <v>31</v>
      </c>
      <c r="BM330" s="741"/>
      <c r="BN330" s="738" t="s">
        <v>251</v>
      </c>
      <c r="BO330" s="760"/>
      <c r="BP330" s="771" t="s">
        <v>353</v>
      </c>
      <c r="BQ330" s="772"/>
    </row>
    <row r="331" spans="2:69" ht="24.95" customHeight="1">
      <c r="B331" s="744"/>
      <c r="C331" s="747"/>
      <c r="D331" s="752" t="str">
        <f>D2</f>
        <v>水</v>
      </c>
      <c r="E331" s="740"/>
      <c r="F331" s="739" t="str">
        <f>F2</f>
        <v>木</v>
      </c>
      <c r="G331" s="740"/>
      <c r="H331" s="739" t="str">
        <f>H2</f>
        <v>金</v>
      </c>
      <c r="I331" s="740"/>
      <c r="J331" s="739" t="str">
        <f>J2</f>
        <v>土</v>
      </c>
      <c r="K331" s="740"/>
      <c r="L331" s="739" t="str">
        <f>L2</f>
        <v>日</v>
      </c>
      <c r="M331" s="740"/>
      <c r="N331" s="739" t="str">
        <f>N2</f>
        <v>月</v>
      </c>
      <c r="O331" s="740"/>
      <c r="P331" s="739" t="str">
        <f>P2</f>
        <v>火</v>
      </c>
      <c r="Q331" s="740"/>
      <c r="R331" s="739" t="str">
        <f>R2</f>
        <v>水</v>
      </c>
      <c r="S331" s="740"/>
      <c r="T331" s="739" t="str">
        <f>T2</f>
        <v>木</v>
      </c>
      <c r="U331" s="740"/>
      <c r="V331" s="739" t="str">
        <f>V2</f>
        <v>金</v>
      </c>
      <c r="W331" s="740"/>
      <c r="X331" s="739" t="str">
        <f>X2</f>
        <v>土</v>
      </c>
      <c r="Y331" s="740"/>
      <c r="Z331" s="739" t="str">
        <f>Z2</f>
        <v>日</v>
      </c>
      <c r="AA331" s="740"/>
      <c r="AB331" s="739" t="str">
        <f>AB2</f>
        <v>月</v>
      </c>
      <c r="AC331" s="740"/>
      <c r="AD331" s="739" t="str">
        <f>AD2</f>
        <v>火</v>
      </c>
      <c r="AE331" s="756"/>
      <c r="AF331" s="739" t="str">
        <f>AF2</f>
        <v>水</v>
      </c>
      <c r="AG331" s="740"/>
      <c r="AH331" s="767" t="str">
        <f>AH2</f>
        <v>木</v>
      </c>
      <c r="AI331" s="769"/>
      <c r="AJ331" s="770" t="str">
        <f>AJ2</f>
        <v>金</v>
      </c>
      <c r="AK331" s="770"/>
      <c r="AL331" s="770" t="str">
        <f>AL2</f>
        <v>土</v>
      </c>
      <c r="AM331" s="770"/>
      <c r="AN331" s="770" t="str">
        <f>AN2</f>
        <v>日</v>
      </c>
      <c r="AO331" s="770"/>
      <c r="AP331" s="770" t="str">
        <f>AP2</f>
        <v>月</v>
      </c>
      <c r="AQ331" s="770"/>
      <c r="AR331" s="770" t="str">
        <f>AR2</f>
        <v>火</v>
      </c>
      <c r="AS331" s="770"/>
      <c r="AT331" s="770" t="str">
        <f>AT2</f>
        <v>水</v>
      </c>
      <c r="AU331" s="770"/>
      <c r="AV331" s="770" t="str">
        <f>AV2</f>
        <v>木</v>
      </c>
      <c r="AW331" s="770"/>
      <c r="AX331" s="770" t="str">
        <f>AX2</f>
        <v>金</v>
      </c>
      <c r="AY331" s="770"/>
      <c r="AZ331" s="770" t="str">
        <f>AZ2</f>
        <v>土</v>
      </c>
      <c r="BA331" s="770"/>
      <c r="BB331" s="770" t="str">
        <f>BB2</f>
        <v>日</v>
      </c>
      <c r="BC331" s="770"/>
      <c r="BD331" s="770" t="str">
        <f>BD2</f>
        <v>月</v>
      </c>
      <c r="BE331" s="770"/>
      <c r="BF331" s="770" t="str">
        <f>BF2</f>
        <v>火</v>
      </c>
      <c r="BG331" s="770"/>
      <c r="BH331" s="770" t="str">
        <f>BH2</f>
        <v>水</v>
      </c>
      <c r="BI331" s="770"/>
      <c r="BJ331" s="770" t="str">
        <f>BJ2</f>
        <v>木</v>
      </c>
      <c r="BK331" s="770"/>
      <c r="BL331" s="770" t="str">
        <f>BL2</f>
        <v>金</v>
      </c>
      <c r="BM331" s="770"/>
      <c r="BN331" s="761"/>
      <c r="BO331" s="762"/>
      <c r="BP331" s="773"/>
      <c r="BQ331" s="774"/>
    </row>
    <row r="332" spans="2:69" ht="24.95" customHeight="1" thickBot="1">
      <c r="B332" s="748"/>
      <c r="C332" s="750"/>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3" t="s">
        <v>73</v>
      </c>
      <c r="AH332" s="92"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s="6" customFormat="1" ht="50.1" customHeight="1" thickTop="1">
      <c r="B333" s="205" t="s">
        <v>52</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10"/>
      <c r="AF333" s="179"/>
      <c r="AG333" s="9"/>
      <c r="AH333" s="46"/>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46"/>
      <c r="BK333" s="10"/>
      <c r="BL333" s="11"/>
      <c r="BM333" s="10"/>
      <c r="BN333" s="561">
        <f>SUM(D333,F333,H333,J333,L333,N333,P333,R333,T333,V333,X333,Z333,AB333,AD333,AF333,AH333,AJ333,AL333,AN333,AP333,AR333,AT333,AV333,AX333,AZ333,BB333,BD333,BF333,BH333,BJ333,BL333)</f>
        <v>0</v>
      </c>
      <c r="BO333" s="559">
        <f>SUM(E333,G333,I333,K333,M333,O333,Q333,S333,U333,W333,Y333,AA333,AC333,AE333,AG333,AI333,AK333,AM333,AO333,AQ333,AS333,AU333,AW333,AY333,BA333,BC333,BE333,BG333,BI333,BK333,BM333)</f>
        <v>0</v>
      </c>
      <c r="BP333" s="558">
        <f>BN333</f>
        <v>0</v>
      </c>
      <c r="BQ333" s="559">
        <f>BO333</f>
        <v>0</v>
      </c>
    </row>
    <row r="334" spans="2:69" s="6" customFormat="1" ht="50.1" customHeight="1">
      <c r="B334" s="201" t="s">
        <v>50</v>
      </c>
      <c r="C334" s="146"/>
      <c r="D334" s="18"/>
      <c r="E334" s="14"/>
      <c r="F334" s="18"/>
      <c r="G334" s="14"/>
      <c r="H334" s="18"/>
      <c r="I334" s="14"/>
      <c r="J334" s="18">
        <v>2</v>
      </c>
      <c r="K334" s="14">
        <v>3</v>
      </c>
      <c r="L334" s="18"/>
      <c r="M334" s="14"/>
      <c r="N334" s="18"/>
      <c r="O334" s="14"/>
      <c r="P334" s="18"/>
      <c r="Q334" s="14"/>
      <c r="R334" s="18"/>
      <c r="S334" s="14"/>
      <c r="T334" s="18"/>
      <c r="U334" s="14"/>
      <c r="V334" s="18"/>
      <c r="W334" s="14"/>
      <c r="X334" s="18">
        <v>1</v>
      </c>
      <c r="Y334" s="14">
        <v>2</v>
      </c>
      <c r="Z334" s="18"/>
      <c r="AA334" s="14"/>
      <c r="AB334" s="18"/>
      <c r="AC334" s="14"/>
      <c r="AD334" s="18"/>
      <c r="AE334" s="600"/>
      <c r="AF334" s="601"/>
      <c r="AG334" s="569"/>
      <c r="AH334" s="567"/>
      <c r="AI334" s="569"/>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18"/>
      <c r="BK334" s="15"/>
      <c r="BL334" s="16"/>
      <c r="BM334" s="15"/>
      <c r="BN334" s="561">
        <f t="shared" ref="BN334:BN340" si="87">SUM(D334,F334,H334,J334,L334,N334,P334,R334,T334,V334,X334,Z334,AB334,AD334,AF334,AH334,AJ334,AL334,AN334,AP334,AR334,AT334,AV334,AX334,AZ334,BB334,BD334,BF334,BH334,BJ334,BL334)</f>
        <v>3</v>
      </c>
      <c r="BO334" s="559">
        <f t="shared" ref="BO334:BO340" si="88">SUM(E334,G334,I334,K334,M334,O334,Q334,S334,U334,W334,Y334,AA334,AC334,AE334,AG334,AI334,AK334,AM334,AO334,AQ334,AS334,AU334,AW334,AY334,BA334,BC334,BE334,BG334,BI334,BK334,BM334)</f>
        <v>5</v>
      </c>
      <c r="BP334" s="558">
        <f t="shared" ref="BP334:BP340" si="89">BN334</f>
        <v>3</v>
      </c>
      <c r="BQ334" s="559">
        <f t="shared" ref="BQ334:BQ340" si="90">BO334</f>
        <v>5</v>
      </c>
    </row>
    <row r="335" spans="2:69" s="6" customFormat="1" ht="50.1" customHeight="1">
      <c r="B335" s="201" t="s">
        <v>51</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594"/>
      <c r="AF335" s="601"/>
      <c r="AG335" s="593"/>
      <c r="AH335" s="592"/>
      <c r="AI335" s="593"/>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50"/>
      <c r="BK335" s="21"/>
      <c r="BL335" s="22"/>
      <c r="BM335" s="21"/>
      <c r="BN335" s="561">
        <f t="shared" si="87"/>
        <v>0</v>
      </c>
      <c r="BO335" s="559">
        <f t="shared" si="88"/>
        <v>0</v>
      </c>
      <c r="BP335" s="558">
        <f t="shared" si="89"/>
        <v>0</v>
      </c>
      <c r="BQ335" s="559">
        <f t="shared" si="90"/>
        <v>0</v>
      </c>
    </row>
    <row r="336" spans="2:69" s="6" customFormat="1" ht="50.1" customHeight="1">
      <c r="B336" s="201" t="s">
        <v>167</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600"/>
      <c r="AF336" s="601"/>
      <c r="AG336" s="569"/>
      <c r="AH336" s="592"/>
      <c r="AI336" s="569"/>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18"/>
      <c r="BK336" s="15"/>
      <c r="BL336" s="16"/>
      <c r="BM336" s="15"/>
      <c r="BN336" s="561">
        <f t="shared" si="87"/>
        <v>0</v>
      </c>
      <c r="BO336" s="559">
        <f t="shared" si="88"/>
        <v>0</v>
      </c>
      <c r="BP336" s="558">
        <f t="shared" si="89"/>
        <v>0</v>
      </c>
      <c r="BQ336" s="559">
        <f t="shared" si="90"/>
        <v>0</v>
      </c>
    </row>
    <row r="337" spans="2:69" s="6" customFormat="1" ht="50.1" customHeight="1">
      <c r="B337" s="201" t="s">
        <v>141</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600"/>
      <c r="AF337" s="601"/>
      <c r="AG337" s="569"/>
      <c r="AH337" s="592"/>
      <c r="AI337" s="569"/>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561">
        <f t="shared" si="87"/>
        <v>0</v>
      </c>
      <c r="BO337" s="559">
        <f t="shared" si="88"/>
        <v>0</v>
      </c>
      <c r="BP337" s="558">
        <f t="shared" si="89"/>
        <v>0</v>
      </c>
      <c r="BQ337" s="559">
        <f t="shared" si="90"/>
        <v>0</v>
      </c>
    </row>
    <row r="338" spans="2:69" s="6" customFormat="1" ht="50.1" customHeight="1">
      <c r="B338" s="201" t="s">
        <v>92</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600"/>
      <c r="AF338" s="601"/>
      <c r="AG338" s="569"/>
      <c r="AH338" s="592"/>
      <c r="AI338" s="569"/>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561">
        <f t="shared" si="87"/>
        <v>0</v>
      </c>
      <c r="BO338" s="559">
        <f t="shared" si="88"/>
        <v>0</v>
      </c>
      <c r="BP338" s="558">
        <f t="shared" si="89"/>
        <v>0</v>
      </c>
      <c r="BQ338" s="559">
        <f t="shared" si="90"/>
        <v>0</v>
      </c>
    </row>
    <row r="339" spans="2:69" s="6" customFormat="1" ht="50.1" customHeight="1">
      <c r="B339" s="201" t="s">
        <v>93</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600"/>
      <c r="AF339" s="601"/>
      <c r="AG339" s="569"/>
      <c r="AH339" s="592"/>
      <c r="AI339" s="569"/>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561">
        <f t="shared" si="87"/>
        <v>0</v>
      </c>
      <c r="BO339" s="559">
        <f t="shared" si="88"/>
        <v>0</v>
      </c>
      <c r="BP339" s="558">
        <f t="shared" si="89"/>
        <v>0</v>
      </c>
      <c r="BQ339" s="559">
        <f t="shared" si="90"/>
        <v>0</v>
      </c>
    </row>
    <row r="340" spans="2:69" s="6" customFormat="1" ht="50.1" customHeight="1">
      <c r="B340" s="202" t="s">
        <v>243</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600"/>
      <c r="AF340" s="601"/>
      <c r="AG340" s="569"/>
      <c r="AH340" s="592"/>
      <c r="AI340" s="569"/>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561">
        <f t="shared" si="87"/>
        <v>0</v>
      </c>
      <c r="BO340" s="559">
        <f t="shared" si="88"/>
        <v>0</v>
      </c>
      <c r="BP340" s="558">
        <f t="shared" si="89"/>
        <v>0</v>
      </c>
      <c r="BQ340" s="559">
        <f t="shared" si="90"/>
        <v>0</v>
      </c>
    </row>
    <row r="341" spans="2:69" s="6" customFormat="1" ht="50.1" customHeight="1">
      <c r="B341" s="202"/>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600"/>
      <c r="AF341" s="601"/>
      <c r="AG341" s="569"/>
      <c r="AH341" s="567"/>
      <c r="AI341" s="569"/>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7"/>
      <c r="BO341" s="56"/>
      <c r="BP341" s="247"/>
      <c r="BQ341" s="264"/>
    </row>
    <row r="342" spans="2:69" s="6" customFormat="1" ht="15.95" customHeight="1" thickBot="1">
      <c r="B342" s="156"/>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7"/>
      <c r="AF342" s="322"/>
      <c r="AG342" s="86"/>
      <c r="AH342" s="7"/>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7"/>
      <c r="BK342" s="87"/>
      <c r="BL342" s="183"/>
      <c r="BM342" s="87"/>
      <c r="BN342" s="17"/>
      <c r="BO342" s="56"/>
      <c r="BP342" s="260"/>
      <c r="BQ342" s="264"/>
    </row>
    <row r="343" spans="2:69" s="6" customFormat="1" ht="48" customHeight="1" thickBot="1">
      <c r="B343" s="119" t="s">
        <v>101</v>
      </c>
      <c r="C343" s="149"/>
      <c r="D343" s="32">
        <f t="shared" ref="D343:AG343" si="91">SUM(D333:D342)</f>
        <v>0</v>
      </c>
      <c r="E343" s="31">
        <f t="shared" si="91"/>
        <v>0</v>
      </c>
      <c r="F343" s="30">
        <f t="shared" si="91"/>
        <v>0</v>
      </c>
      <c r="G343" s="31">
        <f t="shared" si="91"/>
        <v>0</v>
      </c>
      <c r="H343" s="30">
        <f t="shared" si="91"/>
        <v>0</v>
      </c>
      <c r="I343" s="91">
        <f t="shared" si="91"/>
        <v>0</v>
      </c>
      <c r="J343" s="30">
        <f t="shared" si="91"/>
        <v>2</v>
      </c>
      <c r="K343" s="91">
        <f t="shared" si="91"/>
        <v>3</v>
      </c>
      <c r="L343" s="30">
        <f t="shared" si="91"/>
        <v>0</v>
      </c>
      <c r="M343" s="91">
        <f t="shared" si="91"/>
        <v>0</v>
      </c>
      <c r="N343" s="30">
        <f t="shared" si="91"/>
        <v>0</v>
      </c>
      <c r="O343" s="91">
        <f t="shared" si="91"/>
        <v>0</v>
      </c>
      <c r="P343" s="30">
        <f t="shared" si="91"/>
        <v>0</v>
      </c>
      <c r="Q343" s="91">
        <f t="shared" si="91"/>
        <v>0</v>
      </c>
      <c r="R343" s="30">
        <f t="shared" si="91"/>
        <v>0</v>
      </c>
      <c r="S343" s="91">
        <f t="shared" si="91"/>
        <v>0</v>
      </c>
      <c r="T343" s="30">
        <f t="shared" si="91"/>
        <v>0</v>
      </c>
      <c r="U343" s="91">
        <f t="shared" si="91"/>
        <v>0</v>
      </c>
      <c r="V343" s="30">
        <f t="shared" si="91"/>
        <v>0</v>
      </c>
      <c r="W343" s="91">
        <f t="shared" si="91"/>
        <v>0</v>
      </c>
      <c r="X343" s="30">
        <f t="shared" si="91"/>
        <v>1</v>
      </c>
      <c r="Y343" s="91">
        <f t="shared" si="91"/>
        <v>2</v>
      </c>
      <c r="Z343" s="30">
        <f t="shared" si="91"/>
        <v>0</v>
      </c>
      <c r="AA343" s="91">
        <f t="shared" si="91"/>
        <v>0</v>
      </c>
      <c r="AB343" s="30">
        <f t="shared" si="91"/>
        <v>0</v>
      </c>
      <c r="AC343" s="91">
        <f t="shared" si="91"/>
        <v>0</v>
      </c>
      <c r="AD343" s="30">
        <f t="shared" si="91"/>
        <v>0</v>
      </c>
      <c r="AE343" s="29">
        <f t="shared" si="91"/>
        <v>0</v>
      </c>
      <c r="AF343" s="30">
        <f t="shared" si="91"/>
        <v>0</v>
      </c>
      <c r="AG343" s="91">
        <f t="shared" si="91"/>
        <v>0</v>
      </c>
      <c r="AH343" s="28">
        <f t="shared" ref="AH343:BO343" si="92">SUM(AH333:AH342)</f>
        <v>0</v>
      </c>
      <c r="AI343" s="31">
        <f t="shared" si="92"/>
        <v>0</v>
      </c>
      <c r="AJ343" s="30">
        <f t="shared" si="92"/>
        <v>0</v>
      </c>
      <c r="AK343" s="31">
        <f t="shared" si="92"/>
        <v>0</v>
      </c>
      <c r="AL343" s="30">
        <f t="shared" si="92"/>
        <v>0</v>
      </c>
      <c r="AM343" s="91">
        <f t="shared" si="92"/>
        <v>0</v>
      </c>
      <c r="AN343" s="30">
        <f t="shared" si="92"/>
        <v>0</v>
      </c>
      <c r="AO343" s="91">
        <f t="shared" si="92"/>
        <v>0</v>
      </c>
      <c r="AP343" s="30">
        <f t="shared" si="92"/>
        <v>0</v>
      </c>
      <c r="AQ343" s="91">
        <f t="shared" si="92"/>
        <v>0</v>
      </c>
      <c r="AR343" s="30">
        <f t="shared" si="92"/>
        <v>0</v>
      </c>
      <c r="AS343" s="91">
        <f t="shared" si="92"/>
        <v>0</v>
      </c>
      <c r="AT343" s="30">
        <f t="shared" si="92"/>
        <v>0</v>
      </c>
      <c r="AU343" s="91">
        <f t="shared" si="92"/>
        <v>0</v>
      </c>
      <c r="AV343" s="30">
        <f t="shared" si="92"/>
        <v>0</v>
      </c>
      <c r="AW343" s="91">
        <f t="shared" si="92"/>
        <v>0</v>
      </c>
      <c r="AX343" s="30">
        <f t="shared" si="92"/>
        <v>0</v>
      </c>
      <c r="AY343" s="91">
        <f t="shared" si="92"/>
        <v>0</v>
      </c>
      <c r="AZ343" s="30">
        <f t="shared" si="92"/>
        <v>0</v>
      </c>
      <c r="BA343" s="91">
        <f t="shared" si="92"/>
        <v>0</v>
      </c>
      <c r="BB343" s="30">
        <f t="shared" si="92"/>
        <v>0</v>
      </c>
      <c r="BC343" s="91">
        <f t="shared" si="92"/>
        <v>0</v>
      </c>
      <c r="BD343" s="30">
        <f t="shared" si="92"/>
        <v>0</v>
      </c>
      <c r="BE343" s="91">
        <f t="shared" si="92"/>
        <v>0</v>
      </c>
      <c r="BF343" s="30">
        <f t="shared" si="92"/>
        <v>0</v>
      </c>
      <c r="BG343" s="91">
        <f t="shared" si="92"/>
        <v>0</v>
      </c>
      <c r="BH343" s="30">
        <f t="shared" si="92"/>
        <v>0</v>
      </c>
      <c r="BI343" s="91">
        <f t="shared" si="92"/>
        <v>0</v>
      </c>
      <c r="BJ343" s="30">
        <f t="shared" si="92"/>
        <v>0</v>
      </c>
      <c r="BK343" s="91">
        <f t="shared" si="92"/>
        <v>0</v>
      </c>
      <c r="BL343" s="30">
        <f t="shared" si="92"/>
        <v>0</v>
      </c>
      <c r="BM343" s="91">
        <f t="shared" si="92"/>
        <v>0</v>
      </c>
      <c r="BN343" s="32">
        <f t="shared" si="92"/>
        <v>3</v>
      </c>
      <c r="BO343" s="40">
        <f t="shared" si="92"/>
        <v>5</v>
      </c>
      <c r="BP343" s="257">
        <f>SUM(BP333:BP342)</f>
        <v>3</v>
      </c>
      <c r="BQ343" s="240">
        <f>SUM(BQ333:BQ342)</f>
        <v>5</v>
      </c>
    </row>
    <row r="344" spans="2:69" ht="24.95" customHeight="1">
      <c r="B344" s="120"/>
      <c r="AG344" s="34"/>
      <c r="AJ344" s="7"/>
      <c r="AK344" s="7"/>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Q344" s="238"/>
    </row>
    <row r="345" spans="2:69" ht="24.95" customHeight="1" thickBot="1">
      <c r="B345" s="120"/>
      <c r="AG345" s="8"/>
      <c r="AJ345" s="7"/>
      <c r="AK345" s="7"/>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43" t="s">
        <v>95</v>
      </c>
      <c r="C346" s="749">
        <f>COUNTIF(B350:B364,"*")</f>
        <v>15</v>
      </c>
      <c r="D346" s="751">
        <v>1</v>
      </c>
      <c r="E346" s="738"/>
      <c r="F346" s="737">
        <v>2</v>
      </c>
      <c r="G346" s="738"/>
      <c r="H346" s="737">
        <v>3</v>
      </c>
      <c r="I346" s="738"/>
      <c r="J346" s="737">
        <v>4</v>
      </c>
      <c r="K346" s="738"/>
      <c r="L346" s="737">
        <v>5</v>
      </c>
      <c r="M346" s="738"/>
      <c r="N346" s="737">
        <v>6</v>
      </c>
      <c r="O346" s="738"/>
      <c r="P346" s="737">
        <v>7</v>
      </c>
      <c r="Q346" s="738"/>
      <c r="R346" s="737">
        <v>8</v>
      </c>
      <c r="S346" s="738"/>
      <c r="T346" s="737">
        <v>9</v>
      </c>
      <c r="U346" s="738"/>
      <c r="V346" s="737">
        <v>10</v>
      </c>
      <c r="W346" s="738"/>
      <c r="X346" s="737">
        <v>11</v>
      </c>
      <c r="Y346" s="738"/>
      <c r="Z346" s="737">
        <v>12</v>
      </c>
      <c r="AA346" s="738"/>
      <c r="AB346" s="737">
        <v>13</v>
      </c>
      <c r="AC346" s="738"/>
      <c r="AD346" s="737">
        <v>14</v>
      </c>
      <c r="AE346" s="742"/>
      <c r="AF346" s="737">
        <v>15</v>
      </c>
      <c r="AG346" s="738"/>
      <c r="AH346" s="738">
        <v>16</v>
      </c>
      <c r="AI346" s="741"/>
      <c r="AJ346" s="741">
        <v>17</v>
      </c>
      <c r="AK346" s="741"/>
      <c r="AL346" s="741">
        <v>18</v>
      </c>
      <c r="AM346" s="741"/>
      <c r="AN346" s="741">
        <v>19</v>
      </c>
      <c r="AO346" s="741"/>
      <c r="AP346" s="741">
        <v>20</v>
      </c>
      <c r="AQ346" s="741"/>
      <c r="AR346" s="741">
        <v>21</v>
      </c>
      <c r="AS346" s="741"/>
      <c r="AT346" s="741">
        <v>22</v>
      </c>
      <c r="AU346" s="741"/>
      <c r="AV346" s="741">
        <v>23</v>
      </c>
      <c r="AW346" s="741"/>
      <c r="AX346" s="741">
        <v>24</v>
      </c>
      <c r="AY346" s="741"/>
      <c r="AZ346" s="741">
        <v>25</v>
      </c>
      <c r="BA346" s="741"/>
      <c r="BB346" s="741">
        <v>26</v>
      </c>
      <c r="BC346" s="741"/>
      <c r="BD346" s="741">
        <v>27</v>
      </c>
      <c r="BE346" s="741"/>
      <c r="BF346" s="741">
        <v>28</v>
      </c>
      <c r="BG346" s="741"/>
      <c r="BH346" s="741">
        <v>29</v>
      </c>
      <c r="BI346" s="741"/>
      <c r="BJ346" s="741">
        <v>30</v>
      </c>
      <c r="BK346" s="741"/>
      <c r="BL346" s="741">
        <v>31</v>
      </c>
      <c r="BM346" s="741"/>
      <c r="BN346" s="738" t="s">
        <v>251</v>
      </c>
      <c r="BO346" s="760"/>
      <c r="BP346" s="771" t="s">
        <v>353</v>
      </c>
      <c r="BQ346" s="776"/>
    </row>
    <row r="347" spans="2:69" ht="24.95" customHeight="1" thickBot="1">
      <c r="B347" s="744"/>
      <c r="C347" s="747"/>
      <c r="D347" s="752" t="str">
        <f>D2</f>
        <v>水</v>
      </c>
      <c r="E347" s="740"/>
      <c r="F347" s="739" t="str">
        <f>F2</f>
        <v>木</v>
      </c>
      <c r="G347" s="740"/>
      <c r="H347" s="739" t="str">
        <f>H2</f>
        <v>金</v>
      </c>
      <c r="I347" s="740"/>
      <c r="J347" s="739" t="str">
        <f>J2</f>
        <v>土</v>
      </c>
      <c r="K347" s="740"/>
      <c r="L347" s="739" t="str">
        <f>L2</f>
        <v>日</v>
      </c>
      <c r="M347" s="740"/>
      <c r="N347" s="739" t="str">
        <f>N2</f>
        <v>月</v>
      </c>
      <c r="O347" s="740"/>
      <c r="P347" s="739" t="str">
        <f>P2</f>
        <v>火</v>
      </c>
      <c r="Q347" s="740"/>
      <c r="R347" s="739" t="str">
        <f>R2</f>
        <v>水</v>
      </c>
      <c r="S347" s="740"/>
      <c r="T347" s="739" t="str">
        <f>T2</f>
        <v>木</v>
      </c>
      <c r="U347" s="740"/>
      <c r="V347" s="739" t="str">
        <f>V2</f>
        <v>金</v>
      </c>
      <c r="W347" s="740"/>
      <c r="X347" s="739" t="str">
        <f>X2</f>
        <v>土</v>
      </c>
      <c r="Y347" s="740"/>
      <c r="Z347" s="739" t="str">
        <f>Z2</f>
        <v>日</v>
      </c>
      <c r="AA347" s="740"/>
      <c r="AB347" s="739" t="str">
        <f>AB2</f>
        <v>月</v>
      </c>
      <c r="AC347" s="740"/>
      <c r="AD347" s="739" t="str">
        <f>AD2</f>
        <v>火</v>
      </c>
      <c r="AE347" s="756"/>
      <c r="AF347" s="739" t="str">
        <f>AF2</f>
        <v>水</v>
      </c>
      <c r="AG347" s="740"/>
      <c r="AH347" s="767" t="str">
        <f>AH2</f>
        <v>木</v>
      </c>
      <c r="AI347" s="769"/>
      <c r="AJ347" s="770" t="str">
        <f>AJ2</f>
        <v>金</v>
      </c>
      <c r="AK347" s="770"/>
      <c r="AL347" s="770" t="str">
        <f>AL2</f>
        <v>土</v>
      </c>
      <c r="AM347" s="770"/>
      <c r="AN347" s="770" t="str">
        <f>AN2</f>
        <v>日</v>
      </c>
      <c r="AO347" s="770"/>
      <c r="AP347" s="770" t="str">
        <f>AP2</f>
        <v>月</v>
      </c>
      <c r="AQ347" s="770"/>
      <c r="AR347" s="770" t="str">
        <f>AR2</f>
        <v>火</v>
      </c>
      <c r="AS347" s="770"/>
      <c r="AT347" s="770" t="str">
        <f>AT2</f>
        <v>水</v>
      </c>
      <c r="AU347" s="770"/>
      <c r="AV347" s="770" t="str">
        <f>AV2</f>
        <v>木</v>
      </c>
      <c r="AW347" s="770"/>
      <c r="AX347" s="770" t="str">
        <f>AX2</f>
        <v>金</v>
      </c>
      <c r="AY347" s="770"/>
      <c r="AZ347" s="770" t="str">
        <f>AZ2</f>
        <v>土</v>
      </c>
      <c r="BA347" s="770"/>
      <c r="BB347" s="770" t="str">
        <f>BB2</f>
        <v>日</v>
      </c>
      <c r="BC347" s="770"/>
      <c r="BD347" s="770" t="str">
        <f>BD2</f>
        <v>月</v>
      </c>
      <c r="BE347" s="770"/>
      <c r="BF347" s="770" t="str">
        <f>BF2</f>
        <v>火</v>
      </c>
      <c r="BG347" s="770"/>
      <c r="BH347" s="770" t="str">
        <f>BH2</f>
        <v>水</v>
      </c>
      <c r="BI347" s="770"/>
      <c r="BJ347" s="770" t="str">
        <f>BJ2</f>
        <v>木</v>
      </c>
      <c r="BK347" s="770"/>
      <c r="BL347" s="770" t="str">
        <f>BL2</f>
        <v>金</v>
      </c>
      <c r="BM347" s="770"/>
      <c r="BN347" s="761"/>
      <c r="BO347" s="762"/>
      <c r="BP347" s="777"/>
      <c r="BQ347" s="778"/>
    </row>
    <row r="348" spans="2:69" ht="24.95" customHeight="1" thickTop="1">
      <c r="B348" s="744"/>
      <c r="C348" s="747"/>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584" t="s">
        <v>73</v>
      </c>
      <c r="AF348" s="552" t="s">
        <v>72</v>
      </c>
      <c r="AG348" s="583" t="s">
        <v>73</v>
      </c>
      <c r="AH348" s="482" t="s">
        <v>72</v>
      </c>
      <c r="AI348" s="583"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88" t="s">
        <v>252</v>
      </c>
      <c r="BQ348" s="489" t="s">
        <v>254</v>
      </c>
    </row>
    <row r="349" spans="2:69" ht="45" customHeight="1">
      <c r="B349" s="540" t="s">
        <v>508</v>
      </c>
      <c r="C349" s="541"/>
      <c r="D349" s="542"/>
      <c r="E349" s="543"/>
      <c r="F349" s="542"/>
      <c r="G349" s="543"/>
      <c r="H349" s="542"/>
      <c r="I349" s="543"/>
      <c r="J349" s="542"/>
      <c r="K349" s="543"/>
      <c r="L349" s="542"/>
      <c r="M349" s="543"/>
      <c r="N349" s="542"/>
      <c r="O349" s="543"/>
      <c r="P349" s="542"/>
      <c r="Q349" s="543"/>
      <c r="R349" s="542"/>
      <c r="S349" s="543"/>
      <c r="T349" s="542"/>
      <c r="U349" s="543"/>
      <c r="V349" s="542"/>
      <c r="W349" s="543"/>
      <c r="X349" s="542"/>
      <c r="Y349" s="543"/>
      <c r="Z349" s="542"/>
      <c r="AA349" s="544"/>
      <c r="AB349" s="542"/>
      <c r="AC349" s="544"/>
      <c r="AD349" s="542"/>
      <c r="AE349" s="557"/>
      <c r="AF349" s="546"/>
      <c r="AG349" s="556"/>
      <c r="AH349" s="555"/>
      <c r="AI349" s="556"/>
      <c r="AJ349" s="542"/>
      <c r="AK349" s="543"/>
      <c r="AL349" s="542"/>
      <c r="AM349" s="543"/>
      <c r="AN349" s="542"/>
      <c r="AO349" s="543"/>
      <c r="AP349" s="542"/>
      <c r="AQ349" s="543"/>
      <c r="AR349" s="542"/>
      <c r="AS349" s="543"/>
      <c r="AT349" s="542"/>
      <c r="AU349" s="543"/>
      <c r="AV349" s="542"/>
      <c r="AW349" s="543"/>
      <c r="AX349" s="542"/>
      <c r="AY349" s="543"/>
      <c r="AZ349" s="542"/>
      <c r="BA349" s="543"/>
      <c r="BB349" s="542"/>
      <c r="BC349" s="543"/>
      <c r="BD349" s="542"/>
      <c r="BE349" s="543"/>
      <c r="BF349" s="542"/>
      <c r="BG349" s="543"/>
      <c r="BH349" s="542"/>
      <c r="BI349" s="543"/>
      <c r="BJ349" s="542"/>
      <c r="BK349" s="543"/>
      <c r="BL349" s="542"/>
      <c r="BM349" s="543"/>
      <c r="BN349" s="561">
        <f>SUM(D349,F349,H349,J349,L349,N349,P349,R349,T349,V349,X349,Z349,AB349,AD349,AF349,AH349,AJ349,AL349,AN349,AP349,AR349,AT349,AV349,AX349,AZ349,BB349,BD349,BF349,BH349,BJ349,BL349)</f>
        <v>0</v>
      </c>
      <c r="BO349" s="559">
        <f>SUM(E349,G349,I349,K349,M349,O349,Q349,S349,U349,W349,Y349,AA349,AC349,AE349,AG349,AI349,AK349,AM349,AO349,AQ349,AS349,AU349,AW349,AY349,BA349,BC349,BE349,BG349,BI349,BK349,BM349)</f>
        <v>0</v>
      </c>
      <c r="BP349" s="558">
        <f>BN349</f>
        <v>0</v>
      </c>
      <c r="BQ349" s="559">
        <f>BO349</f>
        <v>0</v>
      </c>
    </row>
    <row r="350" spans="2:69" ht="45" customHeight="1">
      <c r="B350" s="509" t="s">
        <v>507</v>
      </c>
      <c r="C350" s="510"/>
      <c r="D350" s="511"/>
      <c r="E350" s="512"/>
      <c r="F350" s="511"/>
      <c r="G350" s="512"/>
      <c r="H350" s="511"/>
      <c r="I350" s="512"/>
      <c r="J350" s="511"/>
      <c r="K350" s="512"/>
      <c r="L350" s="511"/>
      <c r="M350" s="512"/>
      <c r="N350" s="511"/>
      <c r="O350" s="512"/>
      <c r="P350" s="511"/>
      <c r="Q350" s="512"/>
      <c r="R350" s="511"/>
      <c r="S350" s="512"/>
      <c r="T350" s="511"/>
      <c r="U350" s="512"/>
      <c r="V350" s="511"/>
      <c r="W350" s="512"/>
      <c r="X350" s="511"/>
      <c r="Y350" s="512"/>
      <c r="Z350" s="511"/>
      <c r="AA350" s="512"/>
      <c r="AB350" s="511"/>
      <c r="AC350" s="512"/>
      <c r="AD350" s="511"/>
      <c r="AE350" s="584"/>
      <c r="AF350" s="586"/>
      <c r="AG350" s="583"/>
      <c r="AH350" s="555"/>
      <c r="AI350" s="556"/>
      <c r="AJ350" s="515"/>
      <c r="AK350" s="516"/>
      <c r="AL350" s="515"/>
      <c r="AM350" s="516"/>
      <c r="AN350" s="515"/>
      <c r="AO350" s="516"/>
      <c r="AP350" s="515"/>
      <c r="AQ350" s="516"/>
      <c r="AR350" s="515"/>
      <c r="AS350" s="516"/>
      <c r="AT350" s="515"/>
      <c r="AU350" s="516"/>
      <c r="AV350" s="515"/>
      <c r="AW350" s="516"/>
      <c r="AX350" s="515"/>
      <c r="AY350" s="516"/>
      <c r="AZ350" s="515"/>
      <c r="BA350" s="516"/>
      <c r="BB350" s="515"/>
      <c r="BC350" s="516"/>
      <c r="BD350" s="515"/>
      <c r="BE350" s="516"/>
      <c r="BF350" s="515"/>
      <c r="BG350" s="516"/>
      <c r="BH350" s="515"/>
      <c r="BI350" s="516"/>
      <c r="BJ350" s="515"/>
      <c r="BK350" s="516"/>
      <c r="BL350" s="515"/>
      <c r="BM350" s="516"/>
      <c r="BN350" s="561">
        <f t="shared" ref="BN350:BN364" si="93">SUM(D350,F350,H350,J350,L350,N350,P350,R350,T350,V350,X350,Z350,AB350,AD350,AF350,AH350,AJ350,AL350,AN350,AP350,AR350,AT350,AV350,AX350,AZ350,BB350,BD350,BF350,BH350,BJ350,BL350)</f>
        <v>0</v>
      </c>
      <c r="BO350" s="559">
        <f t="shared" ref="BO350:BO364" si="94">SUM(E350,G350,I350,K350,M350,O350,Q350,S350,U350,W350,Y350,AA350,AC350,AE350,AG350,AI350,AK350,AM350,AO350,AQ350,AS350,AU350,AW350,AY350,BA350,BC350,BE350,BG350,BI350,BK350,BM350)</f>
        <v>0</v>
      </c>
      <c r="BP350" s="558">
        <f t="shared" ref="BP350:BP364" si="95">BN350</f>
        <v>0</v>
      </c>
      <c r="BQ350" s="559">
        <f t="shared" ref="BQ350:BQ364" si="96">BO350</f>
        <v>0</v>
      </c>
    </row>
    <row r="351" spans="2:69" ht="45" customHeight="1">
      <c r="B351" s="490" t="s">
        <v>504</v>
      </c>
      <c r="C351" s="491"/>
      <c r="D351" s="492"/>
      <c r="E351" s="493"/>
      <c r="F351" s="492"/>
      <c r="G351" s="493"/>
      <c r="H351" s="492"/>
      <c r="I351" s="493"/>
      <c r="J351" s="492"/>
      <c r="K351" s="493"/>
      <c r="L351" s="492"/>
      <c r="M351" s="493"/>
      <c r="N351" s="492"/>
      <c r="O351" s="493"/>
      <c r="P351" s="492"/>
      <c r="Q351" s="493"/>
      <c r="R351" s="492"/>
      <c r="S351" s="493"/>
      <c r="T351" s="492"/>
      <c r="U351" s="493"/>
      <c r="V351" s="492"/>
      <c r="W351" s="493"/>
      <c r="X351" s="492"/>
      <c r="Y351" s="493"/>
      <c r="Z351" s="517"/>
      <c r="AA351" s="518"/>
      <c r="AB351" s="517"/>
      <c r="AC351" s="518"/>
      <c r="AD351" s="517"/>
      <c r="AE351" s="600"/>
      <c r="AF351" s="601"/>
      <c r="AG351" s="556"/>
      <c r="AH351" s="555"/>
      <c r="AI351" s="556"/>
      <c r="AJ351" s="492"/>
      <c r="AK351" s="493"/>
      <c r="AL351" s="492"/>
      <c r="AM351" s="493"/>
      <c r="AN351" s="492"/>
      <c r="AO351" s="493"/>
      <c r="AP351" s="492"/>
      <c r="AQ351" s="493"/>
      <c r="AR351" s="492"/>
      <c r="AS351" s="493"/>
      <c r="AT351" s="492"/>
      <c r="AU351" s="493"/>
      <c r="AV351" s="492"/>
      <c r="AW351" s="493"/>
      <c r="AX351" s="492"/>
      <c r="AY351" s="493"/>
      <c r="AZ351" s="492"/>
      <c r="BA351" s="493"/>
      <c r="BB351" s="492"/>
      <c r="BC351" s="493"/>
      <c r="BD351" s="492"/>
      <c r="BE351" s="493"/>
      <c r="BF351" s="492"/>
      <c r="BG351" s="493"/>
      <c r="BH351" s="492"/>
      <c r="BI351" s="493"/>
      <c r="BJ351" s="492"/>
      <c r="BK351" s="493"/>
      <c r="BL351" s="492"/>
      <c r="BM351" s="493"/>
      <c r="BN351" s="561">
        <f t="shared" si="93"/>
        <v>0</v>
      </c>
      <c r="BO351" s="559">
        <f t="shared" si="94"/>
        <v>0</v>
      </c>
      <c r="BP351" s="558">
        <f t="shared" si="95"/>
        <v>0</v>
      </c>
      <c r="BQ351" s="559">
        <f t="shared" si="96"/>
        <v>0</v>
      </c>
    </row>
    <row r="352" spans="2:69" ht="45" customHeight="1">
      <c r="B352" s="203" t="s">
        <v>143</v>
      </c>
      <c r="C352" s="145"/>
      <c r="D352" s="89"/>
      <c r="E352" s="36"/>
      <c r="F352" s="89"/>
      <c r="G352" s="36"/>
      <c r="H352" s="89"/>
      <c r="I352" s="36"/>
      <c r="J352" s="89"/>
      <c r="K352" s="36"/>
      <c r="L352" s="89"/>
      <c r="M352" s="36"/>
      <c r="N352" s="89"/>
      <c r="O352" s="36"/>
      <c r="P352" s="89"/>
      <c r="Q352" s="36"/>
      <c r="R352" s="89"/>
      <c r="S352" s="36"/>
      <c r="T352" s="89"/>
      <c r="U352" s="36"/>
      <c r="V352" s="89"/>
      <c r="W352" s="36"/>
      <c r="X352" s="89"/>
      <c r="Y352" s="36"/>
      <c r="Z352" s="89"/>
      <c r="AA352" s="36"/>
      <c r="AB352" s="89"/>
      <c r="AC352" s="36"/>
      <c r="AD352" s="89"/>
      <c r="AE352" s="42"/>
      <c r="AF352" s="35"/>
      <c r="AG352" s="36"/>
      <c r="AH352" s="582"/>
      <c r="AI352" s="583"/>
      <c r="AJ352" s="511"/>
      <c r="AK352" s="512"/>
      <c r="AL352" s="511"/>
      <c r="AM352" s="512"/>
      <c r="AN352" s="511"/>
      <c r="AO352" s="512"/>
      <c r="AP352" s="511"/>
      <c r="AQ352" s="512"/>
      <c r="AR352" s="511"/>
      <c r="AS352" s="512"/>
      <c r="AT352" s="511"/>
      <c r="AU352" s="512"/>
      <c r="AV352" s="511"/>
      <c r="AW352" s="512"/>
      <c r="AX352" s="511"/>
      <c r="AY352" s="512"/>
      <c r="AZ352" s="511"/>
      <c r="BA352" s="512"/>
      <c r="BB352" s="511"/>
      <c r="BC352" s="512"/>
      <c r="BD352" s="511"/>
      <c r="BE352" s="512"/>
      <c r="BF352" s="511"/>
      <c r="BG352" s="512"/>
      <c r="BH352" s="511"/>
      <c r="BI352" s="512"/>
      <c r="BJ352" s="511"/>
      <c r="BK352" s="512"/>
      <c r="BL352" s="511"/>
      <c r="BM352" s="512"/>
      <c r="BN352" s="561">
        <f t="shared" si="93"/>
        <v>0</v>
      </c>
      <c r="BO352" s="559">
        <f t="shared" si="94"/>
        <v>0</v>
      </c>
      <c r="BP352" s="558">
        <f t="shared" si="95"/>
        <v>0</v>
      </c>
      <c r="BQ352" s="559">
        <f t="shared" si="96"/>
        <v>0</v>
      </c>
    </row>
    <row r="353" spans="2:69" ht="45" customHeight="1">
      <c r="B353" s="201" t="s">
        <v>211</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600"/>
      <c r="AF353" s="601"/>
      <c r="AG353" s="569"/>
      <c r="AH353" s="582"/>
      <c r="AI353" s="583"/>
      <c r="AJ353" s="511"/>
      <c r="AK353" s="512"/>
      <c r="AL353" s="511"/>
      <c r="AM353" s="512"/>
      <c r="AN353" s="511"/>
      <c r="AO353" s="512"/>
      <c r="AP353" s="511"/>
      <c r="AQ353" s="512"/>
      <c r="AR353" s="511"/>
      <c r="AS353" s="512"/>
      <c r="AT353" s="511"/>
      <c r="AU353" s="512"/>
      <c r="AV353" s="511"/>
      <c r="AW353" s="512"/>
      <c r="AX353" s="511"/>
      <c r="AY353" s="512"/>
      <c r="AZ353" s="511"/>
      <c r="BA353" s="512"/>
      <c r="BB353" s="511"/>
      <c r="BC353" s="512"/>
      <c r="BD353" s="511"/>
      <c r="BE353" s="512"/>
      <c r="BF353" s="511"/>
      <c r="BG353" s="512"/>
      <c r="BH353" s="511"/>
      <c r="BI353" s="512"/>
      <c r="BJ353" s="511"/>
      <c r="BK353" s="512"/>
      <c r="BL353" s="511"/>
      <c r="BM353" s="512"/>
      <c r="BN353" s="561">
        <f t="shared" si="93"/>
        <v>0</v>
      </c>
      <c r="BO353" s="559">
        <f t="shared" si="94"/>
        <v>0</v>
      </c>
      <c r="BP353" s="558">
        <f t="shared" si="95"/>
        <v>0</v>
      </c>
      <c r="BQ353" s="559">
        <f t="shared" si="96"/>
        <v>0</v>
      </c>
    </row>
    <row r="354" spans="2:69" s="6" customFormat="1" ht="50.1" customHeight="1">
      <c r="B354" s="201" t="s">
        <v>193</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600"/>
      <c r="AF354" s="601"/>
      <c r="AG354" s="569"/>
      <c r="AH354" s="567"/>
      <c r="AI354" s="569"/>
      <c r="AJ354" s="18"/>
      <c r="AK354" s="14"/>
      <c r="AL354" s="18"/>
      <c r="AM354" s="14"/>
      <c r="AN354" s="18"/>
      <c r="AO354" s="14"/>
      <c r="AP354" s="18"/>
      <c r="AQ354" s="14"/>
      <c r="AR354" s="18"/>
      <c r="AS354" s="14"/>
      <c r="AT354" s="18"/>
      <c r="AU354" s="14"/>
      <c r="AV354" s="18"/>
      <c r="AW354" s="14"/>
      <c r="AX354" s="18"/>
      <c r="AY354" s="547"/>
      <c r="AZ354" s="548"/>
      <c r="BA354" s="547"/>
      <c r="BB354" s="548"/>
      <c r="BC354" s="547"/>
      <c r="BD354" s="548"/>
      <c r="BE354" s="547"/>
      <c r="BF354" s="548"/>
      <c r="BG354" s="547"/>
      <c r="BH354" s="548"/>
      <c r="BI354" s="547"/>
      <c r="BJ354" s="548"/>
      <c r="BK354" s="549"/>
      <c r="BL354" s="550"/>
      <c r="BM354" s="549"/>
      <c r="BN354" s="561">
        <f t="shared" si="93"/>
        <v>0</v>
      </c>
      <c r="BO354" s="559">
        <f t="shared" si="94"/>
        <v>0</v>
      </c>
      <c r="BP354" s="558">
        <f t="shared" si="95"/>
        <v>0</v>
      </c>
      <c r="BQ354" s="559">
        <f t="shared" si="96"/>
        <v>0</v>
      </c>
    </row>
    <row r="355" spans="2:69" s="6" customFormat="1" ht="50.1" customHeight="1">
      <c r="B355" s="201" t="s">
        <v>238</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600"/>
      <c r="AF355" s="601"/>
      <c r="AG355" s="569"/>
      <c r="AH355" s="567"/>
      <c r="AI355" s="569"/>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561">
        <f t="shared" si="93"/>
        <v>0</v>
      </c>
      <c r="BO355" s="559">
        <f t="shared" si="94"/>
        <v>0</v>
      </c>
      <c r="BP355" s="558">
        <f t="shared" si="95"/>
        <v>0</v>
      </c>
      <c r="BQ355" s="559">
        <f t="shared" si="96"/>
        <v>0</v>
      </c>
    </row>
    <row r="356" spans="2:69" s="6" customFormat="1" ht="50.1" customHeight="1">
      <c r="B356" s="201" t="s">
        <v>201</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600"/>
      <c r="AF356" s="601"/>
      <c r="AG356" s="569"/>
      <c r="AH356" s="567"/>
      <c r="AI356" s="569"/>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561">
        <f t="shared" si="93"/>
        <v>0</v>
      </c>
      <c r="BO356" s="559">
        <f t="shared" si="94"/>
        <v>0</v>
      </c>
      <c r="BP356" s="558">
        <f t="shared" si="95"/>
        <v>0</v>
      </c>
      <c r="BQ356" s="559">
        <f t="shared" si="96"/>
        <v>0</v>
      </c>
    </row>
    <row r="357" spans="2:69" s="6" customFormat="1" ht="50.1" customHeight="1">
      <c r="B357" s="201" t="s">
        <v>255</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594"/>
      <c r="AF357" s="612"/>
      <c r="AG357" s="593"/>
      <c r="AH357" s="567"/>
      <c r="AI357" s="569"/>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561">
        <f t="shared" si="93"/>
        <v>0</v>
      </c>
      <c r="BO357" s="559">
        <f t="shared" si="94"/>
        <v>0</v>
      </c>
      <c r="BP357" s="558">
        <f t="shared" si="95"/>
        <v>0</v>
      </c>
      <c r="BQ357" s="559">
        <f t="shared" si="96"/>
        <v>0</v>
      </c>
    </row>
    <row r="358" spans="2:69" s="6" customFormat="1" ht="50.1" customHeight="1">
      <c r="B358" s="201" t="s">
        <v>278</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600"/>
      <c r="AF358" s="601"/>
      <c r="AG358" s="569"/>
      <c r="AH358" s="567"/>
      <c r="AI358" s="569"/>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561">
        <f t="shared" si="93"/>
        <v>0</v>
      </c>
      <c r="BO358" s="559">
        <f t="shared" si="94"/>
        <v>0</v>
      </c>
      <c r="BP358" s="558">
        <f t="shared" si="95"/>
        <v>0</v>
      </c>
      <c r="BQ358" s="559">
        <f t="shared" si="96"/>
        <v>0</v>
      </c>
    </row>
    <row r="359" spans="2:69" s="6" customFormat="1" ht="50.1" customHeight="1">
      <c r="B359" s="201" t="s">
        <v>279</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600"/>
      <c r="AF359" s="601"/>
      <c r="AG359" s="569"/>
      <c r="AH359" s="592"/>
      <c r="AI359" s="593"/>
      <c r="AJ359" s="50"/>
      <c r="AK359" s="20"/>
      <c r="AL359" s="50"/>
      <c r="AM359" s="20"/>
      <c r="AN359" s="50"/>
      <c r="AO359" s="20"/>
      <c r="AP359" s="50"/>
      <c r="AQ359" s="20"/>
      <c r="AR359" s="50"/>
      <c r="AS359" s="20"/>
      <c r="AT359" s="50"/>
      <c r="AU359" s="20"/>
      <c r="AV359" s="50"/>
      <c r="AW359" s="20"/>
      <c r="AX359" s="50"/>
      <c r="AY359" s="20"/>
      <c r="AZ359" s="50"/>
      <c r="BA359" s="20"/>
      <c r="BB359" s="50"/>
      <c r="BC359" s="20"/>
      <c r="BD359" s="50"/>
      <c r="BE359" s="20"/>
      <c r="BF359" s="50"/>
      <c r="BG359" s="20"/>
      <c r="BH359" s="50"/>
      <c r="BI359" s="20"/>
      <c r="BJ359" s="50"/>
      <c r="BK359" s="21"/>
      <c r="BL359" s="38"/>
      <c r="BM359" s="20"/>
      <c r="BN359" s="561">
        <f t="shared" si="93"/>
        <v>0</v>
      </c>
      <c r="BO359" s="559">
        <f t="shared" si="94"/>
        <v>0</v>
      </c>
      <c r="BP359" s="558">
        <f t="shared" si="95"/>
        <v>0</v>
      </c>
      <c r="BQ359" s="559">
        <f t="shared" si="96"/>
        <v>0</v>
      </c>
    </row>
    <row r="360" spans="2:69" s="6" customFormat="1" ht="50.1" customHeight="1">
      <c r="B360" s="201" t="s">
        <v>484</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600"/>
      <c r="AF360" s="601"/>
      <c r="AG360" s="569"/>
      <c r="AH360" s="567"/>
      <c r="AI360" s="569"/>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5"/>
      <c r="BL360" s="37"/>
      <c r="BM360" s="14"/>
      <c r="BN360" s="561">
        <f t="shared" si="93"/>
        <v>0</v>
      </c>
      <c r="BO360" s="559">
        <f t="shared" si="94"/>
        <v>0</v>
      </c>
      <c r="BP360" s="558">
        <f t="shared" si="95"/>
        <v>0</v>
      </c>
      <c r="BQ360" s="559">
        <f t="shared" si="96"/>
        <v>0</v>
      </c>
    </row>
    <row r="361" spans="2:69" s="6" customFormat="1" ht="50.1" customHeight="1">
      <c r="B361" s="201" t="s">
        <v>485</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600"/>
      <c r="AF361" s="601"/>
      <c r="AG361" s="569"/>
      <c r="AH361" s="567"/>
      <c r="AI361" s="569"/>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561">
        <f t="shared" si="93"/>
        <v>0</v>
      </c>
      <c r="BO361" s="559">
        <f t="shared" si="94"/>
        <v>0</v>
      </c>
      <c r="BP361" s="558">
        <f t="shared" si="95"/>
        <v>0</v>
      </c>
      <c r="BQ361" s="559">
        <f t="shared" si="96"/>
        <v>0</v>
      </c>
    </row>
    <row r="362" spans="2:69" s="6" customFormat="1" ht="45" customHeight="1">
      <c r="B362" s="209" t="s">
        <v>505</v>
      </c>
      <c r="C362" s="484"/>
      <c r="D362" s="485"/>
      <c r="E362" s="486"/>
      <c r="F362" s="485"/>
      <c r="G362" s="486"/>
      <c r="H362" s="485"/>
      <c r="I362" s="486"/>
      <c r="J362" s="485"/>
      <c r="K362" s="486"/>
      <c r="L362" s="485"/>
      <c r="M362" s="486"/>
      <c r="N362" s="485"/>
      <c r="O362" s="486"/>
      <c r="P362" s="485"/>
      <c r="Q362" s="486"/>
      <c r="R362" s="485"/>
      <c r="S362" s="486"/>
      <c r="T362" s="485"/>
      <c r="U362" s="486"/>
      <c r="V362" s="485"/>
      <c r="W362" s="486"/>
      <c r="X362" s="485"/>
      <c r="Y362" s="486"/>
      <c r="Z362" s="485"/>
      <c r="AA362" s="14"/>
      <c r="AB362" s="18"/>
      <c r="AC362" s="14"/>
      <c r="AD362" s="18"/>
      <c r="AE362" s="600"/>
      <c r="AF362" s="601"/>
      <c r="AG362" s="556"/>
      <c r="AH362" s="567"/>
      <c r="AI362" s="569"/>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4"/>
      <c r="BL362" s="37"/>
      <c r="BM362" s="14"/>
      <c r="BN362" s="561">
        <f t="shared" si="93"/>
        <v>0</v>
      </c>
      <c r="BO362" s="559">
        <f t="shared" si="94"/>
        <v>0</v>
      </c>
      <c r="BP362" s="558">
        <f t="shared" si="95"/>
        <v>0</v>
      </c>
      <c r="BQ362" s="559">
        <f t="shared" si="96"/>
        <v>0</v>
      </c>
    </row>
    <row r="363" spans="2:69" s="6" customFormat="1" ht="45" customHeight="1">
      <c r="B363" s="496" t="s">
        <v>546</v>
      </c>
      <c r="C363" s="497"/>
      <c r="D363" s="498"/>
      <c r="E363" s="499"/>
      <c r="F363" s="498"/>
      <c r="G363" s="499"/>
      <c r="H363" s="498"/>
      <c r="I363" s="499"/>
      <c r="J363" s="498"/>
      <c r="K363" s="499"/>
      <c r="L363" s="498"/>
      <c r="M363" s="499"/>
      <c r="N363" s="498"/>
      <c r="O363" s="499"/>
      <c r="P363" s="498"/>
      <c r="Q363" s="499"/>
      <c r="R363" s="498"/>
      <c r="S363" s="499"/>
      <c r="T363" s="498"/>
      <c r="U363" s="499"/>
      <c r="V363" s="498">
        <v>1</v>
      </c>
      <c r="W363" s="499">
        <v>2</v>
      </c>
      <c r="X363" s="498"/>
      <c r="Y363" s="499"/>
      <c r="Z363" s="498"/>
      <c r="AA363" s="569"/>
      <c r="AB363" s="567"/>
      <c r="AC363" s="569"/>
      <c r="AD363" s="567"/>
      <c r="AE363" s="600"/>
      <c r="AF363" s="601"/>
      <c r="AG363" s="499"/>
      <c r="AH363" s="567"/>
      <c r="AI363" s="569"/>
      <c r="AJ363" s="567"/>
      <c r="AK363" s="569"/>
      <c r="AL363" s="567"/>
      <c r="AM363" s="569"/>
      <c r="AN363" s="567"/>
      <c r="AO363" s="569"/>
      <c r="AP363" s="567"/>
      <c r="AQ363" s="569"/>
      <c r="AR363" s="567"/>
      <c r="AS363" s="569"/>
      <c r="AT363" s="567"/>
      <c r="AU363" s="569"/>
      <c r="AV363" s="567"/>
      <c r="AW363" s="569"/>
      <c r="AX363" s="567"/>
      <c r="AY363" s="569"/>
      <c r="AZ363" s="567"/>
      <c r="BA363" s="569"/>
      <c r="BB363" s="567"/>
      <c r="BC363" s="569"/>
      <c r="BD363" s="567"/>
      <c r="BE363" s="569"/>
      <c r="BF363" s="567"/>
      <c r="BG363" s="569"/>
      <c r="BH363" s="567"/>
      <c r="BI363" s="569"/>
      <c r="BJ363" s="567"/>
      <c r="BK363" s="600"/>
      <c r="BL363" s="601"/>
      <c r="BM363" s="569"/>
      <c r="BN363" s="561">
        <f>SUM(D363,F363,H363,J363,L363,N363,P363,R363,T363,V363,X363,Z363,AB363,AD363,AF363,AH363,AJ363,AL363,AN363,AP363,AR363,AT363,AV363,AX363,AZ363,BB363,BD363,BF363,BH363,BJ363,BL363)</f>
        <v>1</v>
      </c>
      <c r="BO363" s="559">
        <f>SUM(E363,G363,I363,K363,M363,O363,Q363,S363,U363,W363,Y363,AA363,AC363,AE363,AG363,AI363,AK363,AM363,AO363,AQ363,AS363,AU363,AW363,AY363,BA363,BC363,BE363,BG363,BI363,BK363,BM363)</f>
        <v>2</v>
      </c>
      <c r="BP363" s="558">
        <f>BN363</f>
        <v>1</v>
      </c>
      <c r="BQ363" s="559">
        <f>BO363</f>
        <v>2</v>
      </c>
    </row>
    <row r="364" spans="2:69" s="6" customFormat="1" ht="45" customHeight="1" thickBot="1">
      <c r="B364" s="496" t="s">
        <v>506</v>
      </c>
      <c r="C364" s="497"/>
      <c r="D364" s="498"/>
      <c r="E364" s="499"/>
      <c r="F364" s="498"/>
      <c r="G364" s="499"/>
      <c r="H364" s="498"/>
      <c r="I364" s="499"/>
      <c r="J364" s="498"/>
      <c r="K364" s="499"/>
      <c r="L364" s="498"/>
      <c r="M364" s="499"/>
      <c r="N364" s="498"/>
      <c r="O364" s="499"/>
      <c r="P364" s="498"/>
      <c r="Q364" s="499"/>
      <c r="R364" s="498"/>
      <c r="S364" s="499"/>
      <c r="T364" s="498"/>
      <c r="U364" s="499"/>
      <c r="V364" s="498"/>
      <c r="W364" s="499"/>
      <c r="X364" s="498"/>
      <c r="Y364" s="499"/>
      <c r="Z364" s="498"/>
      <c r="AA364" s="14"/>
      <c r="AB364" s="18"/>
      <c r="AC364" s="14"/>
      <c r="AD364" s="18"/>
      <c r="AE364" s="600"/>
      <c r="AF364" s="601"/>
      <c r="AG364" s="499"/>
      <c r="AH364" s="567"/>
      <c r="AI364" s="569"/>
      <c r="AJ364" s="18"/>
      <c r="AK364" s="14"/>
      <c r="AL364" s="18"/>
      <c r="AM364" s="14"/>
      <c r="AN364" s="18"/>
      <c r="AO364" s="14"/>
      <c r="AP364" s="18"/>
      <c r="AQ364" s="14"/>
      <c r="AR364" s="18"/>
      <c r="AS364" s="14"/>
      <c r="AT364" s="18"/>
      <c r="AU364" s="14"/>
      <c r="AV364" s="18"/>
      <c r="AW364" s="14"/>
      <c r="AX364" s="18"/>
      <c r="AY364" s="14"/>
      <c r="AZ364" s="18"/>
      <c r="BA364" s="14"/>
      <c r="BB364" s="18"/>
      <c r="BC364" s="14"/>
      <c r="BD364" s="18"/>
      <c r="BE364" s="14"/>
      <c r="BF364" s="18"/>
      <c r="BG364" s="14"/>
      <c r="BH364" s="18"/>
      <c r="BI364" s="14"/>
      <c r="BJ364" s="18"/>
      <c r="BK364" s="15"/>
      <c r="BL364" s="37"/>
      <c r="BM364" s="14"/>
      <c r="BN364" s="561">
        <f t="shared" si="93"/>
        <v>0</v>
      </c>
      <c r="BO364" s="559">
        <f t="shared" si="94"/>
        <v>0</v>
      </c>
      <c r="BP364" s="558">
        <f t="shared" si="95"/>
        <v>0</v>
      </c>
      <c r="BQ364" s="559">
        <f t="shared" si="96"/>
        <v>0</v>
      </c>
    </row>
    <row r="365" spans="2:69" s="6" customFormat="1" ht="49.5" customHeight="1" thickBot="1">
      <c r="B365" s="119" t="s">
        <v>462</v>
      </c>
      <c r="C365" s="149"/>
      <c r="D365" s="29">
        <f>SUM(D350:D364)</f>
        <v>0</v>
      </c>
      <c r="E365" s="31">
        <f>SUM(E350:E364)</f>
        <v>0</v>
      </c>
      <c r="F365" s="29">
        <f>SUM(F350:F364)</f>
        <v>0</v>
      </c>
      <c r="G365" s="31">
        <f>SUM(G350:G364)</f>
        <v>0</v>
      </c>
      <c r="H365" s="29">
        <f>SUM(H350:H364)</f>
        <v>0</v>
      </c>
      <c r="I365" s="31">
        <f>SUM(I350:I364)</f>
        <v>0</v>
      </c>
      <c r="J365" s="29">
        <f>SUM(J350:J364)</f>
        <v>0</v>
      </c>
      <c r="K365" s="31">
        <f>SUM(K350:K364)</f>
        <v>0</v>
      </c>
      <c r="L365" s="29">
        <f>SUM(L350:L364)</f>
        <v>0</v>
      </c>
      <c r="M365" s="31">
        <f>SUM(M350:M364)</f>
        <v>0</v>
      </c>
      <c r="N365" s="29">
        <f>SUM(N350:N364)</f>
        <v>0</v>
      </c>
      <c r="O365" s="31">
        <f>SUM(O350:O364)</f>
        <v>0</v>
      </c>
      <c r="P365" s="29">
        <f>SUM(P350:P364)</f>
        <v>0</v>
      </c>
      <c r="Q365" s="31">
        <f>SUM(Q350:Q364)</f>
        <v>0</v>
      </c>
      <c r="R365" s="29">
        <f>SUM(R350:R364)</f>
        <v>0</v>
      </c>
      <c r="S365" s="31">
        <f>SUM(S350:S364)</f>
        <v>0</v>
      </c>
      <c r="T365" s="29">
        <f>SUM(T350:T364)</f>
        <v>0</v>
      </c>
      <c r="U365" s="31">
        <f>SUM(U350:U364)</f>
        <v>0</v>
      </c>
      <c r="V365" s="29">
        <f>SUM(V350:V364)</f>
        <v>1</v>
      </c>
      <c r="W365" s="31">
        <f>SUM(W350:W364)</f>
        <v>2</v>
      </c>
      <c r="X365" s="29">
        <f>SUM(X350:X364)</f>
        <v>0</v>
      </c>
      <c r="Y365" s="31">
        <f>SUM(Y350:Y364)</f>
        <v>0</v>
      </c>
      <c r="Z365" s="29">
        <f>SUM(Z350:Z364)</f>
        <v>0</v>
      </c>
      <c r="AA365" s="31">
        <f>SUM(AA350:AA364)</f>
        <v>0</v>
      </c>
      <c r="AB365" s="29">
        <f>SUM(AB350:AB364)</f>
        <v>0</v>
      </c>
      <c r="AC365" s="31">
        <f>SUM(AC350:AC364)</f>
        <v>0</v>
      </c>
      <c r="AD365" s="29">
        <f>SUM(AD350:AD364)</f>
        <v>0</v>
      </c>
      <c r="AE365" s="41">
        <f>SUM(AE350:AE364)</f>
        <v>0</v>
      </c>
      <c r="AF365" s="39">
        <f>SUM(AF350:AF364)</f>
        <v>0</v>
      </c>
      <c r="AG365" s="31">
        <f>SUM(AG350:AG364)</f>
        <v>0</v>
      </c>
      <c r="AH365" s="29">
        <f>SUM(AH350:AH364)</f>
        <v>0</v>
      </c>
      <c r="AI365" s="31">
        <f>SUM(AI350:AI364)</f>
        <v>0</v>
      </c>
      <c r="AJ365" s="29">
        <f>SUM(AJ350:AJ364)</f>
        <v>0</v>
      </c>
      <c r="AK365" s="31">
        <f>SUM(AK350:AK364)</f>
        <v>0</v>
      </c>
      <c r="AL365" s="29">
        <f>SUM(AL350:AL364)</f>
        <v>0</v>
      </c>
      <c r="AM365" s="31">
        <f>SUM(AM350:AM364)</f>
        <v>0</v>
      </c>
      <c r="AN365" s="29">
        <f>SUM(AN350:AN364)</f>
        <v>0</v>
      </c>
      <c r="AO365" s="31">
        <f>SUM(AO350:AO364)</f>
        <v>0</v>
      </c>
      <c r="AP365" s="29">
        <f>SUM(AP350:AP364)</f>
        <v>0</v>
      </c>
      <c r="AQ365" s="31">
        <f>SUM(AQ350:AQ364)</f>
        <v>0</v>
      </c>
      <c r="AR365" s="29">
        <f>SUM(AR350:AR364)</f>
        <v>0</v>
      </c>
      <c r="AS365" s="31">
        <f>SUM(AS350:AS364)</f>
        <v>0</v>
      </c>
      <c r="AT365" s="29">
        <f>SUM(AT350:AT364)</f>
        <v>0</v>
      </c>
      <c r="AU365" s="31">
        <f>SUM(AU350:AU364)</f>
        <v>0</v>
      </c>
      <c r="AV365" s="29">
        <f>SUM(AV350:AV364)</f>
        <v>0</v>
      </c>
      <c r="AW365" s="31">
        <f>SUM(AW350:AW364)</f>
        <v>0</v>
      </c>
      <c r="AX365" s="29">
        <f>SUM(AX350:AX364)</f>
        <v>0</v>
      </c>
      <c r="AY365" s="31">
        <f>SUM(AY350:AY364)</f>
        <v>0</v>
      </c>
      <c r="AZ365" s="29">
        <f>SUM(AZ350:AZ364)</f>
        <v>0</v>
      </c>
      <c r="BA365" s="31">
        <f>SUM(BA350:BA364)</f>
        <v>0</v>
      </c>
      <c r="BB365" s="29">
        <f>SUM(BB350:BB364)</f>
        <v>0</v>
      </c>
      <c r="BC365" s="31">
        <f>SUM(BC350:BC364)</f>
        <v>0</v>
      </c>
      <c r="BD365" s="29">
        <f>SUM(BD350:BD364)</f>
        <v>0</v>
      </c>
      <c r="BE365" s="31">
        <f>SUM(BE350:BE364)</f>
        <v>0</v>
      </c>
      <c r="BF365" s="29">
        <f>SUM(BF350:BF364)</f>
        <v>0</v>
      </c>
      <c r="BG365" s="31">
        <f>SUM(BG350:BG364)</f>
        <v>0</v>
      </c>
      <c r="BH365" s="29">
        <f>SUM(BH350:BH364)</f>
        <v>0</v>
      </c>
      <c r="BI365" s="31">
        <f>SUM(BI350:BI364)</f>
        <v>0</v>
      </c>
      <c r="BJ365" s="29">
        <f>SUM(BJ350:BJ364)</f>
        <v>0</v>
      </c>
      <c r="BK365" s="41">
        <f>SUM(BK350:BK364)</f>
        <v>0</v>
      </c>
      <c r="BL365" s="39">
        <f>SUM(BL350:BL364)</f>
        <v>0</v>
      </c>
      <c r="BM365" s="31">
        <f>SUM(BM350:BM364)</f>
        <v>0</v>
      </c>
      <c r="BN365" s="28">
        <f>SUM(BN350:BN364)</f>
        <v>1</v>
      </c>
      <c r="BO365" s="41">
        <f>SUM(BO350:BO364)</f>
        <v>2</v>
      </c>
      <c r="BP365" s="257">
        <f>SUM(BP350:BP364)</f>
        <v>1</v>
      </c>
      <c r="BQ365" s="240">
        <f>SUM(BQ350:BQ364)</f>
        <v>2</v>
      </c>
    </row>
    <row r="366" spans="2:69" ht="24.95" customHeight="1">
      <c r="B366" s="120"/>
      <c r="AG366" s="34"/>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J367" s="7"/>
      <c r="AK367" s="7"/>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43" t="s">
        <v>59</v>
      </c>
      <c r="C368" s="749">
        <f>COUNTIF(B371:B375,"*")</f>
        <v>0</v>
      </c>
      <c r="D368" s="751">
        <v>1</v>
      </c>
      <c r="E368" s="738"/>
      <c r="F368" s="737">
        <v>2</v>
      </c>
      <c r="G368" s="738"/>
      <c r="H368" s="737">
        <v>3</v>
      </c>
      <c r="I368" s="738"/>
      <c r="J368" s="737">
        <v>4</v>
      </c>
      <c r="K368" s="738"/>
      <c r="L368" s="737">
        <v>5</v>
      </c>
      <c r="M368" s="738"/>
      <c r="N368" s="737">
        <v>6</v>
      </c>
      <c r="O368" s="738"/>
      <c r="P368" s="737">
        <v>7</v>
      </c>
      <c r="Q368" s="738"/>
      <c r="R368" s="737">
        <v>8</v>
      </c>
      <c r="S368" s="738"/>
      <c r="T368" s="737">
        <v>9</v>
      </c>
      <c r="U368" s="738"/>
      <c r="V368" s="737">
        <v>10</v>
      </c>
      <c r="W368" s="738"/>
      <c r="X368" s="737">
        <v>11</v>
      </c>
      <c r="Y368" s="738"/>
      <c r="Z368" s="737">
        <v>12</v>
      </c>
      <c r="AA368" s="738"/>
      <c r="AB368" s="737">
        <v>13</v>
      </c>
      <c r="AC368" s="738"/>
      <c r="AD368" s="737">
        <v>14</v>
      </c>
      <c r="AE368" s="742"/>
      <c r="AF368" s="737">
        <v>15</v>
      </c>
      <c r="AG368" s="738"/>
      <c r="AH368" s="738">
        <v>16</v>
      </c>
      <c r="AI368" s="741"/>
      <c r="AJ368" s="741">
        <v>17</v>
      </c>
      <c r="AK368" s="741"/>
      <c r="AL368" s="741">
        <v>18</v>
      </c>
      <c r="AM368" s="741"/>
      <c r="AN368" s="741">
        <v>19</v>
      </c>
      <c r="AO368" s="741"/>
      <c r="AP368" s="741">
        <v>20</v>
      </c>
      <c r="AQ368" s="741"/>
      <c r="AR368" s="741">
        <v>21</v>
      </c>
      <c r="AS368" s="741"/>
      <c r="AT368" s="741">
        <v>22</v>
      </c>
      <c r="AU368" s="741"/>
      <c r="AV368" s="741">
        <v>23</v>
      </c>
      <c r="AW368" s="741"/>
      <c r="AX368" s="741">
        <v>24</v>
      </c>
      <c r="AY368" s="741"/>
      <c r="AZ368" s="741">
        <v>25</v>
      </c>
      <c r="BA368" s="741"/>
      <c r="BB368" s="741">
        <v>26</v>
      </c>
      <c r="BC368" s="741"/>
      <c r="BD368" s="741">
        <v>27</v>
      </c>
      <c r="BE368" s="741"/>
      <c r="BF368" s="741">
        <v>28</v>
      </c>
      <c r="BG368" s="741"/>
      <c r="BH368" s="741">
        <v>29</v>
      </c>
      <c r="BI368" s="741"/>
      <c r="BJ368" s="741">
        <v>30</v>
      </c>
      <c r="BK368" s="741"/>
      <c r="BL368" s="741">
        <v>31</v>
      </c>
      <c r="BM368" s="741"/>
      <c r="BN368" s="738" t="s">
        <v>251</v>
      </c>
      <c r="BO368" s="760"/>
      <c r="BP368" s="771" t="s">
        <v>353</v>
      </c>
      <c r="BQ368" s="772"/>
    </row>
    <row r="369" spans="2:69" ht="24.95" customHeight="1">
      <c r="B369" s="744"/>
      <c r="C369" s="747"/>
      <c r="D369" s="752" t="str">
        <f>D2</f>
        <v>水</v>
      </c>
      <c r="E369" s="740"/>
      <c r="F369" s="739" t="str">
        <f>F2</f>
        <v>木</v>
      </c>
      <c r="G369" s="740"/>
      <c r="H369" s="739" t="str">
        <f>H2</f>
        <v>金</v>
      </c>
      <c r="I369" s="740"/>
      <c r="J369" s="739" t="str">
        <f>J2</f>
        <v>土</v>
      </c>
      <c r="K369" s="740"/>
      <c r="L369" s="739" t="str">
        <f>L2</f>
        <v>日</v>
      </c>
      <c r="M369" s="740"/>
      <c r="N369" s="739" t="str">
        <f>N2</f>
        <v>月</v>
      </c>
      <c r="O369" s="740"/>
      <c r="P369" s="739" t="str">
        <f>P2</f>
        <v>火</v>
      </c>
      <c r="Q369" s="740"/>
      <c r="R369" s="739" t="str">
        <f>R2</f>
        <v>水</v>
      </c>
      <c r="S369" s="740"/>
      <c r="T369" s="739" t="str">
        <f>T2</f>
        <v>木</v>
      </c>
      <c r="U369" s="740"/>
      <c r="V369" s="739" t="str">
        <f>V2</f>
        <v>金</v>
      </c>
      <c r="W369" s="740"/>
      <c r="X369" s="739" t="str">
        <f>X2</f>
        <v>土</v>
      </c>
      <c r="Y369" s="740"/>
      <c r="Z369" s="739" t="str">
        <f>Z2</f>
        <v>日</v>
      </c>
      <c r="AA369" s="740"/>
      <c r="AB369" s="739" t="str">
        <f>AB2</f>
        <v>月</v>
      </c>
      <c r="AC369" s="740"/>
      <c r="AD369" s="739" t="str">
        <f>AD2</f>
        <v>火</v>
      </c>
      <c r="AE369" s="756"/>
      <c r="AF369" s="739" t="str">
        <f>AF2</f>
        <v>水</v>
      </c>
      <c r="AG369" s="740"/>
      <c r="AH369" s="767" t="str">
        <f>AH2</f>
        <v>木</v>
      </c>
      <c r="AI369" s="767"/>
      <c r="AJ369" s="770" t="str">
        <f>AJ2</f>
        <v>金</v>
      </c>
      <c r="AK369" s="770"/>
      <c r="AL369" s="770" t="str">
        <f>AL2</f>
        <v>土</v>
      </c>
      <c r="AM369" s="770"/>
      <c r="AN369" s="770" t="str">
        <f>AN2</f>
        <v>日</v>
      </c>
      <c r="AO369" s="770"/>
      <c r="AP369" s="770" t="str">
        <f>AP2</f>
        <v>月</v>
      </c>
      <c r="AQ369" s="770"/>
      <c r="AR369" s="770" t="str">
        <f>AR2</f>
        <v>火</v>
      </c>
      <c r="AS369" s="770"/>
      <c r="AT369" s="770" t="str">
        <f>AT2</f>
        <v>水</v>
      </c>
      <c r="AU369" s="770"/>
      <c r="AV369" s="770" t="str">
        <f>AV2</f>
        <v>木</v>
      </c>
      <c r="AW369" s="770"/>
      <c r="AX369" s="770" t="str">
        <f>AX2</f>
        <v>金</v>
      </c>
      <c r="AY369" s="770"/>
      <c r="AZ369" s="770" t="str">
        <f>AZ2</f>
        <v>土</v>
      </c>
      <c r="BA369" s="770"/>
      <c r="BB369" s="770" t="str">
        <f>BB2</f>
        <v>日</v>
      </c>
      <c r="BC369" s="770"/>
      <c r="BD369" s="770" t="str">
        <f>BD2</f>
        <v>月</v>
      </c>
      <c r="BE369" s="770"/>
      <c r="BF369" s="770" t="str">
        <f>BF2</f>
        <v>火</v>
      </c>
      <c r="BG369" s="770"/>
      <c r="BH369" s="770" t="str">
        <f>BH2</f>
        <v>水</v>
      </c>
      <c r="BI369" s="770"/>
      <c r="BJ369" s="770" t="str">
        <f>BJ2</f>
        <v>木</v>
      </c>
      <c r="BK369" s="770"/>
      <c r="BL369" s="770" t="str">
        <f>BL2</f>
        <v>金</v>
      </c>
      <c r="BM369" s="770"/>
      <c r="BN369" s="761"/>
      <c r="BO369" s="762"/>
      <c r="BP369" s="773"/>
      <c r="BQ369" s="774"/>
    </row>
    <row r="370" spans="2:69" ht="24.95" customHeight="1" thickBot="1">
      <c r="B370" s="748"/>
      <c r="C370" s="750"/>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3"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600"/>
      <c r="AF371" s="601"/>
      <c r="AG371" s="569"/>
      <c r="AH371" s="567"/>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561">
        <f t="shared" ref="BN371:BO375" si="97">SUM(D371,F371,H371,J371,L371,N371,P371,R371,T371,V371,X371,Z371,AB371,AD371,AF371,AH371,AJ371,AL371,AN371,AP371,AR371,AT371,AV371,AX371,AZ371,BB371,BD371,BF371,BH371,BJ371,BL371)</f>
        <v>0</v>
      </c>
      <c r="BO371" s="559">
        <f t="shared" si="97"/>
        <v>0</v>
      </c>
      <c r="BP371" s="558">
        <f t="shared" ref="BP371:BQ375" si="98">BN371</f>
        <v>0</v>
      </c>
      <c r="BQ371" s="559">
        <f t="shared" si="98"/>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600"/>
      <c r="AF372" s="601"/>
      <c r="AG372" s="569"/>
      <c r="AH372" s="567"/>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561">
        <f t="shared" si="97"/>
        <v>0</v>
      </c>
      <c r="BO372" s="559">
        <f t="shared" si="97"/>
        <v>0</v>
      </c>
      <c r="BP372" s="558">
        <f t="shared" si="98"/>
        <v>0</v>
      </c>
      <c r="BQ372" s="559">
        <f t="shared" si="98"/>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600"/>
      <c r="AF373" s="601"/>
      <c r="AG373" s="569"/>
      <c r="AH373" s="567"/>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561">
        <f t="shared" si="97"/>
        <v>0</v>
      </c>
      <c r="BO373" s="559">
        <f t="shared" si="97"/>
        <v>0</v>
      </c>
      <c r="BP373" s="558">
        <f t="shared" si="98"/>
        <v>0</v>
      </c>
      <c r="BQ373" s="559">
        <f t="shared" si="98"/>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600"/>
      <c r="AF374" s="601"/>
      <c r="AG374" s="569"/>
      <c r="AH374" s="567"/>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561">
        <f t="shared" si="97"/>
        <v>0</v>
      </c>
      <c r="BO374" s="559">
        <f t="shared" si="97"/>
        <v>0</v>
      </c>
      <c r="BP374" s="558">
        <f t="shared" si="98"/>
        <v>0</v>
      </c>
      <c r="BQ374" s="559">
        <f t="shared" si="98"/>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600"/>
      <c r="AF375" s="601"/>
      <c r="AG375" s="569"/>
      <c r="AH375" s="567"/>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561">
        <f t="shared" si="97"/>
        <v>0</v>
      </c>
      <c r="BO375" s="559">
        <f t="shared" si="97"/>
        <v>0</v>
      </c>
      <c r="BP375" s="558">
        <f t="shared" si="98"/>
        <v>0</v>
      </c>
      <c r="BQ375" s="559">
        <f t="shared" si="98"/>
        <v>0</v>
      </c>
    </row>
    <row r="376" spans="2:69" s="6" customFormat="1" ht="30" customHeight="1" thickBot="1">
      <c r="B376" s="119" t="s">
        <v>101</v>
      </c>
      <c r="C376" s="149"/>
      <c r="D376" s="29">
        <f t="shared" ref="D376:AG376" si="99">SUM(D371:D375)</f>
        <v>0</v>
      </c>
      <c r="E376" s="31">
        <f t="shared" si="99"/>
        <v>0</v>
      </c>
      <c r="F376" s="29">
        <f t="shared" si="99"/>
        <v>0</v>
      </c>
      <c r="G376" s="31">
        <f t="shared" si="99"/>
        <v>0</v>
      </c>
      <c r="H376" s="29">
        <f t="shared" si="99"/>
        <v>0</v>
      </c>
      <c r="I376" s="31">
        <f t="shared" si="99"/>
        <v>0</v>
      </c>
      <c r="J376" s="29">
        <f t="shared" si="99"/>
        <v>0</v>
      </c>
      <c r="K376" s="31">
        <f t="shared" si="99"/>
        <v>0</v>
      </c>
      <c r="L376" s="29">
        <f t="shared" si="99"/>
        <v>0</v>
      </c>
      <c r="M376" s="31">
        <f t="shared" si="99"/>
        <v>0</v>
      </c>
      <c r="N376" s="29">
        <f t="shared" si="99"/>
        <v>0</v>
      </c>
      <c r="O376" s="31">
        <f t="shared" si="99"/>
        <v>0</v>
      </c>
      <c r="P376" s="29">
        <f t="shared" si="99"/>
        <v>0</v>
      </c>
      <c r="Q376" s="31">
        <f t="shared" si="99"/>
        <v>0</v>
      </c>
      <c r="R376" s="29">
        <f t="shared" si="99"/>
        <v>0</v>
      </c>
      <c r="S376" s="31">
        <f t="shared" si="99"/>
        <v>0</v>
      </c>
      <c r="T376" s="29">
        <f t="shared" si="99"/>
        <v>0</v>
      </c>
      <c r="U376" s="31">
        <f t="shared" si="99"/>
        <v>0</v>
      </c>
      <c r="V376" s="29">
        <f t="shared" si="99"/>
        <v>0</v>
      </c>
      <c r="W376" s="31">
        <f t="shared" si="99"/>
        <v>0</v>
      </c>
      <c r="X376" s="29">
        <f t="shared" si="99"/>
        <v>0</v>
      </c>
      <c r="Y376" s="31">
        <f t="shared" si="99"/>
        <v>0</v>
      </c>
      <c r="Z376" s="29">
        <f t="shared" si="99"/>
        <v>0</v>
      </c>
      <c r="AA376" s="31">
        <f t="shared" si="99"/>
        <v>0</v>
      </c>
      <c r="AB376" s="29">
        <f t="shared" si="99"/>
        <v>0</v>
      </c>
      <c r="AC376" s="31">
        <f t="shared" si="99"/>
        <v>0</v>
      </c>
      <c r="AD376" s="29">
        <f t="shared" si="99"/>
        <v>0</v>
      </c>
      <c r="AE376" s="41">
        <f t="shared" si="99"/>
        <v>0</v>
      </c>
      <c r="AF376" s="39">
        <f t="shared" si="99"/>
        <v>0</v>
      </c>
      <c r="AG376" s="31">
        <f t="shared" si="99"/>
        <v>0</v>
      </c>
      <c r="AH376" s="29">
        <f t="shared" ref="AH376:BO376" si="100">SUM(AH371:AH375)</f>
        <v>0</v>
      </c>
      <c r="AI376" s="31">
        <f t="shared" si="100"/>
        <v>0</v>
      </c>
      <c r="AJ376" s="29">
        <f t="shared" si="100"/>
        <v>0</v>
      </c>
      <c r="AK376" s="31">
        <f t="shared" si="100"/>
        <v>0</v>
      </c>
      <c r="AL376" s="29">
        <f t="shared" si="100"/>
        <v>0</v>
      </c>
      <c r="AM376" s="31">
        <f t="shared" si="100"/>
        <v>0</v>
      </c>
      <c r="AN376" s="29">
        <f t="shared" si="100"/>
        <v>0</v>
      </c>
      <c r="AO376" s="31">
        <f t="shared" si="100"/>
        <v>0</v>
      </c>
      <c r="AP376" s="29">
        <f t="shared" si="100"/>
        <v>0</v>
      </c>
      <c r="AQ376" s="31">
        <f t="shared" si="100"/>
        <v>0</v>
      </c>
      <c r="AR376" s="29">
        <f t="shared" si="100"/>
        <v>0</v>
      </c>
      <c r="AS376" s="31">
        <f t="shared" si="100"/>
        <v>0</v>
      </c>
      <c r="AT376" s="29">
        <f t="shared" si="100"/>
        <v>0</v>
      </c>
      <c r="AU376" s="31">
        <f t="shared" si="100"/>
        <v>0</v>
      </c>
      <c r="AV376" s="29">
        <f t="shared" si="100"/>
        <v>0</v>
      </c>
      <c r="AW376" s="31">
        <f t="shared" si="100"/>
        <v>0</v>
      </c>
      <c r="AX376" s="29">
        <f t="shared" si="100"/>
        <v>0</v>
      </c>
      <c r="AY376" s="31">
        <f t="shared" si="100"/>
        <v>0</v>
      </c>
      <c r="AZ376" s="29">
        <f t="shared" si="100"/>
        <v>0</v>
      </c>
      <c r="BA376" s="31">
        <f t="shared" si="100"/>
        <v>0</v>
      </c>
      <c r="BB376" s="29">
        <f t="shared" si="100"/>
        <v>0</v>
      </c>
      <c r="BC376" s="31">
        <f t="shared" si="100"/>
        <v>0</v>
      </c>
      <c r="BD376" s="29">
        <f t="shared" si="100"/>
        <v>0</v>
      </c>
      <c r="BE376" s="31">
        <f t="shared" si="100"/>
        <v>0</v>
      </c>
      <c r="BF376" s="29">
        <f t="shared" si="100"/>
        <v>0</v>
      </c>
      <c r="BG376" s="31">
        <f t="shared" si="100"/>
        <v>0</v>
      </c>
      <c r="BH376" s="29">
        <f t="shared" si="100"/>
        <v>0</v>
      </c>
      <c r="BI376" s="31">
        <f t="shared" si="100"/>
        <v>0</v>
      </c>
      <c r="BJ376" s="29">
        <f t="shared" si="100"/>
        <v>0</v>
      </c>
      <c r="BK376" s="41">
        <f t="shared" si="100"/>
        <v>0</v>
      </c>
      <c r="BL376" s="39">
        <f t="shared" si="100"/>
        <v>0</v>
      </c>
      <c r="BM376" s="31">
        <f t="shared" si="100"/>
        <v>0</v>
      </c>
      <c r="BN376" s="32">
        <f t="shared" si="100"/>
        <v>0</v>
      </c>
      <c r="BO376" s="41">
        <f t="shared" si="100"/>
        <v>0</v>
      </c>
      <c r="BP376" s="257">
        <f>SUM(BP371:BP375)</f>
        <v>0</v>
      </c>
      <c r="BQ376" s="240">
        <f>SUM(BQ371:BQ375)</f>
        <v>0</v>
      </c>
    </row>
    <row r="377" spans="2:69" ht="24.95" customHeight="1">
      <c r="B377" s="120"/>
      <c r="AG377" s="34"/>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J378" s="7"/>
      <c r="AK378" s="7"/>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43" t="s">
        <v>96</v>
      </c>
      <c r="C379" s="749"/>
      <c r="D379" s="751">
        <v>1</v>
      </c>
      <c r="E379" s="738"/>
      <c r="F379" s="737">
        <v>2</v>
      </c>
      <c r="G379" s="738"/>
      <c r="H379" s="737">
        <v>3</v>
      </c>
      <c r="I379" s="738"/>
      <c r="J379" s="737">
        <v>4</v>
      </c>
      <c r="K379" s="738"/>
      <c r="L379" s="737">
        <v>5</v>
      </c>
      <c r="M379" s="738"/>
      <c r="N379" s="737">
        <v>6</v>
      </c>
      <c r="O379" s="738"/>
      <c r="P379" s="737">
        <v>7</v>
      </c>
      <c r="Q379" s="738"/>
      <c r="R379" s="737">
        <v>8</v>
      </c>
      <c r="S379" s="738"/>
      <c r="T379" s="737">
        <v>9</v>
      </c>
      <c r="U379" s="738"/>
      <c r="V379" s="737">
        <v>10</v>
      </c>
      <c r="W379" s="738"/>
      <c r="X379" s="737">
        <v>11</v>
      </c>
      <c r="Y379" s="738"/>
      <c r="Z379" s="737">
        <v>12</v>
      </c>
      <c r="AA379" s="738"/>
      <c r="AB379" s="737">
        <v>13</v>
      </c>
      <c r="AC379" s="738"/>
      <c r="AD379" s="737">
        <v>14</v>
      </c>
      <c r="AE379" s="738"/>
      <c r="AF379" s="737">
        <v>15</v>
      </c>
      <c r="AG379" s="742"/>
      <c r="AH379" s="741">
        <v>16</v>
      </c>
      <c r="AI379" s="741"/>
      <c r="AJ379" s="741">
        <v>17</v>
      </c>
      <c r="AK379" s="741"/>
      <c r="AL379" s="741">
        <v>18</v>
      </c>
      <c r="AM379" s="741"/>
      <c r="AN379" s="741">
        <v>19</v>
      </c>
      <c r="AO379" s="741"/>
      <c r="AP379" s="741">
        <v>20</v>
      </c>
      <c r="AQ379" s="741"/>
      <c r="AR379" s="741">
        <v>21</v>
      </c>
      <c r="AS379" s="741"/>
      <c r="AT379" s="741">
        <v>22</v>
      </c>
      <c r="AU379" s="741"/>
      <c r="AV379" s="741">
        <v>23</v>
      </c>
      <c r="AW379" s="741"/>
      <c r="AX379" s="741">
        <v>24</v>
      </c>
      <c r="AY379" s="741"/>
      <c r="AZ379" s="741">
        <v>25</v>
      </c>
      <c r="BA379" s="741"/>
      <c r="BB379" s="741">
        <v>26</v>
      </c>
      <c r="BC379" s="741"/>
      <c r="BD379" s="741">
        <v>27</v>
      </c>
      <c r="BE379" s="741"/>
      <c r="BF379" s="741">
        <v>28</v>
      </c>
      <c r="BG379" s="741"/>
      <c r="BH379" s="741">
        <v>29</v>
      </c>
      <c r="BI379" s="741"/>
      <c r="BJ379" s="741">
        <v>30</v>
      </c>
      <c r="BK379" s="741"/>
      <c r="BL379" s="741">
        <v>31</v>
      </c>
      <c r="BM379" s="741"/>
      <c r="BN379" s="738" t="s">
        <v>251</v>
      </c>
      <c r="BO379" s="737"/>
      <c r="BP379" s="779" t="s">
        <v>353</v>
      </c>
      <c r="BQ379" s="780"/>
    </row>
    <row r="380" spans="2:69" ht="24.95" customHeight="1">
      <c r="B380" s="744"/>
      <c r="C380" s="747"/>
      <c r="D380" s="752" t="str">
        <f>D2</f>
        <v>水</v>
      </c>
      <c r="E380" s="740"/>
      <c r="F380" s="739" t="str">
        <f>F2</f>
        <v>木</v>
      </c>
      <c r="G380" s="740"/>
      <c r="H380" s="739" t="str">
        <f>H2</f>
        <v>金</v>
      </c>
      <c r="I380" s="740"/>
      <c r="J380" s="739" t="str">
        <f>J2</f>
        <v>土</v>
      </c>
      <c r="K380" s="740"/>
      <c r="L380" s="739" t="str">
        <f>L2</f>
        <v>日</v>
      </c>
      <c r="M380" s="740"/>
      <c r="N380" s="739" t="str">
        <f>N2</f>
        <v>月</v>
      </c>
      <c r="O380" s="740"/>
      <c r="P380" s="739" t="str">
        <f>P2</f>
        <v>火</v>
      </c>
      <c r="Q380" s="740"/>
      <c r="R380" s="739" t="str">
        <f>R2</f>
        <v>水</v>
      </c>
      <c r="S380" s="740"/>
      <c r="T380" s="739" t="str">
        <f>T2</f>
        <v>木</v>
      </c>
      <c r="U380" s="740"/>
      <c r="V380" s="739" t="str">
        <f>V2</f>
        <v>金</v>
      </c>
      <c r="W380" s="740"/>
      <c r="X380" s="739" t="str">
        <f>X2</f>
        <v>土</v>
      </c>
      <c r="Y380" s="740"/>
      <c r="Z380" s="739" t="str">
        <f>Z2</f>
        <v>日</v>
      </c>
      <c r="AA380" s="740"/>
      <c r="AB380" s="739" t="str">
        <f>AB2</f>
        <v>月</v>
      </c>
      <c r="AC380" s="740"/>
      <c r="AD380" s="739" t="str">
        <f>AD2</f>
        <v>火</v>
      </c>
      <c r="AE380" s="740"/>
      <c r="AF380" s="739" t="str">
        <f>AF2</f>
        <v>水</v>
      </c>
      <c r="AG380" s="756"/>
      <c r="AH380" s="768" t="str">
        <f>AH2</f>
        <v>木</v>
      </c>
      <c r="AI380" s="769"/>
      <c r="AJ380" s="770" t="str">
        <f>AJ2</f>
        <v>金</v>
      </c>
      <c r="AK380" s="770"/>
      <c r="AL380" s="770" t="str">
        <f>AL2</f>
        <v>土</v>
      </c>
      <c r="AM380" s="770"/>
      <c r="AN380" s="770" t="str">
        <f>AN2</f>
        <v>日</v>
      </c>
      <c r="AO380" s="770"/>
      <c r="AP380" s="770" t="str">
        <f>AP2</f>
        <v>月</v>
      </c>
      <c r="AQ380" s="770"/>
      <c r="AR380" s="770" t="str">
        <f>AR2</f>
        <v>火</v>
      </c>
      <c r="AS380" s="770"/>
      <c r="AT380" s="770" t="str">
        <f>AT2</f>
        <v>水</v>
      </c>
      <c r="AU380" s="770"/>
      <c r="AV380" s="770" t="str">
        <f>AV2</f>
        <v>木</v>
      </c>
      <c r="AW380" s="770"/>
      <c r="AX380" s="770" t="str">
        <f>AX2</f>
        <v>金</v>
      </c>
      <c r="AY380" s="770"/>
      <c r="AZ380" s="770" t="str">
        <f>AZ2</f>
        <v>土</v>
      </c>
      <c r="BA380" s="770"/>
      <c r="BB380" s="770" t="str">
        <f>BB2</f>
        <v>日</v>
      </c>
      <c r="BC380" s="770"/>
      <c r="BD380" s="770" t="str">
        <f>BD2</f>
        <v>月</v>
      </c>
      <c r="BE380" s="770"/>
      <c r="BF380" s="770" t="str">
        <f>BF2</f>
        <v>火</v>
      </c>
      <c r="BG380" s="770"/>
      <c r="BH380" s="770" t="str">
        <f>BH2</f>
        <v>水</v>
      </c>
      <c r="BI380" s="770"/>
      <c r="BJ380" s="770" t="str">
        <f>BJ2</f>
        <v>木</v>
      </c>
      <c r="BK380" s="770"/>
      <c r="BL380" s="770" t="str">
        <f>BL2</f>
        <v>金</v>
      </c>
      <c r="BM380" s="770"/>
      <c r="BN380" s="761"/>
      <c r="BO380" s="775"/>
      <c r="BP380" s="781"/>
      <c r="BQ380" s="782"/>
    </row>
    <row r="381" spans="2:69" ht="24.95" customHeight="1" thickBot="1">
      <c r="B381" s="748"/>
      <c r="C381" s="750"/>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500" t="s">
        <v>252</v>
      </c>
      <c r="BQ381" s="479" t="s">
        <v>254</v>
      </c>
    </row>
    <row r="382" spans="2:69" s="6" customFormat="1" ht="50.1" customHeight="1" thickTop="1">
      <c r="B382" s="210" t="s">
        <v>60</v>
      </c>
      <c r="C382" s="152"/>
      <c r="D382" s="12">
        <f>D24</f>
        <v>0</v>
      </c>
      <c r="E382" s="53">
        <f>E24</f>
        <v>0</v>
      </c>
      <c r="F382" s="54">
        <f>F24</f>
        <v>0</v>
      </c>
      <c r="G382" s="55">
        <f>G24</f>
        <v>0</v>
      </c>
      <c r="H382" s="54">
        <f>H24</f>
        <v>0</v>
      </c>
      <c r="I382" s="55">
        <f>I24</f>
        <v>0</v>
      </c>
      <c r="J382" s="54">
        <f>J24</f>
        <v>0</v>
      </c>
      <c r="K382" s="55">
        <f>K24</f>
        <v>0</v>
      </c>
      <c r="L382" s="54">
        <f>L24</f>
        <v>0</v>
      </c>
      <c r="M382" s="55">
        <f>M24</f>
        <v>0</v>
      </c>
      <c r="N382" s="54">
        <f>N24</f>
        <v>0</v>
      </c>
      <c r="O382" s="55">
        <f>O24</f>
        <v>0</v>
      </c>
      <c r="P382" s="54">
        <f>P24</f>
        <v>1</v>
      </c>
      <c r="Q382" s="55">
        <f>Q24</f>
        <v>1</v>
      </c>
      <c r="R382" s="54">
        <f>R24</f>
        <v>0</v>
      </c>
      <c r="S382" s="55">
        <f>S24</f>
        <v>0</v>
      </c>
      <c r="T382" s="54">
        <f>T24</f>
        <v>0</v>
      </c>
      <c r="U382" s="55">
        <f>U24</f>
        <v>0</v>
      </c>
      <c r="V382" s="54">
        <f>V24</f>
        <v>0</v>
      </c>
      <c r="W382" s="55">
        <f>W24</f>
        <v>0</v>
      </c>
      <c r="X382" s="54">
        <f>X24</f>
        <v>0</v>
      </c>
      <c r="Y382" s="55">
        <f>Y24</f>
        <v>0</v>
      </c>
      <c r="Z382" s="54">
        <f>Z24</f>
        <v>0</v>
      </c>
      <c r="AA382" s="55">
        <f>AA24</f>
        <v>0</v>
      </c>
      <c r="AB382" s="54">
        <f>AB24</f>
        <v>0</v>
      </c>
      <c r="AC382" s="55">
        <f>AC24</f>
        <v>0</v>
      </c>
      <c r="AD382" s="54">
        <f>AD24</f>
        <v>0</v>
      </c>
      <c r="AE382" s="55">
        <f>AE24</f>
        <v>0</v>
      </c>
      <c r="AF382" s="54">
        <f>AF24</f>
        <v>0</v>
      </c>
      <c r="AG382" s="53">
        <f>AG24</f>
        <v>0</v>
      </c>
      <c r="AH382" s="54">
        <f>AH24</f>
        <v>0</v>
      </c>
      <c r="AI382" s="55">
        <f>AI24</f>
        <v>0</v>
      </c>
      <c r="AJ382" s="54">
        <f>AJ24</f>
        <v>0</v>
      </c>
      <c r="AK382" s="55">
        <f>AK24</f>
        <v>0</v>
      </c>
      <c r="AL382" s="54">
        <f>AL24</f>
        <v>0</v>
      </c>
      <c r="AM382" s="55">
        <f>AM24</f>
        <v>0</v>
      </c>
      <c r="AN382" s="54">
        <f>AN24</f>
        <v>0</v>
      </c>
      <c r="AO382" s="55">
        <f>AO24</f>
        <v>0</v>
      </c>
      <c r="AP382" s="54">
        <f>AP24</f>
        <v>0</v>
      </c>
      <c r="AQ382" s="55">
        <f>AQ24</f>
        <v>0</v>
      </c>
      <c r="AR382" s="54">
        <f>AR24</f>
        <v>0</v>
      </c>
      <c r="AS382" s="55">
        <f>AS24</f>
        <v>0</v>
      </c>
      <c r="AT382" s="54">
        <f>AT24</f>
        <v>0</v>
      </c>
      <c r="AU382" s="55">
        <f>AU24</f>
        <v>0</v>
      </c>
      <c r="AV382" s="54">
        <f>AV24</f>
        <v>0</v>
      </c>
      <c r="AW382" s="55">
        <f>AW24</f>
        <v>0</v>
      </c>
      <c r="AX382" s="54">
        <f>AX24</f>
        <v>0</v>
      </c>
      <c r="AY382" s="55">
        <f>AY24</f>
        <v>0</v>
      </c>
      <c r="AZ382" s="54">
        <f>AZ24</f>
        <v>0</v>
      </c>
      <c r="BA382" s="55">
        <f>BA24</f>
        <v>0</v>
      </c>
      <c r="BB382" s="54">
        <f>BB24</f>
        <v>0</v>
      </c>
      <c r="BC382" s="55">
        <f>BC24</f>
        <v>0</v>
      </c>
      <c r="BD382" s="54">
        <f>BD24</f>
        <v>0</v>
      </c>
      <c r="BE382" s="55">
        <f>BE24</f>
        <v>0</v>
      </c>
      <c r="BF382" s="54">
        <f>BF24</f>
        <v>0</v>
      </c>
      <c r="BG382" s="55">
        <f>BG24</f>
        <v>0</v>
      </c>
      <c r="BH382" s="54">
        <f>BH24</f>
        <v>0</v>
      </c>
      <c r="BI382" s="55">
        <f>BI24</f>
        <v>0</v>
      </c>
      <c r="BJ382" s="45">
        <f>BJ24</f>
        <v>0</v>
      </c>
      <c r="BK382" s="53">
        <f>BK24</f>
        <v>0</v>
      </c>
      <c r="BL382" s="54">
        <f>BL24</f>
        <v>0</v>
      </c>
      <c r="BM382" s="55">
        <f>BM24</f>
        <v>0</v>
      </c>
      <c r="BN382" s="561">
        <f>SUM(D382,F382,H382,J382,L382,N382,P382,R382,T382,V382,X382,Z382,AB382,AD382,AF382,AH382,AJ382,AL382,AN382,AP382,AR382,AT382,AV382,AX382,AZ382,BB382,BD382,BF382,BH382,BJ382,BL382)</f>
        <v>1</v>
      </c>
      <c r="BO382" s="559">
        <f>SUM(E382,G382,I382,K382,M382,O382,Q382,S382,U382,W382,Y382,AA382,AC382,AE382,AG382,AI382,AK382,AM382,AO382,AQ382,AS382,AU382,AW382,AY382,BA382,BC382,BE382,BG382,BI382,BK382,BM382)</f>
        <v>1</v>
      </c>
      <c r="BP382" s="558">
        <f>BN382</f>
        <v>1</v>
      </c>
      <c r="BQ382" s="559">
        <f>BO382</f>
        <v>1</v>
      </c>
    </row>
    <row r="383" spans="2:69" s="6" customFormat="1" ht="50.1" customHeight="1">
      <c r="B383" s="211" t="s">
        <v>213</v>
      </c>
      <c r="C383" s="145"/>
      <c r="D383" s="70">
        <f>D54</f>
        <v>0</v>
      </c>
      <c r="E383" s="56">
        <f>E54</f>
        <v>0</v>
      </c>
      <c r="F383" s="57">
        <f>F54</f>
        <v>0</v>
      </c>
      <c r="G383" s="51">
        <f>G54</f>
        <v>0</v>
      </c>
      <c r="H383" s="57">
        <f>H54</f>
        <v>8</v>
      </c>
      <c r="I383" s="51">
        <f>I54</f>
        <v>12</v>
      </c>
      <c r="J383" s="57">
        <f>J54</f>
        <v>0</v>
      </c>
      <c r="K383" s="51">
        <f>K54</f>
        <v>0</v>
      </c>
      <c r="L383" s="57">
        <f>L54</f>
        <v>0</v>
      </c>
      <c r="M383" s="51">
        <f>M54</f>
        <v>0</v>
      </c>
      <c r="N383" s="57">
        <f>N54</f>
        <v>2</v>
      </c>
      <c r="O383" s="51">
        <f>O54</f>
        <v>5</v>
      </c>
      <c r="P383" s="57">
        <f>P54</f>
        <v>0</v>
      </c>
      <c r="Q383" s="51">
        <f>Q54</f>
        <v>0</v>
      </c>
      <c r="R383" s="57">
        <f>R54</f>
        <v>0</v>
      </c>
      <c r="S383" s="51">
        <f>S54</f>
        <v>0</v>
      </c>
      <c r="T383" s="57">
        <f>T54</f>
        <v>1</v>
      </c>
      <c r="U383" s="51">
        <f>U54</f>
        <v>2</v>
      </c>
      <c r="V383" s="57">
        <f>V54</f>
        <v>0</v>
      </c>
      <c r="W383" s="51">
        <f>W54</f>
        <v>0</v>
      </c>
      <c r="X383" s="57">
        <f>X54</f>
        <v>0</v>
      </c>
      <c r="Y383" s="51">
        <f>Y54</f>
        <v>0</v>
      </c>
      <c r="Z383" s="57">
        <f>Z54</f>
        <v>0</v>
      </c>
      <c r="AA383" s="51">
        <f>AA54</f>
        <v>0</v>
      </c>
      <c r="AB383" s="57">
        <f>AB54</f>
        <v>0</v>
      </c>
      <c r="AC383" s="51">
        <f>AC54</f>
        <v>0</v>
      </c>
      <c r="AD383" s="57">
        <f>AD54</f>
        <v>6</v>
      </c>
      <c r="AE383" s="51">
        <f>AE54</f>
        <v>7</v>
      </c>
      <c r="AF383" s="57">
        <f>AF54</f>
        <v>3</v>
      </c>
      <c r="AG383" s="604">
        <f>AG54</f>
        <v>4</v>
      </c>
      <c r="AH383" s="606">
        <f>AH54</f>
        <v>0</v>
      </c>
      <c r="AI383" s="607">
        <f>AI54</f>
        <v>0</v>
      </c>
      <c r="AJ383" s="57">
        <f>AJ54</f>
        <v>0</v>
      </c>
      <c r="AK383" s="51">
        <f>AK54</f>
        <v>0</v>
      </c>
      <c r="AL383" s="57">
        <f>AL54</f>
        <v>0</v>
      </c>
      <c r="AM383" s="51">
        <f>AM54</f>
        <v>0</v>
      </c>
      <c r="AN383" s="57">
        <f>AN54</f>
        <v>0</v>
      </c>
      <c r="AO383" s="51">
        <f>AO54</f>
        <v>0</v>
      </c>
      <c r="AP383" s="57">
        <f>AP54</f>
        <v>0</v>
      </c>
      <c r="AQ383" s="51">
        <f>AQ54</f>
        <v>0</v>
      </c>
      <c r="AR383" s="57">
        <f>AR54</f>
        <v>0</v>
      </c>
      <c r="AS383" s="51">
        <f>AS54</f>
        <v>0</v>
      </c>
      <c r="AT383" s="57">
        <f>AT54</f>
        <v>0</v>
      </c>
      <c r="AU383" s="51">
        <f>AU54</f>
        <v>0</v>
      </c>
      <c r="AV383" s="57">
        <f>AV54</f>
        <v>0</v>
      </c>
      <c r="AW383" s="51">
        <f>AW54</f>
        <v>0</v>
      </c>
      <c r="AX383" s="57">
        <f>AX54</f>
        <v>0</v>
      </c>
      <c r="AY383" s="51">
        <f>AY54</f>
        <v>0</v>
      </c>
      <c r="AZ383" s="57">
        <f>AZ54</f>
        <v>0</v>
      </c>
      <c r="BA383" s="51">
        <f>BA54</f>
        <v>0</v>
      </c>
      <c r="BB383" s="57">
        <f>BB54</f>
        <v>0</v>
      </c>
      <c r="BC383" s="51">
        <f>BC54</f>
        <v>0</v>
      </c>
      <c r="BD383" s="57">
        <f>BD54</f>
        <v>0</v>
      </c>
      <c r="BE383" s="51">
        <f>BE54</f>
        <v>0</v>
      </c>
      <c r="BF383" s="57">
        <f>BF54</f>
        <v>0</v>
      </c>
      <c r="BG383" s="51">
        <f>BG54</f>
        <v>0</v>
      </c>
      <c r="BH383" s="57">
        <f>BH54</f>
        <v>0</v>
      </c>
      <c r="BI383" s="51">
        <f>BI54</f>
        <v>0</v>
      </c>
      <c r="BJ383" s="57">
        <f>BJ54</f>
        <v>0</v>
      </c>
      <c r="BK383" s="51">
        <f>BK54</f>
        <v>0</v>
      </c>
      <c r="BL383" s="57">
        <f>BL54</f>
        <v>0</v>
      </c>
      <c r="BM383" s="51">
        <f>BM54</f>
        <v>0</v>
      </c>
      <c r="BN383" s="561">
        <f t="shared" ref="BN383:BN394" si="101">SUM(D383,F383,H383,J383,L383,N383,P383,R383,T383,V383,X383,Z383,AB383,AD383,AF383,AH383,AJ383,AL383,AN383,AP383,AR383,AT383,AV383,AX383,AZ383,BB383,BD383,BF383,BH383,BJ383,BL383)</f>
        <v>20</v>
      </c>
      <c r="BO383" s="559">
        <f t="shared" ref="BO383:BO394" si="102">SUM(E383,G383,I383,K383,M383,O383,Q383,S383,U383,W383,Y383,AA383,AC383,AE383,AG383,AI383,AK383,AM383,AO383,AQ383,AS383,AU383,AW383,AY383,BA383,BC383,BE383,BG383,BI383,BK383,BM383)</f>
        <v>30</v>
      </c>
      <c r="BP383" s="558">
        <f t="shared" ref="BP383:BP394" si="103">BN383</f>
        <v>20</v>
      </c>
      <c r="BQ383" s="559">
        <f t="shared" ref="BQ383:BQ394" si="104">BO383</f>
        <v>30</v>
      </c>
    </row>
    <row r="384" spans="2:69" s="6" customFormat="1" ht="50.1" customHeight="1">
      <c r="B384" s="211" t="s">
        <v>171</v>
      </c>
      <c r="C384" s="145"/>
      <c r="D384" s="102">
        <f>D66</f>
        <v>0</v>
      </c>
      <c r="E384" s="51">
        <f>E66</f>
        <v>0</v>
      </c>
      <c r="F384" s="57">
        <f>F66</f>
        <v>0</v>
      </c>
      <c r="G384" s="51">
        <f>G66</f>
        <v>0</v>
      </c>
      <c r="H384" s="57">
        <f>H66</f>
        <v>0</v>
      </c>
      <c r="I384" s="51">
        <f>I66</f>
        <v>0</v>
      </c>
      <c r="J384" s="57">
        <f>J66</f>
        <v>0</v>
      </c>
      <c r="K384" s="51">
        <f>K66</f>
        <v>0</v>
      </c>
      <c r="L384" s="57">
        <f>L66</f>
        <v>0</v>
      </c>
      <c r="M384" s="51">
        <f>M66</f>
        <v>0</v>
      </c>
      <c r="N384" s="57">
        <f>N66</f>
        <v>0</v>
      </c>
      <c r="O384" s="51">
        <f>O66</f>
        <v>0</v>
      </c>
      <c r="P384" s="57">
        <f>P66</f>
        <v>0</v>
      </c>
      <c r="Q384" s="51">
        <f>Q66</f>
        <v>0</v>
      </c>
      <c r="R384" s="57">
        <f>R66</f>
        <v>0</v>
      </c>
      <c r="S384" s="51">
        <f>S66</f>
        <v>0</v>
      </c>
      <c r="T384" s="57">
        <f>T66</f>
        <v>0</v>
      </c>
      <c r="U384" s="51">
        <f>U66</f>
        <v>0</v>
      </c>
      <c r="V384" s="57">
        <f>V66</f>
        <v>0</v>
      </c>
      <c r="W384" s="51">
        <f>W66</f>
        <v>0</v>
      </c>
      <c r="X384" s="57">
        <f>X66</f>
        <v>0</v>
      </c>
      <c r="Y384" s="51">
        <f>Y66</f>
        <v>0</v>
      </c>
      <c r="Z384" s="57">
        <f>Z66</f>
        <v>0</v>
      </c>
      <c r="AA384" s="51">
        <f>AA66</f>
        <v>0</v>
      </c>
      <c r="AB384" s="57">
        <f>AB66</f>
        <v>0</v>
      </c>
      <c r="AC384" s="51">
        <f>AC66</f>
        <v>0</v>
      </c>
      <c r="AD384" s="57">
        <f>AD66</f>
        <v>2</v>
      </c>
      <c r="AE384" s="56">
        <f>AE66</f>
        <v>2</v>
      </c>
      <c r="AF384" s="57">
        <f>AF66</f>
        <v>0</v>
      </c>
      <c r="AG384" s="604">
        <f>AG66</f>
        <v>0</v>
      </c>
      <c r="AH384" s="606">
        <f>AH66</f>
        <v>0</v>
      </c>
      <c r="AI384" s="607">
        <f>AI66</f>
        <v>0</v>
      </c>
      <c r="AJ384" s="57">
        <f>AJ66</f>
        <v>0</v>
      </c>
      <c r="AK384" s="51">
        <f>AK66</f>
        <v>0</v>
      </c>
      <c r="AL384" s="57">
        <f>AL66</f>
        <v>0</v>
      </c>
      <c r="AM384" s="51">
        <f>AM66</f>
        <v>0</v>
      </c>
      <c r="AN384" s="57">
        <f>AN66</f>
        <v>0</v>
      </c>
      <c r="AO384" s="51">
        <f>AO66</f>
        <v>0</v>
      </c>
      <c r="AP384" s="57">
        <f>AP66</f>
        <v>0</v>
      </c>
      <c r="AQ384" s="51">
        <f>AQ66</f>
        <v>0</v>
      </c>
      <c r="AR384" s="57">
        <f>AR66</f>
        <v>0</v>
      </c>
      <c r="AS384" s="51">
        <f>AS66</f>
        <v>0</v>
      </c>
      <c r="AT384" s="57">
        <f>AT66</f>
        <v>0</v>
      </c>
      <c r="AU384" s="51">
        <f>AU66</f>
        <v>0</v>
      </c>
      <c r="AV384" s="57">
        <f>AV66</f>
        <v>0</v>
      </c>
      <c r="AW384" s="51">
        <f>AW66</f>
        <v>0</v>
      </c>
      <c r="AX384" s="57">
        <f>AX66</f>
        <v>0</v>
      </c>
      <c r="AY384" s="51">
        <f>AY66</f>
        <v>0</v>
      </c>
      <c r="AZ384" s="57">
        <f>AZ66</f>
        <v>0</v>
      </c>
      <c r="BA384" s="51">
        <f>BA66</f>
        <v>0</v>
      </c>
      <c r="BB384" s="57">
        <f>BB66</f>
        <v>0</v>
      </c>
      <c r="BC384" s="51">
        <f>BC66</f>
        <v>0</v>
      </c>
      <c r="BD384" s="57">
        <f>BD66</f>
        <v>0</v>
      </c>
      <c r="BE384" s="51">
        <f>BE66</f>
        <v>0</v>
      </c>
      <c r="BF384" s="57">
        <f>BF66</f>
        <v>0</v>
      </c>
      <c r="BG384" s="51">
        <f>BG66</f>
        <v>0</v>
      </c>
      <c r="BH384" s="57">
        <f>BH66</f>
        <v>0</v>
      </c>
      <c r="BI384" s="51">
        <f>BI66</f>
        <v>0</v>
      </c>
      <c r="BJ384" s="57">
        <f>BJ66</f>
        <v>0</v>
      </c>
      <c r="BK384" s="51">
        <f>BK66</f>
        <v>0</v>
      </c>
      <c r="BL384" s="57">
        <f>BL66</f>
        <v>0</v>
      </c>
      <c r="BM384" s="51">
        <f>BM66</f>
        <v>0</v>
      </c>
      <c r="BN384" s="561">
        <f t="shared" si="101"/>
        <v>2</v>
      </c>
      <c r="BO384" s="559">
        <f t="shared" si="102"/>
        <v>2</v>
      </c>
      <c r="BP384" s="558">
        <f t="shared" si="103"/>
        <v>2</v>
      </c>
      <c r="BQ384" s="559">
        <f t="shared" si="104"/>
        <v>2</v>
      </c>
    </row>
    <row r="385" spans="2:69" s="6" customFormat="1" ht="50.1" customHeight="1">
      <c r="B385" s="212" t="s">
        <v>80</v>
      </c>
      <c r="C385" s="146"/>
      <c r="D385" s="44">
        <f>D75</f>
        <v>0</v>
      </c>
      <c r="E385" s="56">
        <f>E75</f>
        <v>0</v>
      </c>
      <c r="F385" s="57">
        <f>F75</f>
        <v>0</v>
      </c>
      <c r="G385" s="51">
        <f>G75</f>
        <v>0</v>
      </c>
      <c r="H385" s="57">
        <f>H75</f>
        <v>2</v>
      </c>
      <c r="I385" s="51">
        <f>I75</f>
        <v>4</v>
      </c>
      <c r="J385" s="57">
        <f>J75</f>
        <v>0</v>
      </c>
      <c r="K385" s="51">
        <f>K75</f>
        <v>0</v>
      </c>
      <c r="L385" s="57">
        <f>L75</f>
        <v>0</v>
      </c>
      <c r="M385" s="51">
        <f>M75</f>
        <v>0</v>
      </c>
      <c r="N385" s="57">
        <f>N75</f>
        <v>0</v>
      </c>
      <c r="O385" s="51">
        <f>O75</f>
        <v>0</v>
      </c>
      <c r="P385" s="57">
        <f>P75</f>
        <v>0</v>
      </c>
      <c r="Q385" s="51">
        <f>Q75</f>
        <v>0</v>
      </c>
      <c r="R385" s="57">
        <f>R75</f>
        <v>1</v>
      </c>
      <c r="S385" s="51">
        <f>S75</f>
        <v>2</v>
      </c>
      <c r="T385" s="57">
        <f>T75</f>
        <v>0</v>
      </c>
      <c r="U385" s="51">
        <f>U75</f>
        <v>0</v>
      </c>
      <c r="V385" s="57">
        <f>V75</f>
        <v>0</v>
      </c>
      <c r="W385" s="51">
        <f>W75</f>
        <v>0</v>
      </c>
      <c r="X385" s="57">
        <f>X75</f>
        <v>0</v>
      </c>
      <c r="Y385" s="51">
        <f>Y75</f>
        <v>0</v>
      </c>
      <c r="Z385" s="57">
        <f>Z75</f>
        <v>0</v>
      </c>
      <c r="AA385" s="51">
        <f>AA75</f>
        <v>0</v>
      </c>
      <c r="AB385" s="57">
        <f>AB75</f>
        <v>0</v>
      </c>
      <c r="AC385" s="51">
        <f>AC75</f>
        <v>0</v>
      </c>
      <c r="AD385" s="57">
        <f>AD75</f>
        <v>0</v>
      </c>
      <c r="AE385" s="56">
        <f>AE75</f>
        <v>0</v>
      </c>
      <c r="AF385" s="57">
        <f>AF75</f>
        <v>0</v>
      </c>
      <c r="AG385" s="604">
        <f>AG75</f>
        <v>0</v>
      </c>
      <c r="AH385" s="608">
        <f>AH75</f>
        <v>0</v>
      </c>
      <c r="AI385" s="607">
        <f>AI75</f>
        <v>0</v>
      </c>
      <c r="AJ385" s="57">
        <f>AJ75</f>
        <v>0</v>
      </c>
      <c r="AK385" s="51">
        <f>AK75</f>
        <v>0</v>
      </c>
      <c r="AL385" s="57">
        <f>AL75</f>
        <v>0</v>
      </c>
      <c r="AM385" s="51">
        <f>AM75</f>
        <v>0</v>
      </c>
      <c r="AN385" s="57">
        <f>AN75</f>
        <v>0</v>
      </c>
      <c r="AO385" s="51">
        <f>AO75</f>
        <v>0</v>
      </c>
      <c r="AP385" s="57">
        <f>AP75</f>
        <v>0</v>
      </c>
      <c r="AQ385" s="51">
        <f>AQ75</f>
        <v>0</v>
      </c>
      <c r="AR385" s="57">
        <f>AR75</f>
        <v>0</v>
      </c>
      <c r="AS385" s="51">
        <f>AS75</f>
        <v>0</v>
      </c>
      <c r="AT385" s="57">
        <f>AT75</f>
        <v>0</v>
      </c>
      <c r="AU385" s="51">
        <f>AU75</f>
        <v>0</v>
      </c>
      <c r="AV385" s="57">
        <f>AV75</f>
        <v>0</v>
      </c>
      <c r="AW385" s="51">
        <f>AW75</f>
        <v>0</v>
      </c>
      <c r="AX385" s="57">
        <f>AX75</f>
        <v>0</v>
      </c>
      <c r="AY385" s="51">
        <f>AY75</f>
        <v>0</v>
      </c>
      <c r="AZ385" s="57">
        <f>AZ75</f>
        <v>0</v>
      </c>
      <c r="BA385" s="51">
        <f>BA75</f>
        <v>0</v>
      </c>
      <c r="BB385" s="57">
        <f>BB75</f>
        <v>0</v>
      </c>
      <c r="BC385" s="51">
        <f>BC75</f>
        <v>0</v>
      </c>
      <c r="BD385" s="57">
        <f>BD75</f>
        <v>0</v>
      </c>
      <c r="BE385" s="51">
        <f>BE75</f>
        <v>0</v>
      </c>
      <c r="BF385" s="57">
        <f>BF75</f>
        <v>0</v>
      </c>
      <c r="BG385" s="51">
        <f>BG75</f>
        <v>0</v>
      </c>
      <c r="BH385" s="57">
        <f>BH75</f>
        <v>0</v>
      </c>
      <c r="BI385" s="56">
        <f>BI75</f>
        <v>0</v>
      </c>
      <c r="BJ385" s="57">
        <f>BJ75</f>
        <v>0</v>
      </c>
      <c r="BK385" s="56">
        <f>BK75</f>
        <v>0</v>
      </c>
      <c r="BL385" s="57">
        <f>BL75</f>
        <v>0</v>
      </c>
      <c r="BM385" s="56">
        <f>BM75</f>
        <v>0</v>
      </c>
      <c r="BN385" s="561">
        <f t="shared" si="101"/>
        <v>3</v>
      </c>
      <c r="BO385" s="559">
        <f t="shared" si="102"/>
        <v>6</v>
      </c>
      <c r="BP385" s="558">
        <f t="shared" si="103"/>
        <v>3</v>
      </c>
      <c r="BQ385" s="559">
        <f t="shared" si="104"/>
        <v>6</v>
      </c>
    </row>
    <row r="386" spans="2:69" s="6" customFormat="1" ht="50.1" customHeight="1">
      <c r="B386" s="212" t="s">
        <v>97</v>
      </c>
      <c r="C386" s="146"/>
      <c r="D386" s="17">
        <f>D89</f>
        <v>0</v>
      </c>
      <c r="E386" s="51">
        <f>E89</f>
        <v>0</v>
      </c>
      <c r="F386" s="57">
        <f>F89</f>
        <v>0</v>
      </c>
      <c r="G386" s="51">
        <f>G89</f>
        <v>0</v>
      </c>
      <c r="H386" s="57">
        <f>H89</f>
        <v>1</v>
      </c>
      <c r="I386" s="51">
        <f>I89</f>
        <v>2</v>
      </c>
      <c r="J386" s="57">
        <f>J89</f>
        <v>0</v>
      </c>
      <c r="K386" s="51">
        <f>K89</f>
        <v>0</v>
      </c>
      <c r="L386" s="57">
        <f>L89</f>
        <v>0</v>
      </c>
      <c r="M386" s="51">
        <f>M89</f>
        <v>0</v>
      </c>
      <c r="N386" s="57">
        <f>N89</f>
        <v>0</v>
      </c>
      <c r="O386" s="51">
        <f>O89</f>
        <v>0</v>
      </c>
      <c r="P386" s="57">
        <f>P89</f>
        <v>0</v>
      </c>
      <c r="Q386" s="51">
        <f>Q89</f>
        <v>0</v>
      </c>
      <c r="R386" s="57">
        <f>R89</f>
        <v>0</v>
      </c>
      <c r="S386" s="51">
        <f>S89</f>
        <v>0</v>
      </c>
      <c r="T386" s="57">
        <f>T89</f>
        <v>0</v>
      </c>
      <c r="U386" s="51">
        <f>U89</f>
        <v>0</v>
      </c>
      <c r="V386" s="57">
        <f>V89</f>
        <v>1</v>
      </c>
      <c r="W386" s="51">
        <f>W89</f>
        <v>2</v>
      </c>
      <c r="X386" s="57">
        <f>X89</f>
        <v>0</v>
      </c>
      <c r="Y386" s="51">
        <f>Y89</f>
        <v>0</v>
      </c>
      <c r="Z386" s="57">
        <f>Z89</f>
        <v>0</v>
      </c>
      <c r="AA386" s="51">
        <f>AA89</f>
        <v>0</v>
      </c>
      <c r="AB386" s="57">
        <f>AB89</f>
        <v>0</v>
      </c>
      <c r="AC386" s="51">
        <f>AC89</f>
        <v>0</v>
      </c>
      <c r="AD386" s="57">
        <f>AD89</f>
        <v>0</v>
      </c>
      <c r="AE386" s="51">
        <f>AE89</f>
        <v>0</v>
      </c>
      <c r="AF386" s="57">
        <f>AF89</f>
        <v>0</v>
      </c>
      <c r="AG386" s="604">
        <f>AG89</f>
        <v>0</v>
      </c>
      <c r="AH386" s="606">
        <f>AH89</f>
        <v>0</v>
      </c>
      <c r="AI386" s="607">
        <f>AI89</f>
        <v>0</v>
      </c>
      <c r="AJ386" s="57">
        <f>AJ89</f>
        <v>0</v>
      </c>
      <c r="AK386" s="51">
        <f>AK89</f>
        <v>0</v>
      </c>
      <c r="AL386" s="57">
        <f>AL89</f>
        <v>0</v>
      </c>
      <c r="AM386" s="51">
        <f>AM89</f>
        <v>0</v>
      </c>
      <c r="AN386" s="57">
        <f>AN89</f>
        <v>0</v>
      </c>
      <c r="AO386" s="51">
        <f>AO89</f>
        <v>0</v>
      </c>
      <c r="AP386" s="57">
        <f>AP89</f>
        <v>0</v>
      </c>
      <c r="AQ386" s="51">
        <f>AQ89</f>
        <v>0</v>
      </c>
      <c r="AR386" s="57">
        <f>AR89</f>
        <v>0</v>
      </c>
      <c r="AS386" s="51">
        <f>AS89</f>
        <v>0</v>
      </c>
      <c r="AT386" s="57">
        <f>AT89</f>
        <v>0</v>
      </c>
      <c r="AU386" s="51">
        <f>AU89</f>
        <v>0</v>
      </c>
      <c r="AV386" s="57">
        <f>AV89</f>
        <v>0</v>
      </c>
      <c r="AW386" s="51">
        <f>AW89</f>
        <v>0</v>
      </c>
      <c r="AX386" s="57">
        <f>AX89</f>
        <v>0</v>
      </c>
      <c r="AY386" s="51">
        <f>AY89</f>
        <v>0</v>
      </c>
      <c r="AZ386" s="57">
        <f>AZ89</f>
        <v>0</v>
      </c>
      <c r="BA386" s="51">
        <f>BA89</f>
        <v>0</v>
      </c>
      <c r="BB386" s="57">
        <f>BB89</f>
        <v>0</v>
      </c>
      <c r="BC386" s="51">
        <f>BC89</f>
        <v>0</v>
      </c>
      <c r="BD386" s="57">
        <f>BD89</f>
        <v>0</v>
      </c>
      <c r="BE386" s="51">
        <f>BE89</f>
        <v>0</v>
      </c>
      <c r="BF386" s="57">
        <f>BF89</f>
        <v>0</v>
      </c>
      <c r="BG386" s="51">
        <f>BG89</f>
        <v>0</v>
      </c>
      <c r="BH386" s="57">
        <f>BH89</f>
        <v>0</v>
      </c>
      <c r="BI386" s="51">
        <f>BI89</f>
        <v>0</v>
      </c>
      <c r="BJ386" s="57">
        <f>BJ89</f>
        <v>0</v>
      </c>
      <c r="BK386" s="51">
        <f>BK89</f>
        <v>0</v>
      </c>
      <c r="BL386" s="57">
        <f>BL89</f>
        <v>0</v>
      </c>
      <c r="BM386" s="51">
        <f>BM89</f>
        <v>0</v>
      </c>
      <c r="BN386" s="561">
        <f t="shared" si="101"/>
        <v>2</v>
      </c>
      <c r="BO386" s="559">
        <f t="shared" si="102"/>
        <v>4</v>
      </c>
      <c r="BP386" s="558">
        <f t="shared" si="103"/>
        <v>2</v>
      </c>
      <c r="BQ386" s="559">
        <f t="shared" si="104"/>
        <v>4</v>
      </c>
    </row>
    <row r="387" spans="2:69" s="6" customFormat="1" ht="50.1" customHeight="1">
      <c r="B387" s="212" t="s">
        <v>82</v>
      </c>
      <c r="C387" s="146"/>
      <c r="D387" s="58">
        <f>D97</f>
        <v>0</v>
      </c>
      <c r="E387" s="51">
        <f>E97</f>
        <v>0</v>
      </c>
      <c r="F387" s="57">
        <f>F97</f>
        <v>0</v>
      </c>
      <c r="G387" s="51">
        <f>G97</f>
        <v>0</v>
      </c>
      <c r="H387" s="57">
        <f>H97</f>
        <v>1</v>
      </c>
      <c r="I387" s="51">
        <f>I97</f>
        <v>1</v>
      </c>
      <c r="J387" s="57">
        <f>J97</f>
        <v>0</v>
      </c>
      <c r="K387" s="51">
        <f>K97</f>
        <v>0</v>
      </c>
      <c r="L387" s="57">
        <f>L97</f>
        <v>0</v>
      </c>
      <c r="M387" s="51">
        <f>M97</f>
        <v>0</v>
      </c>
      <c r="N387" s="57">
        <f>N97</f>
        <v>0</v>
      </c>
      <c r="O387" s="51">
        <f>O97</f>
        <v>0</v>
      </c>
      <c r="P387" s="57">
        <f>P97</f>
        <v>0</v>
      </c>
      <c r="Q387" s="51">
        <f>Q97</f>
        <v>0</v>
      </c>
      <c r="R387" s="57">
        <f>R97</f>
        <v>0</v>
      </c>
      <c r="S387" s="51">
        <f>S97</f>
        <v>0</v>
      </c>
      <c r="T387" s="57">
        <f>T97</f>
        <v>0</v>
      </c>
      <c r="U387" s="51">
        <f>U97</f>
        <v>0</v>
      </c>
      <c r="V387" s="57">
        <f>V97</f>
        <v>0</v>
      </c>
      <c r="W387" s="51">
        <f>W97</f>
        <v>0</v>
      </c>
      <c r="X387" s="57">
        <f>X97</f>
        <v>0</v>
      </c>
      <c r="Y387" s="51">
        <f>Y97</f>
        <v>0</v>
      </c>
      <c r="Z387" s="57">
        <f>Z97</f>
        <v>0</v>
      </c>
      <c r="AA387" s="51">
        <f>AA97</f>
        <v>0</v>
      </c>
      <c r="AB387" s="57">
        <f>AB97</f>
        <v>0</v>
      </c>
      <c r="AC387" s="51">
        <f>AC97</f>
        <v>0</v>
      </c>
      <c r="AD387" s="57">
        <f>AD97</f>
        <v>0</v>
      </c>
      <c r="AE387" s="51">
        <f>AE97</f>
        <v>0</v>
      </c>
      <c r="AF387" s="57">
        <f>AF97</f>
        <v>0</v>
      </c>
      <c r="AG387" s="604">
        <f>AG97</f>
        <v>0</v>
      </c>
      <c r="AH387" s="79">
        <f>AH97</f>
        <v>0</v>
      </c>
      <c r="AI387" s="607">
        <f>AI97</f>
        <v>0</v>
      </c>
      <c r="AJ387" s="57">
        <f>AJ97</f>
        <v>0</v>
      </c>
      <c r="AK387" s="51">
        <f>AK97</f>
        <v>0</v>
      </c>
      <c r="AL387" s="57">
        <f>AL97</f>
        <v>0</v>
      </c>
      <c r="AM387" s="51">
        <f>AM97</f>
        <v>0</v>
      </c>
      <c r="AN387" s="57">
        <f>AN97</f>
        <v>0</v>
      </c>
      <c r="AO387" s="51">
        <f>AO97</f>
        <v>0</v>
      </c>
      <c r="AP387" s="57">
        <f>AP97</f>
        <v>0</v>
      </c>
      <c r="AQ387" s="51">
        <f>AQ97</f>
        <v>0</v>
      </c>
      <c r="AR387" s="57">
        <f>AR97</f>
        <v>0</v>
      </c>
      <c r="AS387" s="51">
        <f>AS97</f>
        <v>0</v>
      </c>
      <c r="AT387" s="57">
        <f>AT97</f>
        <v>0</v>
      </c>
      <c r="AU387" s="51">
        <f>AU97</f>
        <v>0</v>
      </c>
      <c r="AV387" s="57">
        <f>AV97</f>
        <v>0</v>
      </c>
      <c r="AW387" s="51">
        <f>AW97</f>
        <v>0</v>
      </c>
      <c r="AX387" s="57">
        <f>AX97</f>
        <v>0</v>
      </c>
      <c r="AY387" s="51">
        <f>AY97</f>
        <v>0</v>
      </c>
      <c r="AZ387" s="57">
        <f>AZ97</f>
        <v>0</v>
      </c>
      <c r="BA387" s="51">
        <f>BA97</f>
        <v>0</v>
      </c>
      <c r="BB387" s="57">
        <f>BB97</f>
        <v>0</v>
      </c>
      <c r="BC387" s="51">
        <f>BC97</f>
        <v>0</v>
      </c>
      <c r="BD387" s="57">
        <f>BD97</f>
        <v>0</v>
      </c>
      <c r="BE387" s="51">
        <f>BE97</f>
        <v>0</v>
      </c>
      <c r="BF387" s="57">
        <f>BF97</f>
        <v>0</v>
      </c>
      <c r="BG387" s="51">
        <f>BG97</f>
        <v>0</v>
      </c>
      <c r="BH387" s="57">
        <f>BH97</f>
        <v>0</v>
      </c>
      <c r="BI387" s="51">
        <f>BI97</f>
        <v>0</v>
      </c>
      <c r="BJ387" s="57">
        <f>BJ97</f>
        <v>0</v>
      </c>
      <c r="BK387" s="51">
        <f>BK97</f>
        <v>0</v>
      </c>
      <c r="BL387" s="57">
        <f>BL97</f>
        <v>0</v>
      </c>
      <c r="BM387" s="51">
        <f>BM97</f>
        <v>0</v>
      </c>
      <c r="BN387" s="561">
        <f t="shared" si="101"/>
        <v>1</v>
      </c>
      <c r="BO387" s="559">
        <f t="shared" si="102"/>
        <v>1</v>
      </c>
      <c r="BP387" s="558">
        <f t="shared" si="103"/>
        <v>1</v>
      </c>
      <c r="BQ387" s="559">
        <f t="shared" si="104"/>
        <v>1</v>
      </c>
    </row>
    <row r="388" spans="2:69" s="6" customFormat="1" ht="50.1" customHeight="1">
      <c r="B388" s="212" t="s">
        <v>83</v>
      </c>
      <c r="C388" s="146"/>
      <c r="D388" s="59">
        <f>D108</f>
        <v>0</v>
      </c>
      <c r="E388" s="51">
        <f>E108</f>
        <v>0</v>
      </c>
      <c r="F388" s="57">
        <f>F108</f>
        <v>0</v>
      </c>
      <c r="G388" s="51">
        <f>G108</f>
        <v>0</v>
      </c>
      <c r="H388" s="57">
        <f>H108</f>
        <v>0</v>
      </c>
      <c r="I388" s="51">
        <f>I108</f>
        <v>0</v>
      </c>
      <c r="J388" s="57">
        <f>J108</f>
        <v>0</v>
      </c>
      <c r="K388" s="51">
        <f>K108</f>
        <v>0</v>
      </c>
      <c r="L388" s="57">
        <f>L108</f>
        <v>0</v>
      </c>
      <c r="M388" s="51">
        <f>M108</f>
        <v>0</v>
      </c>
      <c r="N388" s="57">
        <f>N108</f>
        <v>0</v>
      </c>
      <c r="O388" s="51">
        <f>O108</f>
        <v>0</v>
      </c>
      <c r="P388" s="57">
        <f>P108</f>
        <v>0</v>
      </c>
      <c r="Q388" s="51">
        <f>Q108</f>
        <v>0</v>
      </c>
      <c r="R388" s="57">
        <f>R108</f>
        <v>0</v>
      </c>
      <c r="S388" s="51">
        <f>S108</f>
        <v>0</v>
      </c>
      <c r="T388" s="57">
        <f>T108</f>
        <v>1</v>
      </c>
      <c r="U388" s="51">
        <f>U108</f>
        <v>1</v>
      </c>
      <c r="V388" s="57">
        <f>V108</f>
        <v>0</v>
      </c>
      <c r="W388" s="51">
        <f>W108</f>
        <v>0</v>
      </c>
      <c r="X388" s="57">
        <f>X108</f>
        <v>0</v>
      </c>
      <c r="Y388" s="51">
        <f>Y108</f>
        <v>0</v>
      </c>
      <c r="Z388" s="57">
        <f>Z108</f>
        <v>0</v>
      </c>
      <c r="AA388" s="51">
        <f>AA108</f>
        <v>0</v>
      </c>
      <c r="AB388" s="57">
        <f>AB108</f>
        <v>0</v>
      </c>
      <c r="AC388" s="51">
        <f>AC108</f>
        <v>0</v>
      </c>
      <c r="AD388" s="57">
        <f>AD108</f>
        <v>1</v>
      </c>
      <c r="AE388" s="51">
        <f>AE108</f>
        <v>1</v>
      </c>
      <c r="AF388" s="57">
        <f>AF108</f>
        <v>0</v>
      </c>
      <c r="AG388" s="604">
        <f>AG108</f>
        <v>0</v>
      </c>
      <c r="AH388" s="79">
        <f>AH108</f>
        <v>0</v>
      </c>
      <c r="AI388" s="607">
        <f>AI108</f>
        <v>0</v>
      </c>
      <c r="AJ388" s="57">
        <f>AJ108</f>
        <v>0</v>
      </c>
      <c r="AK388" s="51">
        <f>AK108</f>
        <v>0</v>
      </c>
      <c r="AL388" s="57">
        <f>AL108</f>
        <v>0</v>
      </c>
      <c r="AM388" s="51">
        <f>AM108</f>
        <v>0</v>
      </c>
      <c r="AN388" s="57">
        <f>AN108</f>
        <v>0</v>
      </c>
      <c r="AO388" s="51">
        <f>AO108</f>
        <v>0</v>
      </c>
      <c r="AP388" s="57">
        <f>AP108</f>
        <v>0</v>
      </c>
      <c r="AQ388" s="51">
        <f>AQ108</f>
        <v>0</v>
      </c>
      <c r="AR388" s="57">
        <f>AR108</f>
        <v>0</v>
      </c>
      <c r="AS388" s="51">
        <f>AS108</f>
        <v>0</v>
      </c>
      <c r="AT388" s="57">
        <f>AT108</f>
        <v>0</v>
      </c>
      <c r="AU388" s="51">
        <f>AU108</f>
        <v>0</v>
      </c>
      <c r="AV388" s="57">
        <f>AV108</f>
        <v>0</v>
      </c>
      <c r="AW388" s="51">
        <f>AW108</f>
        <v>0</v>
      </c>
      <c r="AX388" s="57">
        <f>AX108</f>
        <v>0</v>
      </c>
      <c r="AY388" s="51">
        <f>AY108</f>
        <v>0</v>
      </c>
      <c r="AZ388" s="57">
        <f>AZ108</f>
        <v>0</v>
      </c>
      <c r="BA388" s="51">
        <f>BA108</f>
        <v>0</v>
      </c>
      <c r="BB388" s="57">
        <f>BB108</f>
        <v>0</v>
      </c>
      <c r="BC388" s="51">
        <f>BC108</f>
        <v>0</v>
      </c>
      <c r="BD388" s="57">
        <f>BD108</f>
        <v>0</v>
      </c>
      <c r="BE388" s="51">
        <f>BE108</f>
        <v>0</v>
      </c>
      <c r="BF388" s="57">
        <f>BF108</f>
        <v>0</v>
      </c>
      <c r="BG388" s="51">
        <f>BG108</f>
        <v>0</v>
      </c>
      <c r="BH388" s="57">
        <f>BH108</f>
        <v>0</v>
      </c>
      <c r="BI388" s="51">
        <f>BI108</f>
        <v>0</v>
      </c>
      <c r="BJ388" s="57">
        <f>BJ108</f>
        <v>0</v>
      </c>
      <c r="BK388" s="51">
        <f>BK108</f>
        <v>0</v>
      </c>
      <c r="BL388" s="57">
        <f>BL108</f>
        <v>0</v>
      </c>
      <c r="BM388" s="51">
        <f>BM108</f>
        <v>0</v>
      </c>
      <c r="BN388" s="561">
        <f t="shared" si="101"/>
        <v>2</v>
      </c>
      <c r="BO388" s="559">
        <f t="shared" si="102"/>
        <v>2</v>
      </c>
      <c r="BP388" s="558">
        <f t="shared" si="103"/>
        <v>2</v>
      </c>
      <c r="BQ388" s="559">
        <f t="shared" si="104"/>
        <v>2</v>
      </c>
    </row>
    <row r="389" spans="2:69" s="6" customFormat="1" ht="50.1" customHeight="1">
      <c r="B389" s="212" t="s">
        <v>84</v>
      </c>
      <c r="C389" s="146"/>
      <c r="D389" s="59">
        <f>D126</f>
        <v>0</v>
      </c>
      <c r="E389" s="51">
        <f>E126</f>
        <v>0</v>
      </c>
      <c r="F389" s="57">
        <f>F126</f>
        <v>0</v>
      </c>
      <c r="G389" s="51">
        <f>G126</f>
        <v>0</v>
      </c>
      <c r="H389" s="57">
        <f>H126</f>
        <v>2</v>
      </c>
      <c r="I389" s="51">
        <f>I126</f>
        <v>4</v>
      </c>
      <c r="J389" s="57">
        <f>J126</f>
        <v>0</v>
      </c>
      <c r="K389" s="51">
        <f>K126</f>
        <v>0</v>
      </c>
      <c r="L389" s="57">
        <f>L126</f>
        <v>0</v>
      </c>
      <c r="M389" s="51">
        <f>M126</f>
        <v>0</v>
      </c>
      <c r="N389" s="57">
        <f>N126</f>
        <v>0</v>
      </c>
      <c r="O389" s="51">
        <f>O126</f>
        <v>0</v>
      </c>
      <c r="P389" s="57">
        <f>P126</f>
        <v>0</v>
      </c>
      <c r="Q389" s="51">
        <f>Q126</f>
        <v>0</v>
      </c>
      <c r="R389" s="57">
        <f>R126</f>
        <v>0</v>
      </c>
      <c r="S389" s="51">
        <f>S126</f>
        <v>0</v>
      </c>
      <c r="T389" s="57">
        <f>T126</f>
        <v>2</v>
      </c>
      <c r="U389" s="51">
        <f>U126</f>
        <v>2</v>
      </c>
      <c r="V389" s="57">
        <f>V126</f>
        <v>2</v>
      </c>
      <c r="W389" s="51">
        <f>W126</f>
        <v>2</v>
      </c>
      <c r="X389" s="57">
        <f>X126</f>
        <v>0</v>
      </c>
      <c r="Y389" s="51">
        <f>Y126</f>
        <v>0</v>
      </c>
      <c r="Z389" s="57">
        <f>Z126</f>
        <v>0</v>
      </c>
      <c r="AA389" s="51">
        <f>AA126</f>
        <v>0</v>
      </c>
      <c r="AB389" s="57">
        <f>AB126</f>
        <v>0</v>
      </c>
      <c r="AC389" s="51">
        <f>AC126</f>
        <v>0</v>
      </c>
      <c r="AD389" s="57">
        <f>AD126</f>
        <v>0</v>
      </c>
      <c r="AE389" s="51">
        <f>AE126</f>
        <v>0</v>
      </c>
      <c r="AF389" s="57">
        <f>AF126</f>
        <v>0</v>
      </c>
      <c r="AG389" s="604">
        <f>AG126</f>
        <v>0</v>
      </c>
      <c r="AH389" s="609">
        <f>AH126</f>
        <v>0</v>
      </c>
      <c r="AI389" s="607">
        <f>AI126</f>
        <v>0</v>
      </c>
      <c r="AJ389" s="78">
        <f>AJ126</f>
        <v>0</v>
      </c>
      <c r="AK389" s="51">
        <f>AK126</f>
        <v>0</v>
      </c>
      <c r="AL389" s="78">
        <f>AL126</f>
        <v>0</v>
      </c>
      <c r="AM389" s="51">
        <f>AM126</f>
        <v>0</v>
      </c>
      <c r="AN389" s="78">
        <f>AN126</f>
        <v>0</v>
      </c>
      <c r="AO389" s="51">
        <f>AO126</f>
        <v>0</v>
      </c>
      <c r="AP389" s="78">
        <f>AP126</f>
        <v>0</v>
      </c>
      <c r="AQ389" s="51">
        <f>AQ126</f>
        <v>0</v>
      </c>
      <c r="AR389" s="78">
        <f>AR126</f>
        <v>0</v>
      </c>
      <c r="AS389" s="51">
        <f>AS126</f>
        <v>0</v>
      </c>
      <c r="AT389" s="78">
        <f>AT126</f>
        <v>0</v>
      </c>
      <c r="AU389" s="51">
        <f>AU126</f>
        <v>0</v>
      </c>
      <c r="AV389" s="78">
        <f>AV126</f>
        <v>0</v>
      </c>
      <c r="AW389" s="51">
        <f>AW126</f>
        <v>0</v>
      </c>
      <c r="AX389" s="78">
        <f>AX126</f>
        <v>0</v>
      </c>
      <c r="AY389" s="51">
        <f>AY126</f>
        <v>0</v>
      </c>
      <c r="AZ389" s="78">
        <f>AZ126</f>
        <v>0</v>
      </c>
      <c r="BA389" s="51">
        <f>BA126</f>
        <v>0</v>
      </c>
      <c r="BB389" s="78">
        <f>BB126</f>
        <v>0</v>
      </c>
      <c r="BC389" s="51">
        <f>BC126</f>
        <v>0</v>
      </c>
      <c r="BD389" s="78">
        <f>BD126</f>
        <v>0</v>
      </c>
      <c r="BE389" s="51">
        <f>BE126</f>
        <v>0</v>
      </c>
      <c r="BF389" s="78">
        <f>BF126</f>
        <v>0</v>
      </c>
      <c r="BG389" s="51">
        <f>BG126</f>
        <v>0</v>
      </c>
      <c r="BH389" s="78">
        <f>BH126</f>
        <v>0</v>
      </c>
      <c r="BI389" s="51">
        <f>BI126</f>
        <v>0</v>
      </c>
      <c r="BJ389" s="78">
        <f>BJ126</f>
        <v>0</v>
      </c>
      <c r="BK389" s="51">
        <f>BK126</f>
        <v>0</v>
      </c>
      <c r="BL389" s="78">
        <f>BL126</f>
        <v>0</v>
      </c>
      <c r="BM389" s="51">
        <f>BM126</f>
        <v>0</v>
      </c>
      <c r="BN389" s="561">
        <f t="shared" si="101"/>
        <v>6</v>
      </c>
      <c r="BO389" s="559">
        <f t="shared" si="102"/>
        <v>8</v>
      </c>
      <c r="BP389" s="558">
        <f t="shared" si="103"/>
        <v>6</v>
      </c>
      <c r="BQ389" s="559">
        <f t="shared" si="104"/>
        <v>8</v>
      </c>
    </row>
    <row r="390" spans="2:69" s="6" customFormat="1" ht="50.1" customHeight="1">
      <c r="B390" s="212" t="s">
        <v>85</v>
      </c>
      <c r="C390" s="146"/>
      <c r="D390" s="59">
        <f>D142</f>
        <v>0</v>
      </c>
      <c r="E390" s="51">
        <f>E142</f>
        <v>0</v>
      </c>
      <c r="F390" s="59">
        <f>F142</f>
        <v>0</v>
      </c>
      <c r="G390" s="51">
        <f>G142</f>
        <v>0</v>
      </c>
      <c r="H390" s="59">
        <f>H142</f>
        <v>0</v>
      </c>
      <c r="I390" s="51">
        <f>I142</f>
        <v>0</v>
      </c>
      <c r="J390" s="59">
        <f>J142</f>
        <v>0</v>
      </c>
      <c r="K390" s="51">
        <f>K142</f>
        <v>0</v>
      </c>
      <c r="L390" s="59">
        <f>L142</f>
        <v>0</v>
      </c>
      <c r="M390" s="51">
        <f>M142</f>
        <v>0</v>
      </c>
      <c r="N390" s="59">
        <f>N142</f>
        <v>0</v>
      </c>
      <c r="O390" s="51">
        <f>O142</f>
        <v>0</v>
      </c>
      <c r="P390" s="59">
        <f>P142</f>
        <v>0</v>
      </c>
      <c r="Q390" s="51">
        <f>Q142</f>
        <v>0</v>
      </c>
      <c r="R390" s="59">
        <f>R142</f>
        <v>0</v>
      </c>
      <c r="S390" s="51">
        <f>S142</f>
        <v>0</v>
      </c>
      <c r="T390" s="59">
        <f>T142</f>
        <v>0</v>
      </c>
      <c r="U390" s="51">
        <f>U142</f>
        <v>0</v>
      </c>
      <c r="V390" s="59">
        <f>V142</f>
        <v>0</v>
      </c>
      <c r="W390" s="51">
        <f>W142</f>
        <v>0</v>
      </c>
      <c r="X390" s="59">
        <f>X142</f>
        <v>0</v>
      </c>
      <c r="Y390" s="51">
        <f>Y142</f>
        <v>0</v>
      </c>
      <c r="Z390" s="59">
        <f>Z142</f>
        <v>0</v>
      </c>
      <c r="AA390" s="51">
        <f>AA142</f>
        <v>0</v>
      </c>
      <c r="AB390" s="59">
        <f>AB142</f>
        <v>0</v>
      </c>
      <c r="AC390" s="51">
        <f>AC142</f>
        <v>0</v>
      </c>
      <c r="AD390" s="59">
        <f>AD142</f>
        <v>0</v>
      </c>
      <c r="AE390" s="56">
        <f>AE142</f>
        <v>0</v>
      </c>
      <c r="AF390" s="57">
        <f>AF142</f>
        <v>0</v>
      </c>
      <c r="AG390" s="604">
        <f>AG142</f>
        <v>0</v>
      </c>
      <c r="AH390" s="609">
        <f>AH142</f>
        <v>0</v>
      </c>
      <c r="AI390" s="607">
        <f>AI142</f>
        <v>0</v>
      </c>
      <c r="AJ390" s="78">
        <f>AJ142</f>
        <v>0</v>
      </c>
      <c r="AK390" s="51">
        <f>AK142</f>
        <v>0</v>
      </c>
      <c r="AL390" s="78">
        <f>AL142</f>
        <v>0</v>
      </c>
      <c r="AM390" s="51">
        <f>AM142</f>
        <v>0</v>
      </c>
      <c r="AN390" s="78">
        <f>AN142</f>
        <v>0</v>
      </c>
      <c r="AO390" s="51">
        <f>AO142</f>
        <v>0</v>
      </c>
      <c r="AP390" s="78">
        <f>AP142</f>
        <v>0</v>
      </c>
      <c r="AQ390" s="51">
        <f>AQ142</f>
        <v>0</v>
      </c>
      <c r="AR390" s="78">
        <f>AR142</f>
        <v>0</v>
      </c>
      <c r="AS390" s="51">
        <f>AS142</f>
        <v>0</v>
      </c>
      <c r="AT390" s="78">
        <f>AT142</f>
        <v>0</v>
      </c>
      <c r="AU390" s="51">
        <f>AU142</f>
        <v>0</v>
      </c>
      <c r="AV390" s="78">
        <f>AV142</f>
        <v>0</v>
      </c>
      <c r="AW390" s="51">
        <f>AW142</f>
        <v>0</v>
      </c>
      <c r="AX390" s="78">
        <f>AX142</f>
        <v>0</v>
      </c>
      <c r="AY390" s="51">
        <f>AY142</f>
        <v>0</v>
      </c>
      <c r="AZ390" s="78">
        <f>AZ142</f>
        <v>0</v>
      </c>
      <c r="BA390" s="51">
        <f>BA142</f>
        <v>0</v>
      </c>
      <c r="BB390" s="78">
        <f>BB142</f>
        <v>0</v>
      </c>
      <c r="BC390" s="51">
        <f>BC142</f>
        <v>0</v>
      </c>
      <c r="BD390" s="78">
        <f>BD142</f>
        <v>0</v>
      </c>
      <c r="BE390" s="51">
        <f>BE142</f>
        <v>0</v>
      </c>
      <c r="BF390" s="78">
        <f>BF142</f>
        <v>0</v>
      </c>
      <c r="BG390" s="51">
        <f>BG142</f>
        <v>0</v>
      </c>
      <c r="BH390" s="78">
        <f>BH142</f>
        <v>0</v>
      </c>
      <c r="BI390" s="51">
        <f>BI142</f>
        <v>0</v>
      </c>
      <c r="BJ390" s="78">
        <f>BJ142</f>
        <v>0</v>
      </c>
      <c r="BK390" s="51">
        <f>BK142</f>
        <v>0</v>
      </c>
      <c r="BL390" s="78">
        <f>BL142</f>
        <v>0</v>
      </c>
      <c r="BM390" s="51">
        <f>BM142</f>
        <v>0</v>
      </c>
      <c r="BN390" s="561">
        <f t="shared" si="101"/>
        <v>0</v>
      </c>
      <c r="BO390" s="559">
        <f t="shared" si="102"/>
        <v>0</v>
      </c>
      <c r="BP390" s="558">
        <f t="shared" si="103"/>
        <v>0</v>
      </c>
      <c r="BQ390" s="559">
        <f t="shared" si="104"/>
        <v>0</v>
      </c>
    </row>
    <row r="391" spans="2:69" s="6" customFormat="1" ht="50.1" customHeight="1">
      <c r="B391" s="212" t="s">
        <v>87</v>
      </c>
      <c r="C391" s="146"/>
      <c r="D391" s="59">
        <f>D160</f>
        <v>0</v>
      </c>
      <c r="E391" s="51">
        <f>E160</f>
        <v>0</v>
      </c>
      <c r="F391" s="57">
        <f>F160</f>
        <v>0</v>
      </c>
      <c r="G391" s="51">
        <f>G160</f>
        <v>0</v>
      </c>
      <c r="H391" s="57">
        <f>H160</f>
        <v>1</v>
      </c>
      <c r="I391" s="51">
        <f>I160</f>
        <v>1</v>
      </c>
      <c r="J391" s="57">
        <f>J160</f>
        <v>0</v>
      </c>
      <c r="K391" s="51">
        <f>K160</f>
        <v>0</v>
      </c>
      <c r="L391" s="57">
        <f>L160</f>
        <v>0</v>
      </c>
      <c r="M391" s="51">
        <f>M160</f>
        <v>0</v>
      </c>
      <c r="N391" s="57">
        <f>N160</f>
        <v>0</v>
      </c>
      <c r="O391" s="51">
        <f>O160</f>
        <v>0</v>
      </c>
      <c r="P391" s="57">
        <f>P160</f>
        <v>0</v>
      </c>
      <c r="Q391" s="51">
        <f>Q160</f>
        <v>0</v>
      </c>
      <c r="R391" s="57">
        <f>R160</f>
        <v>1</v>
      </c>
      <c r="S391" s="51">
        <f>S160</f>
        <v>2</v>
      </c>
      <c r="T391" s="57">
        <f>T160</f>
        <v>0</v>
      </c>
      <c r="U391" s="51">
        <f>U160</f>
        <v>0</v>
      </c>
      <c r="V391" s="57">
        <f>V160</f>
        <v>0</v>
      </c>
      <c r="W391" s="51">
        <f>W160</f>
        <v>0</v>
      </c>
      <c r="X391" s="57">
        <f>X160</f>
        <v>0</v>
      </c>
      <c r="Y391" s="51">
        <f>Y160</f>
        <v>0</v>
      </c>
      <c r="Z391" s="57">
        <f>Z160</f>
        <v>0</v>
      </c>
      <c r="AA391" s="51">
        <f>AA160</f>
        <v>0</v>
      </c>
      <c r="AB391" s="57">
        <f>AB160</f>
        <v>0</v>
      </c>
      <c r="AC391" s="51">
        <f>AC160</f>
        <v>0</v>
      </c>
      <c r="AD391" s="57">
        <f>AD160</f>
        <v>1</v>
      </c>
      <c r="AE391" s="51">
        <f>AE160</f>
        <v>2</v>
      </c>
      <c r="AF391" s="57">
        <f>AF160</f>
        <v>0</v>
      </c>
      <c r="AG391" s="604">
        <f>AG160</f>
        <v>0</v>
      </c>
      <c r="AH391" s="609">
        <f>AH160</f>
        <v>0</v>
      </c>
      <c r="AI391" s="607">
        <f>AI160</f>
        <v>0</v>
      </c>
      <c r="AJ391" s="59">
        <f>AJ160</f>
        <v>0</v>
      </c>
      <c r="AK391" s="51">
        <f>AK160</f>
        <v>0</v>
      </c>
      <c r="AL391" s="59">
        <f>AL160</f>
        <v>0</v>
      </c>
      <c r="AM391" s="51">
        <f>AM160</f>
        <v>0</v>
      </c>
      <c r="AN391" s="59">
        <f>AN160</f>
        <v>0</v>
      </c>
      <c r="AO391" s="51">
        <f>AO160</f>
        <v>0</v>
      </c>
      <c r="AP391" s="59">
        <f>AP160</f>
        <v>0</v>
      </c>
      <c r="AQ391" s="51">
        <f>AQ160</f>
        <v>0</v>
      </c>
      <c r="AR391" s="59">
        <f>AR160</f>
        <v>0</v>
      </c>
      <c r="AS391" s="51">
        <f>AS160</f>
        <v>0</v>
      </c>
      <c r="AT391" s="59">
        <f>AT160</f>
        <v>0</v>
      </c>
      <c r="AU391" s="51">
        <f>AU160</f>
        <v>0</v>
      </c>
      <c r="AV391" s="59">
        <f>AV160</f>
        <v>0</v>
      </c>
      <c r="AW391" s="51">
        <f>AW160</f>
        <v>0</v>
      </c>
      <c r="AX391" s="59">
        <f>AX160</f>
        <v>0</v>
      </c>
      <c r="AY391" s="51">
        <f>AY160</f>
        <v>0</v>
      </c>
      <c r="AZ391" s="59">
        <f>AZ160</f>
        <v>0</v>
      </c>
      <c r="BA391" s="51">
        <f>BA160</f>
        <v>0</v>
      </c>
      <c r="BB391" s="59">
        <f>BB160</f>
        <v>0</v>
      </c>
      <c r="BC391" s="51">
        <f>BC160</f>
        <v>0</v>
      </c>
      <c r="BD391" s="59">
        <f>BD160</f>
        <v>0</v>
      </c>
      <c r="BE391" s="51">
        <f>BE160</f>
        <v>0</v>
      </c>
      <c r="BF391" s="59">
        <f>BF160</f>
        <v>0</v>
      </c>
      <c r="BG391" s="51">
        <f>BG160</f>
        <v>0</v>
      </c>
      <c r="BH391" s="59">
        <f>BH160</f>
        <v>0</v>
      </c>
      <c r="BI391" s="51">
        <f>BI160</f>
        <v>0</v>
      </c>
      <c r="BJ391" s="59">
        <f>BJ160</f>
        <v>0</v>
      </c>
      <c r="BK391" s="51">
        <f>BK160</f>
        <v>0</v>
      </c>
      <c r="BL391" s="59">
        <f>BL160</f>
        <v>0</v>
      </c>
      <c r="BM391" s="51">
        <f>BM160</f>
        <v>0</v>
      </c>
      <c r="BN391" s="561">
        <f t="shared" si="101"/>
        <v>3</v>
      </c>
      <c r="BO391" s="559">
        <f t="shared" si="102"/>
        <v>5</v>
      </c>
      <c r="BP391" s="558">
        <f t="shared" si="103"/>
        <v>3</v>
      </c>
      <c r="BQ391" s="559">
        <f t="shared" si="104"/>
        <v>5</v>
      </c>
    </row>
    <row r="392" spans="2:69" s="6" customFormat="1" ht="50.1" customHeight="1">
      <c r="B392" s="212" t="s">
        <v>215</v>
      </c>
      <c r="C392" s="146"/>
      <c r="D392" s="59">
        <f>D196</f>
        <v>0</v>
      </c>
      <c r="E392" s="51">
        <f>E196</f>
        <v>0</v>
      </c>
      <c r="F392" s="57">
        <f>F196</f>
        <v>0</v>
      </c>
      <c r="G392" s="51">
        <f>G196</f>
        <v>0</v>
      </c>
      <c r="H392" s="57">
        <f>H196</f>
        <v>0</v>
      </c>
      <c r="I392" s="51">
        <f>I196</f>
        <v>0</v>
      </c>
      <c r="J392" s="57">
        <f>J196</f>
        <v>0</v>
      </c>
      <c r="K392" s="51">
        <f>K196</f>
        <v>0</v>
      </c>
      <c r="L392" s="57">
        <f>L196</f>
        <v>0</v>
      </c>
      <c r="M392" s="51">
        <f>M196</f>
        <v>0</v>
      </c>
      <c r="N392" s="57">
        <f>N196</f>
        <v>0</v>
      </c>
      <c r="O392" s="51">
        <f>O196</f>
        <v>0</v>
      </c>
      <c r="P392" s="57">
        <f>P196</f>
        <v>0</v>
      </c>
      <c r="Q392" s="51">
        <f>Q196</f>
        <v>0</v>
      </c>
      <c r="R392" s="57">
        <f>R196</f>
        <v>0</v>
      </c>
      <c r="S392" s="51">
        <f>S196</f>
        <v>0</v>
      </c>
      <c r="T392" s="57">
        <f>T196</f>
        <v>0</v>
      </c>
      <c r="U392" s="51">
        <f>U196</f>
        <v>0</v>
      </c>
      <c r="V392" s="57">
        <f>V196</f>
        <v>0</v>
      </c>
      <c r="W392" s="51">
        <f>W196</f>
        <v>0</v>
      </c>
      <c r="X392" s="57">
        <f>X196</f>
        <v>0</v>
      </c>
      <c r="Y392" s="51">
        <f>Y196</f>
        <v>0</v>
      </c>
      <c r="Z392" s="57">
        <f>Z196</f>
        <v>0</v>
      </c>
      <c r="AA392" s="51">
        <f>AA196</f>
        <v>0</v>
      </c>
      <c r="AB392" s="57">
        <f>AB196</f>
        <v>0</v>
      </c>
      <c r="AC392" s="51">
        <f>AC196</f>
        <v>0</v>
      </c>
      <c r="AD392" s="57">
        <f>AD196</f>
        <v>2</v>
      </c>
      <c r="AE392" s="51">
        <f>AE196</f>
        <v>2</v>
      </c>
      <c r="AF392" s="57">
        <f>AF196</f>
        <v>0</v>
      </c>
      <c r="AG392" s="604">
        <f>AG196</f>
        <v>0</v>
      </c>
      <c r="AH392" s="609">
        <f>AH196</f>
        <v>0</v>
      </c>
      <c r="AI392" s="607">
        <f>AI196</f>
        <v>0</v>
      </c>
      <c r="AJ392" s="57">
        <f>AJ196</f>
        <v>0</v>
      </c>
      <c r="AK392" s="51">
        <f>AK196</f>
        <v>0</v>
      </c>
      <c r="AL392" s="57">
        <f>AL196</f>
        <v>0</v>
      </c>
      <c r="AM392" s="51">
        <f>AM196</f>
        <v>0</v>
      </c>
      <c r="AN392" s="57">
        <f>AN196</f>
        <v>0</v>
      </c>
      <c r="AO392" s="51">
        <f>AO196</f>
        <v>0</v>
      </c>
      <c r="AP392" s="57">
        <f>AP196</f>
        <v>0</v>
      </c>
      <c r="AQ392" s="51">
        <f>AQ196</f>
        <v>0</v>
      </c>
      <c r="AR392" s="57">
        <f>AR196</f>
        <v>0</v>
      </c>
      <c r="AS392" s="51">
        <f>AS196</f>
        <v>0</v>
      </c>
      <c r="AT392" s="57">
        <f>AT196</f>
        <v>0</v>
      </c>
      <c r="AU392" s="51">
        <f>AU196</f>
        <v>0</v>
      </c>
      <c r="AV392" s="57">
        <f>AV196</f>
        <v>0</v>
      </c>
      <c r="AW392" s="51">
        <f>AW196</f>
        <v>0</v>
      </c>
      <c r="AX392" s="57">
        <f>AX196</f>
        <v>0</v>
      </c>
      <c r="AY392" s="51">
        <f>AY196</f>
        <v>0</v>
      </c>
      <c r="AZ392" s="57">
        <f>AZ196</f>
        <v>0</v>
      </c>
      <c r="BA392" s="51">
        <f>BA196</f>
        <v>0</v>
      </c>
      <c r="BB392" s="57">
        <f>BB196</f>
        <v>0</v>
      </c>
      <c r="BC392" s="51">
        <f>BC196</f>
        <v>0</v>
      </c>
      <c r="BD392" s="57">
        <f>BD196</f>
        <v>0</v>
      </c>
      <c r="BE392" s="51">
        <f>BE196</f>
        <v>0</v>
      </c>
      <c r="BF392" s="57">
        <f>BF196</f>
        <v>0</v>
      </c>
      <c r="BG392" s="51">
        <f>BG196</f>
        <v>0</v>
      </c>
      <c r="BH392" s="57">
        <f>BH196</f>
        <v>0</v>
      </c>
      <c r="BI392" s="51">
        <f>BI196</f>
        <v>0</v>
      </c>
      <c r="BJ392" s="57">
        <f>BJ196</f>
        <v>0</v>
      </c>
      <c r="BK392" s="51">
        <f>BK196</f>
        <v>0</v>
      </c>
      <c r="BL392" s="57">
        <f>BL196</f>
        <v>0</v>
      </c>
      <c r="BM392" s="51">
        <f>BM196</f>
        <v>0</v>
      </c>
      <c r="BN392" s="561">
        <f t="shared" si="101"/>
        <v>2</v>
      </c>
      <c r="BO392" s="559">
        <f t="shared" si="102"/>
        <v>2</v>
      </c>
      <c r="BP392" s="558">
        <f t="shared" si="103"/>
        <v>2</v>
      </c>
      <c r="BQ392" s="559">
        <f t="shared" si="104"/>
        <v>2</v>
      </c>
    </row>
    <row r="393" spans="2:69" s="6" customFormat="1" ht="50.1" customHeight="1">
      <c r="B393" s="213" t="s">
        <v>214</v>
      </c>
      <c r="C393" s="147"/>
      <c r="D393" s="59">
        <f>D221</f>
        <v>0</v>
      </c>
      <c r="E393" s="51">
        <f>E221</f>
        <v>0</v>
      </c>
      <c r="F393" s="78">
        <f>F221</f>
        <v>0</v>
      </c>
      <c r="G393" s="51">
        <f>G221</f>
        <v>0</v>
      </c>
      <c r="H393" s="78">
        <f>H221</f>
        <v>0</v>
      </c>
      <c r="I393" s="51">
        <f>I221</f>
        <v>0</v>
      </c>
      <c r="J393" s="78">
        <f>J221</f>
        <v>0</v>
      </c>
      <c r="K393" s="51">
        <f>K221</f>
        <v>0</v>
      </c>
      <c r="L393" s="78">
        <f>L221</f>
        <v>0</v>
      </c>
      <c r="M393" s="51">
        <f>M221</f>
        <v>0</v>
      </c>
      <c r="N393" s="78">
        <f>N221</f>
        <v>0</v>
      </c>
      <c r="O393" s="51">
        <f>O221</f>
        <v>0</v>
      </c>
      <c r="P393" s="78">
        <f>P221</f>
        <v>0</v>
      </c>
      <c r="Q393" s="51">
        <f>Q221</f>
        <v>0</v>
      </c>
      <c r="R393" s="78">
        <f>R221</f>
        <v>3</v>
      </c>
      <c r="S393" s="51">
        <f>S221</f>
        <v>3</v>
      </c>
      <c r="T393" s="78">
        <f>T221</f>
        <v>0</v>
      </c>
      <c r="U393" s="51">
        <f>U221</f>
        <v>0</v>
      </c>
      <c r="V393" s="78">
        <f>V221</f>
        <v>0</v>
      </c>
      <c r="W393" s="51">
        <f>W221</f>
        <v>0</v>
      </c>
      <c r="X393" s="78">
        <f>X221</f>
        <v>0</v>
      </c>
      <c r="Y393" s="51">
        <f>Y221</f>
        <v>0</v>
      </c>
      <c r="Z393" s="78">
        <f>Z221</f>
        <v>0</v>
      </c>
      <c r="AA393" s="51">
        <f>AA221</f>
        <v>0</v>
      </c>
      <c r="AB393" s="78">
        <f>AB221</f>
        <v>0</v>
      </c>
      <c r="AC393" s="51">
        <f>AC221</f>
        <v>0</v>
      </c>
      <c r="AD393" s="78">
        <f>AD221</f>
        <v>0</v>
      </c>
      <c r="AE393" s="51">
        <f>AE221</f>
        <v>0</v>
      </c>
      <c r="AF393" s="57">
        <f>AF221</f>
        <v>0</v>
      </c>
      <c r="AG393" s="604">
        <f>AG221</f>
        <v>0</v>
      </c>
      <c r="AH393" s="609">
        <f>AH221</f>
        <v>0</v>
      </c>
      <c r="AI393" s="607">
        <f>AI221</f>
        <v>0</v>
      </c>
      <c r="AJ393" s="57">
        <f>AJ221</f>
        <v>0</v>
      </c>
      <c r="AK393" s="51">
        <f>AK221</f>
        <v>0</v>
      </c>
      <c r="AL393" s="57">
        <f>AL221</f>
        <v>0</v>
      </c>
      <c r="AM393" s="51">
        <f>AM221</f>
        <v>0</v>
      </c>
      <c r="AN393" s="57">
        <f>AN221</f>
        <v>0</v>
      </c>
      <c r="AO393" s="51">
        <f>AO221</f>
        <v>0</v>
      </c>
      <c r="AP393" s="57">
        <f>AP221</f>
        <v>0</v>
      </c>
      <c r="AQ393" s="51">
        <f>AQ221</f>
        <v>0</v>
      </c>
      <c r="AR393" s="57">
        <f>AR221</f>
        <v>0</v>
      </c>
      <c r="AS393" s="51">
        <f>AS221</f>
        <v>0</v>
      </c>
      <c r="AT393" s="57">
        <f>AT221</f>
        <v>0</v>
      </c>
      <c r="AU393" s="51">
        <f>AU221</f>
        <v>0</v>
      </c>
      <c r="AV393" s="57">
        <f>AV221</f>
        <v>0</v>
      </c>
      <c r="AW393" s="51">
        <f>AW221</f>
        <v>0</v>
      </c>
      <c r="AX393" s="57">
        <f>AX221</f>
        <v>0</v>
      </c>
      <c r="AY393" s="51">
        <f>AY221</f>
        <v>0</v>
      </c>
      <c r="AZ393" s="57">
        <f>AZ221</f>
        <v>0</v>
      </c>
      <c r="BA393" s="51">
        <f>BA221</f>
        <v>0</v>
      </c>
      <c r="BB393" s="57">
        <f>BB221</f>
        <v>0</v>
      </c>
      <c r="BC393" s="51">
        <f>BC221</f>
        <v>0</v>
      </c>
      <c r="BD393" s="57">
        <f>BD221</f>
        <v>0</v>
      </c>
      <c r="BE393" s="51">
        <f>BE221</f>
        <v>0</v>
      </c>
      <c r="BF393" s="57">
        <f>BF221</f>
        <v>0</v>
      </c>
      <c r="BG393" s="51">
        <f>BG221</f>
        <v>0</v>
      </c>
      <c r="BH393" s="57">
        <f>BH221</f>
        <v>0</v>
      </c>
      <c r="BI393" s="51">
        <f>BI221</f>
        <v>0</v>
      </c>
      <c r="BJ393" s="57">
        <f>BJ221</f>
        <v>0</v>
      </c>
      <c r="BK393" s="51">
        <f>BK221</f>
        <v>0</v>
      </c>
      <c r="BL393" s="57">
        <f>BL221</f>
        <v>0</v>
      </c>
      <c r="BM393" s="51">
        <f>BM221</f>
        <v>0</v>
      </c>
      <c r="BN393" s="561">
        <f t="shared" si="101"/>
        <v>3</v>
      </c>
      <c r="BO393" s="559">
        <f t="shared" si="102"/>
        <v>3</v>
      </c>
      <c r="BP393" s="558">
        <f t="shared" si="103"/>
        <v>3</v>
      </c>
      <c r="BQ393" s="559">
        <f t="shared" si="104"/>
        <v>3</v>
      </c>
    </row>
    <row r="394" spans="2:69" s="6" customFormat="1" ht="50.1" customHeight="1" thickBot="1">
      <c r="B394" s="213" t="s">
        <v>89</v>
      </c>
      <c r="C394" s="147"/>
      <c r="D394" s="60">
        <f>D246</f>
        <v>0</v>
      </c>
      <c r="E394" s="61">
        <f>E246</f>
        <v>0</v>
      </c>
      <c r="F394" s="63">
        <f>F246</f>
        <v>0</v>
      </c>
      <c r="G394" s="64">
        <f>G246</f>
        <v>0</v>
      </c>
      <c r="H394" s="63">
        <f>H246</f>
        <v>0</v>
      </c>
      <c r="I394" s="64">
        <f>I246</f>
        <v>0</v>
      </c>
      <c r="J394" s="63">
        <f>J246</f>
        <v>0</v>
      </c>
      <c r="K394" s="64">
        <f>K246</f>
        <v>0</v>
      </c>
      <c r="L394" s="63">
        <f>L246</f>
        <v>0</v>
      </c>
      <c r="M394" s="64">
        <f>M246</f>
        <v>0</v>
      </c>
      <c r="N394" s="63">
        <f>N246</f>
        <v>1</v>
      </c>
      <c r="O394" s="64">
        <f>O246</f>
        <v>1</v>
      </c>
      <c r="P394" s="63">
        <f>P246</f>
        <v>0</v>
      </c>
      <c r="Q394" s="64">
        <f>Q246</f>
        <v>0</v>
      </c>
      <c r="R394" s="63">
        <f>R246</f>
        <v>2</v>
      </c>
      <c r="S394" s="64">
        <f>S246</f>
        <v>4</v>
      </c>
      <c r="T394" s="63">
        <f>T246</f>
        <v>2</v>
      </c>
      <c r="U394" s="64">
        <f>U246</f>
        <v>3</v>
      </c>
      <c r="V394" s="63">
        <f>V246</f>
        <v>1</v>
      </c>
      <c r="W394" s="64">
        <f>W246</f>
        <v>1</v>
      </c>
      <c r="X394" s="63">
        <f>X246</f>
        <v>2</v>
      </c>
      <c r="Y394" s="64">
        <f>Y246</f>
        <v>2</v>
      </c>
      <c r="Z394" s="63">
        <f>Z246</f>
        <v>0</v>
      </c>
      <c r="AA394" s="64">
        <f>AA246</f>
        <v>0</v>
      </c>
      <c r="AB394" s="63">
        <f>AB246</f>
        <v>0</v>
      </c>
      <c r="AC394" s="64">
        <f>AC246</f>
        <v>0</v>
      </c>
      <c r="AD394" s="63">
        <f>AD246</f>
        <v>5</v>
      </c>
      <c r="AE394" s="64">
        <f>AE246</f>
        <v>5</v>
      </c>
      <c r="AF394" s="63">
        <f>AF246</f>
        <v>1</v>
      </c>
      <c r="AG394" s="65">
        <f>AG246</f>
        <v>1</v>
      </c>
      <c r="AH394" s="610">
        <f>AH246</f>
        <v>0</v>
      </c>
      <c r="AI394" s="611">
        <f>AI246</f>
        <v>0</v>
      </c>
      <c r="AJ394" s="63">
        <f>AJ246</f>
        <v>0</v>
      </c>
      <c r="AK394" s="64">
        <f>AK246</f>
        <v>0</v>
      </c>
      <c r="AL394" s="63">
        <f>AL246</f>
        <v>0</v>
      </c>
      <c r="AM394" s="64">
        <f>AM246</f>
        <v>0</v>
      </c>
      <c r="AN394" s="63">
        <f>AN246</f>
        <v>0</v>
      </c>
      <c r="AO394" s="64">
        <f>AO246</f>
        <v>0</v>
      </c>
      <c r="AP394" s="63">
        <f>AP246</f>
        <v>0</v>
      </c>
      <c r="AQ394" s="64">
        <f>AQ246</f>
        <v>0</v>
      </c>
      <c r="AR394" s="63">
        <f>AR246</f>
        <v>0</v>
      </c>
      <c r="AS394" s="64">
        <f>AS246</f>
        <v>0</v>
      </c>
      <c r="AT394" s="63">
        <f>AT246</f>
        <v>0</v>
      </c>
      <c r="AU394" s="64">
        <f>AU246</f>
        <v>0</v>
      </c>
      <c r="AV394" s="63">
        <f>AV246</f>
        <v>0</v>
      </c>
      <c r="AW394" s="64">
        <f>AW246</f>
        <v>0</v>
      </c>
      <c r="AX394" s="63">
        <f>AX246</f>
        <v>0</v>
      </c>
      <c r="AY394" s="64">
        <f>AY246</f>
        <v>0</v>
      </c>
      <c r="AZ394" s="63">
        <f>AZ246</f>
        <v>0</v>
      </c>
      <c r="BA394" s="64">
        <f>BA246</f>
        <v>0</v>
      </c>
      <c r="BB394" s="63">
        <f>BB246</f>
        <v>0</v>
      </c>
      <c r="BC394" s="64">
        <f>BC246</f>
        <v>0</v>
      </c>
      <c r="BD394" s="63">
        <f>BD246</f>
        <v>0</v>
      </c>
      <c r="BE394" s="64">
        <f>BE246</f>
        <v>0</v>
      </c>
      <c r="BF394" s="63">
        <f>BF246</f>
        <v>0</v>
      </c>
      <c r="BG394" s="64">
        <f>BG246</f>
        <v>0</v>
      </c>
      <c r="BH394" s="63">
        <f>BH246</f>
        <v>0</v>
      </c>
      <c r="BI394" s="64">
        <f>BI246</f>
        <v>0</v>
      </c>
      <c r="BJ394" s="63">
        <f>BJ246</f>
        <v>0</v>
      </c>
      <c r="BK394" s="65">
        <f>BK246</f>
        <v>0</v>
      </c>
      <c r="BL394" s="63">
        <f>BL246</f>
        <v>0</v>
      </c>
      <c r="BM394" s="65">
        <f>BM246</f>
        <v>0</v>
      </c>
      <c r="BN394" s="561">
        <f t="shared" si="101"/>
        <v>14</v>
      </c>
      <c r="BO394" s="559">
        <f t="shared" si="102"/>
        <v>17</v>
      </c>
      <c r="BP394" s="558">
        <f t="shared" si="103"/>
        <v>14</v>
      </c>
      <c r="BQ394" s="559">
        <f t="shared" si="104"/>
        <v>17</v>
      </c>
    </row>
    <row r="395" spans="2:69" s="6" customFormat="1" ht="50.1" customHeight="1" thickBot="1">
      <c r="B395" s="214" t="s">
        <v>202</v>
      </c>
      <c r="C395" s="149"/>
      <c r="D395" s="29">
        <f t="shared" ref="D395:AG395" si="105">SUM(D382:D394)</f>
        <v>0</v>
      </c>
      <c r="E395" s="31">
        <f t="shared" si="105"/>
        <v>0</v>
      </c>
      <c r="F395" s="29">
        <f t="shared" si="105"/>
        <v>0</v>
      </c>
      <c r="G395" s="31">
        <f t="shared" si="105"/>
        <v>0</v>
      </c>
      <c r="H395" s="29">
        <f t="shared" si="105"/>
        <v>15</v>
      </c>
      <c r="I395" s="31">
        <f t="shared" si="105"/>
        <v>24</v>
      </c>
      <c r="J395" s="29">
        <f t="shared" si="105"/>
        <v>0</v>
      </c>
      <c r="K395" s="31">
        <f t="shared" si="105"/>
        <v>0</v>
      </c>
      <c r="L395" s="29">
        <f t="shared" si="105"/>
        <v>0</v>
      </c>
      <c r="M395" s="31">
        <f t="shared" si="105"/>
        <v>0</v>
      </c>
      <c r="N395" s="29">
        <f t="shared" si="105"/>
        <v>3</v>
      </c>
      <c r="O395" s="31">
        <f t="shared" si="105"/>
        <v>6</v>
      </c>
      <c r="P395" s="29">
        <f t="shared" si="105"/>
        <v>1</v>
      </c>
      <c r="Q395" s="31">
        <f t="shared" si="105"/>
        <v>1</v>
      </c>
      <c r="R395" s="29">
        <f t="shared" si="105"/>
        <v>7</v>
      </c>
      <c r="S395" s="31">
        <f t="shared" si="105"/>
        <v>11</v>
      </c>
      <c r="T395" s="29">
        <f t="shared" si="105"/>
        <v>6</v>
      </c>
      <c r="U395" s="31">
        <f t="shared" si="105"/>
        <v>8</v>
      </c>
      <c r="V395" s="29">
        <f t="shared" si="105"/>
        <v>4</v>
      </c>
      <c r="W395" s="31">
        <f t="shared" si="105"/>
        <v>5</v>
      </c>
      <c r="X395" s="29">
        <f t="shared" si="105"/>
        <v>2</v>
      </c>
      <c r="Y395" s="31">
        <f t="shared" si="105"/>
        <v>2</v>
      </c>
      <c r="Z395" s="29">
        <f t="shared" si="105"/>
        <v>0</v>
      </c>
      <c r="AA395" s="31">
        <f t="shared" si="105"/>
        <v>0</v>
      </c>
      <c r="AB395" s="29">
        <f t="shared" si="105"/>
        <v>0</v>
      </c>
      <c r="AC395" s="31">
        <f t="shared" si="105"/>
        <v>0</v>
      </c>
      <c r="AD395" s="29">
        <f t="shared" si="105"/>
        <v>17</v>
      </c>
      <c r="AE395" s="31">
        <f t="shared" si="105"/>
        <v>19</v>
      </c>
      <c r="AF395" s="39">
        <f t="shared" si="105"/>
        <v>4</v>
      </c>
      <c r="AG395" s="41">
        <f t="shared" si="105"/>
        <v>5</v>
      </c>
      <c r="AH395" s="39">
        <f t="shared" ref="AH395:BM395" si="106">SUM(AH382:AH394)</f>
        <v>0</v>
      </c>
      <c r="AI395" s="31">
        <f t="shared" si="106"/>
        <v>0</v>
      </c>
      <c r="AJ395" s="29">
        <f>SUM(AJ382:AJ394)</f>
        <v>0</v>
      </c>
      <c r="AK395" s="31">
        <f>SUM(AK382:AK394)</f>
        <v>0</v>
      </c>
      <c r="AL395" s="29">
        <f>SUM(AL382:AL394)</f>
        <v>0</v>
      </c>
      <c r="AM395" s="31">
        <f t="shared" si="106"/>
        <v>0</v>
      </c>
      <c r="AN395" s="29">
        <f t="shared" si="106"/>
        <v>0</v>
      </c>
      <c r="AO395" s="31">
        <f t="shared" si="106"/>
        <v>0</v>
      </c>
      <c r="AP395" s="29">
        <f t="shared" si="106"/>
        <v>0</v>
      </c>
      <c r="AQ395" s="31">
        <f t="shared" si="106"/>
        <v>0</v>
      </c>
      <c r="AR395" s="29">
        <f t="shared" si="106"/>
        <v>0</v>
      </c>
      <c r="AS395" s="31">
        <f t="shared" si="106"/>
        <v>0</v>
      </c>
      <c r="AT395" s="29">
        <f t="shared" si="106"/>
        <v>0</v>
      </c>
      <c r="AU395" s="31">
        <f t="shared" si="106"/>
        <v>0</v>
      </c>
      <c r="AV395" s="29">
        <f t="shared" si="106"/>
        <v>0</v>
      </c>
      <c r="AW395" s="31">
        <f t="shared" si="106"/>
        <v>0</v>
      </c>
      <c r="AX395" s="29">
        <f t="shared" si="106"/>
        <v>0</v>
      </c>
      <c r="AY395" s="31">
        <f t="shared" si="106"/>
        <v>0</v>
      </c>
      <c r="AZ395" s="29">
        <f t="shared" si="106"/>
        <v>0</v>
      </c>
      <c r="BA395" s="31">
        <f t="shared" si="106"/>
        <v>0</v>
      </c>
      <c r="BB395" s="29">
        <f t="shared" si="106"/>
        <v>0</v>
      </c>
      <c r="BC395" s="31">
        <f t="shared" si="106"/>
        <v>0</v>
      </c>
      <c r="BD395" s="29">
        <f t="shared" si="106"/>
        <v>0</v>
      </c>
      <c r="BE395" s="31">
        <f t="shared" si="106"/>
        <v>0</v>
      </c>
      <c r="BF395" s="29">
        <f t="shared" si="106"/>
        <v>0</v>
      </c>
      <c r="BG395" s="31">
        <f t="shared" si="106"/>
        <v>0</v>
      </c>
      <c r="BH395" s="29">
        <f t="shared" si="106"/>
        <v>0</v>
      </c>
      <c r="BI395" s="31">
        <f t="shared" si="106"/>
        <v>0</v>
      </c>
      <c r="BJ395" s="39">
        <f t="shared" si="106"/>
        <v>0</v>
      </c>
      <c r="BK395" s="31">
        <f t="shared" si="106"/>
        <v>0</v>
      </c>
      <c r="BL395" s="39">
        <f t="shared" si="106"/>
        <v>0</v>
      </c>
      <c r="BM395" s="31">
        <f t="shared" si="106"/>
        <v>0</v>
      </c>
      <c r="BN395" s="32">
        <f>SUM(BN382:BN394)</f>
        <v>59</v>
      </c>
      <c r="BO395" s="41">
        <f>SUM(BO382:BO394)</f>
        <v>81</v>
      </c>
      <c r="BP395" s="254">
        <f>SUM(BP382:BP394)</f>
        <v>59</v>
      </c>
      <c r="BQ395" s="40">
        <f>SUM(BQ382:BQ394)</f>
        <v>81</v>
      </c>
    </row>
    <row r="396" spans="2:69" s="6" customFormat="1" ht="50.1" customHeight="1">
      <c r="B396" s="211" t="s">
        <v>54</v>
      </c>
      <c r="C396" s="145"/>
      <c r="D396" s="58">
        <f>D258</f>
        <v>0</v>
      </c>
      <c r="E396" s="66">
        <f>E258</f>
        <v>0</v>
      </c>
      <c r="F396" s="67">
        <f>F258</f>
        <v>0</v>
      </c>
      <c r="G396" s="68">
        <f>G258</f>
        <v>0</v>
      </c>
      <c r="H396" s="67">
        <f>H258</f>
        <v>0</v>
      </c>
      <c r="I396" s="68">
        <f>I258</f>
        <v>0</v>
      </c>
      <c r="J396" s="67">
        <f>J258</f>
        <v>0</v>
      </c>
      <c r="K396" s="68">
        <f>K258</f>
        <v>0</v>
      </c>
      <c r="L396" s="67">
        <f>L258</f>
        <v>0</v>
      </c>
      <c r="M396" s="68">
        <f>M258</f>
        <v>0</v>
      </c>
      <c r="N396" s="67">
        <f>N258</f>
        <v>0</v>
      </c>
      <c r="O396" s="68">
        <f>O258</f>
        <v>0</v>
      </c>
      <c r="P396" s="67">
        <f>P258</f>
        <v>0</v>
      </c>
      <c r="Q396" s="68">
        <f>Q258</f>
        <v>0</v>
      </c>
      <c r="R396" s="67">
        <f>R258</f>
        <v>0</v>
      </c>
      <c r="S396" s="68">
        <f>S258</f>
        <v>0</v>
      </c>
      <c r="T396" s="67">
        <f>T258</f>
        <v>0</v>
      </c>
      <c r="U396" s="68">
        <f>U258</f>
        <v>0</v>
      </c>
      <c r="V396" s="67">
        <f>V258</f>
        <v>0</v>
      </c>
      <c r="W396" s="68">
        <f>W258</f>
        <v>0</v>
      </c>
      <c r="X396" s="67">
        <f>X258</f>
        <v>2</v>
      </c>
      <c r="Y396" s="68">
        <f>Y258</f>
        <v>4</v>
      </c>
      <c r="Z396" s="67">
        <f>Z258</f>
        <v>0</v>
      </c>
      <c r="AA396" s="68">
        <f>AA258</f>
        <v>0</v>
      </c>
      <c r="AB396" s="67">
        <f>AB258</f>
        <v>0</v>
      </c>
      <c r="AC396" s="68">
        <f>AC258</f>
        <v>0</v>
      </c>
      <c r="AD396" s="67">
        <f>AD258</f>
        <v>0</v>
      </c>
      <c r="AE396" s="68">
        <f>AE258</f>
        <v>0</v>
      </c>
      <c r="AF396" s="67">
        <f>AF258</f>
        <v>0</v>
      </c>
      <c r="AG396" s="69">
        <f>AG258</f>
        <v>0</v>
      </c>
      <c r="AH396" s="79">
        <f>AH258</f>
        <v>0</v>
      </c>
      <c r="AI396" s="66">
        <f>AI258</f>
        <v>0</v>
      </c>
      <c r="AJ396" s="67">
        <f>AJ258</f>
        <v>0</v>
      </c>
      <c r="AK396" s="68">
        <f>AK258</f>
        <v>0</v>
      </c>
      <c r="AL396" s="67">
        <f>AL258</f>
        <v>0</v>
      </c>
      <c r="AM396" s="68">
        <f>AM258</f>
        <v>0</v>
      </c>
      <c r="AN396" s="67">
        <f>AN258</f>
        <v>0</v>
      </c>
      <c r="AO396" s="68">
        <f>AO258</f>
        <v>0</v>
      </c>
      <c r="AP396" s="67">
        <f>AP258</f>
        <v>0</v>
      </c>
      <c r="AQ396" s="68">
        <f>AQ258</f>
        <v>0</v>
      </c>
      <c r="AR396" s="67">
        <f>AR258</f>
        <v>0</v>
      </c>
      <c r="AS396" s="68">
        <f>AS258</f>
        <v>0</v>
      </c>
      <c r="AT396" s="67">
        <f>AT258</f>
        <v>0</v>
      </c>
      <c r="AU396" s="68">
        <f>AU258</f>
        <v>0</v>
      </c>
      <c r="AV396" s="67">
        <f>AV258</f>
        <v>0</v>
      </c>
      <c r="AW396" s="68">
        <f>AW258</f>
        <v>0</v>
      </c>
      <c r="AX396" s="67">
        <f>AX258</f>
        <v>0</v>
      </c>
      <c r="AY396" s="68">
        <f>AY258</f>
        <v>0</v>
      </c>
      <c r="AZ396" s="67">
        <f>AZ258</f>
        <v>0</v>
      </c>
      <c r="BA396" s="68">
        <f>BA258</f>
        <v>0</v>
      </c>
      <c r="BB396" s="67">
        <f>BB258</f>
        <v>0</v>
      </c>
      <c r="BC396" s="68">
        <f>BC258</f>
        <v>0</v>
      </c>
      <c r="BD396" s="67">
        <f>BD258</f>
        <v>0</v>
      </c>
      <c r="BE396" s="68">
        <f>BE258</f>
        <v>0</v>
      </c>
      <c r="BF396" s="67">
        <f>BF258</f>
        <v>0</v>
      </c>
      <c r="BG396" s="68">
        <f>BG258</f>
        <v>0</v>
      </c>
      <c r="BH396" s="67">
        <f>BH258</f>
        <v>0</v>
      </c>
      <c r="BI396" s="68">
        <f>BI258</f>
        <v>0</v>
      </c>
      <c r="BJ396" s="67">
        <f>BJ258</f>
        <v>0</v>
      </c>
      <c r="BK396" s="69">
        <f>BK258</f>
        <v>0</v>
      </c>
      <c r="BL396" s="67">
        <f>BL258</f>
        <v>0</v>
      </c>
      <c r="BM396" s="69">
        <f>BM258</f>
        <v>0</v>
      </c>
      <c r="BN396" s="561">
        <f>SUM(D396,F396,H396,J396,L396,N396,P396,R396,T396,V396,X396,Z396,AB396,AD396,AF396,AH396,AJ396,AL396,AN396,AP396,AR396,AT396,AV396,AX396,AZ396,BB396,BD396,BF396,BH396,BJ396,BL396)</f>
        <v>2</v>
      </c>
      <c r="BO396" s="559">
        <f>SUM(E396,G396,I396,K396,M396,O396,Q396,S396,U396,W396,Y396,AA396,AC396,AE396,AG396,AI396,AK396,AM396,AO396,AQ396,AS396,AU396,AW396,AY396,BA396,BC396,BE396,BG396,BI396,BK396,BM396)</f>
        <v>4</v>
      </c>
      <c r="BP396" s="558">
        <f>BN396</f>
        <v>2</v>
      </c>
      <c r="BQ396" s="559">
        <f>BO396</f>
        <v>4</v>
      </c>
    </row>
    <row r="397" spans="2:69" s="6" customFormat="1" ht="50.1" customHeight="1">
      <c r="B397" s="212" t="s">
        <v>69</v>
      </c>
      <c r="C397" s="146"/>
      <c r="D397" s="59">
        <f>D292</f>
        <v>0</v>
      </c>
      <c r="E397" s="51">
        <f>E292</f>
        <v>0</v>
      </c>
      <c r="F397" s="57">
        <f>F292</f>
        <v>0</v>
      </c>
      <c r="G397" s="51">
        <f>G292</f>
        <v>0</v>
      </c>
      <c r="H397" s="57">
        <f>H292</f>
        <v>2</v>
      </c>
      <c r="I397" s="51">
        <f>I292</f>
        <v>4</v>
      </c>
      <c r="J397" s="57">
        <f>J292</f>
        <v>0</v>
      </c>
      <c r="K397" s="51">
        <f>K292</f>
        <v>0</v>
      </c>
      <c r="L397" s="57">
        <f>L292</f>
        <v>0</v>
      </c>
      <c r="M397" s="51">
        <f>M292</f>
        <v>0</v>
      </c>
      <c r="N397" s="57">
        <f>N292</f>
        <v>1</v>
      </c>
      <c r="O397" s="51">
        <f>O292</f>
        <v>1</v>
      </c>
      <c r="P397" s="57">
        <f>P292</f>
        <v>0</v>
      </c>
      <c r="Q397" s="51">
        <f>Q292</f>
        <v>0</v>
      </c>
      <c r="R397" s="57">
        <f>R292</f>
        <v>0</v>
      </c>
      <c r="S397" s="51">
        <f>S292</f>
        <v>0</v>
      </c>
      <c r="T397" s="57">
        <f>T292</f>
        <v>0</v>
      </c>
      <c r="U397" s="51">
        <f>U292</f>
        <v>0</v>
      </c>
      <c r="V397" s="57">
        <f>V292</f>
        <v>0</v>
      </c>
      <c r="W397" s="51">
        <f>W292</f>
        <v>0</v>
      </c>
      <c r="X397" s="57">
        <f>X292</f>
        <v>1</v>
      </c>
      <c r="Y397" s="51">
        <f>Y292</f>
        <v>2</v>
      </c>
      <c r="Z397" s="57">
        <f>Z292</f>
        <v>0</v>
      </c>
      <c r="AA397" s="51">
        <f>AA292</f>
        <v>0</v>
      </c>
      <c r="AB397" s="57">
        <f>AB292</f>
        <v>0</v>
      </c>
      <c r="AC397" s="51">
        <f>AC292</f>
        <v>0</v>
      </c>
      <c r="AD397" s="57">
        <f>AD292</f>
        <v>2</v>
      </c>
      <c r="AE397" s="51">
        <f>AE292</f>
        <v>4</v>
      </c>
      <c r="AF397" s="57">
        <f>AF292</f>
        <v>3</v>
      </c>
      <c r="AG397" s="604">
        <f>AG292</f>
        <v>3</v>
      </c>
      <c r="AH397" s="609">
        <f>AH292</f>
        <v>0</v>
      </c>
      <c r="AI397" s="607">
        <f>AI292</f>
        <v>0</v>
      </c>
      <c r="AJ397" s="57">
        <f>AJ292</f>
        <v>0</v>
      </c>
      <c r="AK397" s="51">
        <f>AK292</f>
        <v>0</v>
      </c>
      <c r="AL397" s="57">
        <f>AL292</f>
        <v>0</v>
      </c>
      <c r="AM397" s="51">
        <f>AM292</f>
        <v>0</v>
      </c>
      <c r="AN397" s="57">
        <f>AN292</f>
        <v>0</v>
      </c>
      <c r="AO397" s="51">
        <f>AO292</f>
        <v>0</v>
      </c>
      <c r="AP397" s="57">
        <f>AP292</f>
        <v>0</v>
      </c>
      <c r="AQ397" s="51">
        <f>AQ292</f>
        <v>0</v>
      </c>
      <c r="AR397" s="57">
        <f>AR292</f>
        <v>0</v>
      </c>
      <c r="AS397" s="51">
        <f>AS292</f>
        <v>0</v>
      </c>
      <c r="AT397" s="57">
        <f>AT292</f>
        <v>0</v>
      </c>
      <c r="AU397" s="51">
        <f>AU292</f>
        <v>0</v>
      </c>
      <c r="AV397" s="57">
        <f>AV292</f>
        <v>0</v>
      </c>
      <c r="AW397" s="51">
        <f>AW292</f>
        <v>0</v>
      </c>
      <c r="AX397" s="57">
        <f>AX292</f>
        <v>0</v>
      </c>
      <c r="AY397" s="51">
        <f>AY292</f>
        <v>0</v>
      </c>
      <c r="AZ397" s="57">
        <f>AZ292</f>
        <v>0</v>
      </c>
      <c r="BA397" s="51">
        <f>BA292</f>
        <v>0</v>
      </c>
      <c r="BB397" s="57">
        <f>BB292</f>
        <v>0</v>
      </c>
      <c r="BC397" s="51">
        <f>BC292</f>
        <v>0</v>
      </c>
      <c r="BD397" s="57">
        <f>BD292</f>
        <v>0</v>
      </c>
      <c r="BE397" s="51">
        <f>BE292</f>
        <v>0</v>
      </c>
      <c r="BF397" s="57">
        <f>BF292</f>
        <v>0</v>
      </c>
      <c r="BG397" s="51">
        <f>BG292</f>
        <v>0</v>
      </c>
      <c r="BH397" s="57">
        <f>BH292</f>
        <v>0</v>
      </c>
      <c r="BI397" s="51">
        <f>BI292</f>
        <v>0</v>
      </c>
      <c r="BJ397" s="57">
        <f>BJ292</f>
        <v>0</v>
      </c>
      <c r="BK397" s="56">
        <f>BK292</f>
        <v>0</v>
      </c>
      <c r="BL397" s="57">
        <f>BL292</f>
        <v>0</v>
      </c>
      <c r="BM397" s="56">
        <f>BM292</f>
        <v>0</v>
      </c>
      <c r="BN397" s="561">
        <f t="shared" ref="BN397:BN403" si="107">SUM(D397,F397,H397,J397,L397,N397,P397,R397,T397,V397,X397,Z397,AB397,AD397,AF397,AH397,AJ397,AL397,AN397,AP397,AR397,AT397,AV397,AX397,AZ397,BB397,BD397,BF397,BH397,BJ397,BL397)</f>
        <v>9</v>
      </c>
      <c r="BO397" s="559">
        <f t="shared" ref="BO397:BO403" si="108">SUM(E397,G397,I397,K397,M397,O397,Q397,S397,U397,W397,Y397,AA397,AC397,AE397,AG397,AI397,AK397,AM397,AO397,AQ397,AS397,AU397,AW397,AY397,BA397,BC397,BE397,BG397,BI397,BK397,BM397)</f>
        <v>14</v>
      </c>
      <c r="BP397" s="558">
        <f t="shared" ref="BP397:BP403" si="109">BN397</f>
        <v>9</v>
      </c>
      <c r="BQ397" s="559">
        <f t="shared" ref="BQ397:BQ403" si="110">BO397</f>
        <v>14</v>
      </c>
    </row>
    <row r="398" spans="2:69" s="6" customFormat="1" ht="50.1" customHeight="1">
      <c r="B398" s="212" t="s">
        <v>147</v>
      </c>
      <c r="C398" s="146"/>
      <c r="D398" s="59">
        <f>D327</f>
        <v>0</v>
      </c>
      <c r="E398" s="51">
        <f>E327</f>
        <v>0</v>
      </c>
      <c r="F398" s="57">
        <f>F327</f>
        <v>0</v>
      </c>
      <c r="G398" s="51">
        <f>G327</f>
        <v>0</v>
      </c>
      <c r="H398" s="57">
        <f>H327</f>
        <v>0</v>
      </c>
      <c r="I398" s="51">
        <f>I327</f>
        <v>0</v>
      </c>
      <c r="J398" s="57">
        <f>J327</f>
        <v>0</v>
      </c>
      <c r="K398" s="51">
        <f>K327</f>
        <v>0</v>
      </c>
      <c r="L398" s="57">
        <f>L327</f>
        <v>0</v>
      </c>
      <c r="M398" s="51">
        <f>M327</f>
        <v>0</v>
      </c>
      <c r="N398" s="57">
        <f>N327</f>
        <v>0</v>
      </c>
      <c r="O398" s="51">
        <f>O327</f>
        <v>0</v>
      </c>
      <c r="P398" s="57">
        <f>P327</f>
        <v>0</v>
      </c>
      <c r="Q398" s="51">
        <f>Q327</f>
        <v>0</v>
      </c>
      <c r="R398" s="57">
        <f>R327</f>
        <v>1</v>
      </c>
      <c r="S398" s="51">
        <f>S327</f>
        <v>2</v>
      </c>
      <c r="T398" s="57">
        <f>T327</f>
        <v>1</v>
      </c>
      <c r="U398" s="51">
        <f>U327</f>
        <v>2</v>
      </c>
      <c r="V398" s="57">
        <f>V327</f>
        <v>2</v>
      </c>
      <c r="W398" s="51">
        <f>W327</f>
        <v>2</v>
      </c>
      <c r="X398" s="57">
        <f>X327</f>
        <v>0</v>
      </c>
      <c r="Y398" s="51">
        <f>Y327</f>
        <v>0</v>
      </c>
      <c r="Z398" s="57">
        <f>Z327</f>
        <v>0</v>
      </c>
      <c r="AA398" s="51">
        <f>AA327</f>
        <v>0</v>
      </c>
      <c r="AB398" s="57">
        <f>AB327</f>
        <v>0</v>
      </c>
      <c r="AC398" s="51">
        <f>AC327</f>
        <v>0</v>
      </c>
      <c r="AD398" s="57">
        <f>AD327</f>
        <v>0</v>
      </c>
      <c r="AE398" s="51">
        <f>AE327</f>
        <v>0</v>
      </c>
      <c r="AF398" s="57">
        <f>AF327</f>
        <v>0</v>
      </c>
      <c r="AG398" s="604">
        <f>AG327</f>
        <v>0</v>
      </c>
      <c r="AH398" s="609">
        <f>AH327</f>
        <v>0</v>
      </c>
      <c r="AI398" s="607">
        <f>AI327</f>
        <v>0</v>
      </c>
      <c r="AJ398" s="57">
        <f>AJ327</f>
        <v>0</v>
      </c>
      <c r="AK398" s="51">
        <f>AK327</f>
        <v>0</v>
      </c>
      <c r="AL398" s="57">
        <f>AL327</f>
        <v>0</v>
      </c>
      <c r="AM398" s="51">
        <f>AM327</f>
        <v>0</v>
      </c>
      <c r="AN398" s="57">
        <f>AN327</f>
        <v>0</v>
      </c>
      <c r="AO398" s="51">
        <f>AO327</f>
        <v>0</v>
      </c>
      <c r="AP398" s="57">
        <f>AP327</f>
        <v>0</v>
      </c>
      <c r="AQ398" s="51">
        <f>AQ327</f>
        <v>0</v>
      </c>
      <c r="AR398" s="57">
        <f>AR327</f>
        <v>0</v>
      </c>
      <c r="AS398" s="51">
        <f>AS327</f>
        <v>0</v>
      </c>
      <c r="AT398" s="57">
        <f>AT327</f>
        <v>0</v>
      </c>
      <c r="AU398" s="51">
        <f>AU327</f>
        <v>0</v>
      </c>
      <c r="AV398" s="57">
        <f>AV327</f>
        <v>0</v>
      </c>
      <c r="AW398" s="51">
        <f>AW327</f>
        <v>0</v>
      </c>
      <c r="AX398" s="57">
        <f>AX327</f>
        <v>0</v>
      </c>
      <c r="AY398" s="51">
        <f>AY327</f>
        <v>0</v>
      </c>
      <c r="AZ398" s="57">
        <f>AZ327</f>
        <v>0</v>
      </c>
      <c r="BA398" s="51">
        <f>BA327</f>
        <v>0</v>
      </c>
      <c r="BB398" s="57">
        <f>BB327</f>
        <v>0</v>
      </c>
      <c r="BC398" s="51">
        <f>BC327</f>
        <v>0</v>
      </c>
      <c r="BD398" s="57">
        <f>BD327</f>
        <v>0</v>
      </c>
      <c r="BE398" s="51">
        <f>BE327</f>
        <v>0</v>
      </c>
      <c r="BF398" s="57">
        <f>BF327</f>
        <v>0</v>
      </c>
      <c r="BG398" s="51">
        <f>BG327</f>
        <v>0</v>
      </c>
      <c r="BH398" s="57">
        <f>BH327</f>
        <v>0</v>
      </c>
      <c r="BI398" s="51">
        <f>BI327</f>
        <v>0</v>
      </c>
      <c r="BJ398" s="57">
        <f>BJ327</f>
        <v>0</v>
      </c>
      <c r="BK398" s="56">
        <f>BK327</f>
        <v>0</v>
      </c>
      <c r="BL398" s="57">
        <f>BL327</f>
        <v>0</v>
      </c>
      <c r="BM398" s="56">
        <f>BM327</f>
        <v>0</v>
      </c>
      <c r="BN398" s="561">
        <f t="shared" si="107"/>
        <v>4</v>
      </c>
      <c r="BO398" s="559">
        <f t="shared" si="108"/>
        <v>6</v>
      </c>
      <c r="BP398" s="558">
        <f t="shared" si="109"/>
        <v>4</v>
      </c>
      <c r="BQ398" s="559">
        <f t="shared" si="110"/>
        <v>6</v>
      </c>
    </row>
    <row r="399" spans="2:69" s="6" customFormat="1" ht="50.1" customHeight="1">
      <c r="B399" s="212" t="s">
        <v>49</v>
      </c>
      <c r="C399" s="146"/>
      <c r="D399" s="60">
        <f>D343</f>
        <v>0</v>
      </c>
      <c r="E399" s="61">
        <f>E343</f>
        <v>0</v>
      </c>
      <c r="F399" s="57">
        <f>F343</f>
        <v>0</v>
      </c>
      <c r="G399" s="51">
        <f>G343</f>
        <v>0</v>
      </c>
      <c r="H399" s="57">
        <f>H343</f>
        <v>0</v>
      </c>
      <c r="I399" s="51">
        <f>I343</f>
        <v>0</v>
      </c>
      <c r="J399" s="57">
        <f>J343</f>
        <v>2</v>
      </c>
      <c r="K399" s="51">
        <f>K343</f>
        <v>3</v>
      </c>
      <c r="L399" s="57">
        <f>L343</f>
        <v>0</v>
      </c>
      <c r="M399" s="51">
        <f>M343</f>
        <v>0</v>
      </c>
      <c r="N399" s="57">
        <f>N343</f>
        <v>0</v>
      </c>
      <c r="O399" s="51">
        <f>O343</f>
        <v>0</v>
      </c>
      <c r="P399" s="57">
        <f>P343</f>
        <v>0</v>
      </c>
      <c r="Q399" s="51">
        <f>Q343</f>
        <v>0</v>
      </c>
      <c r="R399" s="57">
        <f>R343</f>
        <v>0</v>
      </c>
      <c r="S399" s="51">
        <f>S343</f>
        <v>0</v>
      </c>
      <c r="T399" s="57">
        <f>T343</f>
        <v>0</v>
      </c>
      <c r="U399" s="51">
        <f>U343</f>
        <v>0</v>
      </c>
      <c r="V399" s="57">
        <f>V343</f>
        <v>0</v>
      </c>
      <c r="W399" s="51">
        <f>W343</f>
        <v>0</v>
      </c>
      <c r="X399" s="57">
        <f>X343</f>
        <v>1</v>
      </c>
      <c r="Y399" s="51">
        <f>Y343</f>
        <v>2</v>
      </c>
      <c r="Z399" s="57">
        <f>Z343</f>
        <v>0</v>
      </c>
      <c r="AA399" s="51">
        <f>AA343</f>
        <v>0</v>
      </c>
      <c r="AB399" s="57">
        <f>AB343</f>
        <v>0</v>
      </c>
      <c r="AC399" s="51">
        <f>AC343</f>
        <v>0</v>
      </c>
      <c r="AD399" s="57">
        <f>AD343</f>
        <v>0</v>
      </c>
      <c r="AE399" s="51">
        <f>AE343</f>
        <v>0</v>
      </c>
      <c r="AF399" s="57">
        <f>AF343</f>
        <v>0</v>
      </c>
      <c r="AG399" s="604">
        <f>AG343</f>
        <v>0</v>
      </c>
      <c r="AH399" s="610">
        <f>AH343</f>
        <v>0</v>
      </c>
      <c r="AI399" s="611">
        <f>AI343</f>
        <v>0</v>
      </c>
      <c r="AJ399" s="57">
        <f>AJ343</f>
        <v>0</v>
      </c>
      <c r="AK399" s="51">
        <f>AK343</f>
        <v>0</v>
      </c>
      <c r="AL399" s="57">
        <f>AL343</f>
        <v>0</v>
      </c>
      <c r="AM399" s="51">
        <f>AM343</f>
        <v>0</v>
      </c>
      <c r="AN399" s="57">
        <f>AN343</f>
        <v>0</v>
      </c>
      <c r="AO399" s="51">
        <f>AO343</f>
        <v>0</v>
      </c>
      <c r="AP399" s="57">
        <f>AP343</f>
        <v>0</v>
      </c>
      <c r="AQ399" s="51">
        <f>AQ343</f>
        <v>0</v>
      </c>
      <c r="AR399" s="57">
        <f>AR343</f>
        <v>0</v>
      </c>
      <c r="AS399" s="51">
        <f>AS343</f>
        <v>0</v>
      </c>
      <c r="AT399" s="57">
        <f>AT343</f>
        <v>0</v>
      </c>
      <c r="AU399" s="51">
        <f>AU343</f>
        <v>0</v>
      </c>
      <c r="AV399" s="57">
        <f>AV343</f>
        <v>0</v>
      </c>
      <c r="AW399" s="51">
        <f>AW343</f>
        <v>0</v>
      </c>
      <c r="AX399" s="57">
        <f>AX343</f>
        <v>0</v>
      </c>
      <c r="AY399" s="51">
        <f>AY343</f>
        <v>0</v>
      </c>
      <c r="AZ399" s="57">
        <f>AZ343</f>
        <v>0</v>
      </c>
      <c r="BA399" s="51">
        <f>BA343</f>
        <v>0</v>
      </c>
      <c r="BB399" s="57">
        <f>BB343</f>
        <v>0</v>
      </c>
      <c r="BC399" s="51">
        <f>BC343</f>
        <v>0</v>
      </c>
      <c r="BD399" s="57">
        <f>BD343</f>
        <v>0</v>
      </c>
      <c r="BE399" s="51">
        <f>BE343</f>
        <v>0</v>
      </c>
      <c r="BF399" s="57">
        <f>BF343</f>
        <v>0</v>
      </c>
      <c r="BG399" s="51">
        <f>BG343</f>
        <v>0</v>
      </c>
      <c r="BH399" s="57">
        <f>BH343</f>
        <v>0</v>
      </c>
      <c r="BI399" s="51">
        <f>BI343</f>
        <v>0</v>
      </c>
      <c r="BJ399" s="57">
        <f>BJ343</f>
        <v>0</v>
      </c>
      <c r="BK399" s="56">
        <f>BK343</f>
        <v>0</v>
      </c>
      <c r="BL399" s="57">
        <f>BL343</f>
        <v>0</v>
      </c>
      <c r="BM399" s="56">
        <f>BM343</f>
        <v>0</v>
      </c>
      <c r="BN399" s="561">
        <f t="shared" si="107"/>
        <v>3</v>
      </c>
      <c r="BO399" s="559">
        <f t="shared" si="108"/>
        <v>5</v>
      </c>
      <c r="BP399" s="558">
        <f t="shared" si="109"/>
        <v>3</v>
      </c>
      <c r="BQ399" s="559">
        <f t="shared" si="110"/>
        <v>5</v>
      </c>
    </row>
    <row r="400" spans="2:69" s="6" customFormat="1" ht="50.1" customHeight="1">
      <c r="B400" s="212" t="s">
        <v>95</v>
      </c>
      <c r="C400" s="146"/>
      <c r="D400" s="102">
        <f t="shared" ref="D400:BM400" si="111">D365</f>
        <v>0</v>
      </c>
      <c r="E400" s="51">
        <f t="shared" si="111"/>
        <v>0</v>
      </c>
      <c r="F400" s="57">
        <f t="shared" si="111"/>
        <v>0</v>
      </c>
      <c r="G400" s="51">
        <f t="shared" si="111"/>
        <v>0</v>
      </c>
      <c r="H400" s="57">
        <f t="shared" si="111"/>
        <v>0</v>
      </c>
      <c r="I400" s="51">
        <f t="shared" si="111"/>
        <v>0</v>
      </c>
      <c r="J400" s="57">
        <f t="shared" si="111"/>
        <v>0</v>
      </c>
      <c r="K400" s="51">
        <f t="shared" si="111"/>
        <v>0</v>
      </c>
      <c r="L400" s="57">
        <f t="shared" si="111"/>
        <v>0</v>
      </c>
      <c r="M400" s="51">
        <f t="shared" si="111"/>
        <v>0</v>
      </c>
      <c r="N400" s="57">
        <f t="shared" si="111"/>
        <v>0</v>
      </c>
      <c r="O400" s="51">
        <f t="shared" si="111"/>
        <v>0</v>
      </c>
      <c r="P400" s="57">
        <f t="shared" si="111"/>
        <v>0</v>
      </c>
      <c r="Q400" s="51">
        <f t="shared" si="111"/>
        <v>0</v>
      </c>
      <c r="R400" s="57">
        <f t="shared" si="111"/>
        <v>0</v>
      </c>
      <c r="S400" s="51">
        <f t="shared" si="111"/>
        <v>0</v>
      </c>
      <c r="T400" s="57">
        <f t="shared" si="111"/>
        <v>0</v>
      </c>
      <c r="U400" s="51">
        <f t="shared" si="111"/>
        <v>0</v>
      </c>
      <c r="V400" s="57">
        <f t="shared" si="111"/>
        <v>1</v>
      </c>
      <c r="W400" s="51">
        <f t="shared" si="111"/>
        <v>2</v>
      </c>
      <c r="X400" s="57">
        <f t="shared" si="111"/>
        <v>0</v>
      </c>
      <c r="Y400" s="51">
        <f t="shared" si="111"/>
        <v>0</v>
      </c>
      <c r="Z400" s="57">
        <f t="shared" si="111"/>
        <v>0</v>
      </c>
      <c r="AA400" s="51">
        <f t="shared" si="111"/>
        <v>0</v>
      </c>
      <c r="AB400" s="57">
        <f t="shared" si="111"/>
        <v>0</v>
      </c>
      <c r="AC400" s="51">
        <f t="shared" si="111"/>
        <v>0</v>
      </c>
      <c r="AD400" s="57">
        <f t="shared" si="111"/>
        <v>0</v>
      </c>
      <c r="AE400" s="51">
        <f t="shared" si="111"/>
        <v>0</v>
      </c>
      <c r="AF400" s="57">
        <f t="shared" si="111"/>
        <v>0</v>
      </c>
      <c r="AG400" s="604">
        <f t="shared" si="111"/>
        <v>0</v>
      </c>
      <c r="AH400" s="609">
        <f t="shared" si="111"/>
        <v>0</v>
      </c>
      <c r="AI400" s="607">
        <f t="shared" si="111"/>
        <v>0</v>
      </c>
      <c r="AJ400" s="57">
        <f t="shared" si="111"/>
        <v>0</v>
      </c>
      <c r="AK400" s="51">
        <f t="shared" si="111"/>
        <v>0</v>
      </c>
      <c r="AL400" s="57">
        <f t="shared" si="111"/>
        <v>0</v>
      </c>
      <c r="AM400" s="51">
        <f t="shared" si="111"/>
        <v>0</v>
      </c>
      <c r="AN400" s="57">
        <f t="shared" si="111"/>
        <v>0</v>
      </c>
      <c r="AO400" s="51">
        <f t="shared" si="111"/>
        <v>0</v>
      </c>
      <c r="AP400" s="57">
        <f t="shared" si="111"/>
        <v>0</v>
      </c>
      <c r="AQ400" s="51">
        <f t="shared" si="111"/>
        <v>0</v>
      </c>
      <c r="AR400" s="57">
        <f t="shared" si="111"/>
        <v>0</v>
      </c>
      <c r="AS400" s="51">
        <f t="shared" si="111"/>
        <v>0</v>
      </c>
      <c r="AT400" s="57">
        <f t="shared" si="111"/>
        <v>0</v>
      </c>
      <c r="AU400" s="51">
        <f t="shared" si="111"/>
        <v>0</v>
      </c>
      <c r="AV400" s="57">
        <f t="shared" si="111"/>
        <v>0</v>
      </c>
      <c r="AW400" s="51">
        <f t="shared" si="111"/>
        <v>0</v>
      </c>
      <c r="AX400" s="57">
        <f t="shared" si="111"/>
        <v>0</v>
      </c>
      <c r="AY400" s="51">
        <f t="shared" si="111"/>
        <v>0</v>
      </c>
      <c r="AZ400" s="57">
        <f t="shared" si="111"/>
        <v>0</v>
      </c>
      <c r="BA400" s="51">
        <f t="shared" si="111"/>
        <v>0</v>
      </c>
      <c r="BB400" s="57">
        <f t="shared" si="111"/>
        <v>0</v>
      </c>
      <c r="BC400" s="51">
        <f t="shared" si="111"/>
        <v>0</v>
      </c>
      <c r="BD400" s="57">
        <f t="shared" si="111"/>
        <v>0</v>
      </c>
      <c r="BE400" s="51">
        <f t="shared" si="111"/>
        <v>0</v>
      </c>
      <c r="BF400" s="57">
        <f t="shared" si="111"/>
        <v>0</v>
      </c>
      <c r="BG400" s="51">
        <f t="shared" si="111"/>
        <v>0</v>
      </c>
      <c r="BH400" s="57">
        <f t="shared" si="111"/>
        <v>0</v>
      </c>
      <c r="BI400" s="51">
        <f t="shared" si="111"/>
        <v>0</v>
      </c>
      <c r="BJ400" s="57">
        <f t="shared" si="111"/>
        <v>0</v>
      </c>
      <c r="BK400" s="56">
        <f t="shared" si="111"/>
        <v>0</v>
      </c>
      <c r="BL400" s="57">
        <f t="shared" si="111"/>
        <v>0</v>
      </c>
      <c r="BM400" s="56">
        <f t="shared" si="111"/>
        <v>0</v>
      </c>
      <c r="BN400" s="561">
        <f t="shared" si="107"/>
        <v>1</v>
      </c>
      <c r="BO400" s="559">
        <f t="shared" si="108"/>
        <v>2</v>
      </c>
      <c r="BP400" s="558">
        <f t="shared" si="109"/>
        <v>1</v>
      </c>
      <c r="BQ400" s="559">
        <f t="shared" si="110"/>
        <v>2</v>
      </c>
    </row>
    <row r="401" spans="2:69" s="6" customFormat="1" ht="50.1" customHeight="1">
      <c r="B401" s="212" t="s">
        <v>59</v>
      </c>
      <c r="C401" s="146"/>
      <c r="D401" s="59">
        <f t="shared" ref="D401:BM401" si="112">D376</f>
        <v>0</v>
      </c>
      <c r="E401" s="51">
        <f t="shared" si="112"/>
        <v>0</v>
      </c>
      <c r="F401" s="57">
        <f t="shared" si="112"/>
        <v>0</v>
      </c>
      <c r="G401" s="51">
        <f t="shared" si="112"/>
        <v>0</v>
      </c>
      <c r="H401" s="57">
        <f t="shared" si="112"/>
        <v>0</v>
      </c>
      <c r="I401" s="51">
        <f t="shared" si="112"/>
        <v>0</v>
      </c>
      <c r="J401" s="57">
        <f t="shared" si="112"/>
        <v>0</v>
      </c>
      <c r="K401" s="51">
        <f t="shared" si="112"/>
        <v>0</v>
      </c>
      <c r="L401" s="57">
        <f t="shared" si="112"/>
        <v>0</v>
      </c>
      <c r="M401" s="51">
        <f t="shared" si="112"/>
        <v>0</v>
      </c>
      <c r="N401" s="57">
        <f t="shared" si="112"/>
        <v>0</v>
      </c>
      <c r="O401" s="51">
        <f t="shared" si="112"/>
        <v>0</v>
      </c>
      <c r="P401" s="57">
        <f t="shared" si="112"/>
        <v>0</v>
      </c>
      <c r="Q401" s="51">
        <f t="shared" si="112"/>
        <v>0</v>
      </c>
      <c r="R401" s="57">
        <f t="shared" si="112"/>
        <v>0</v>
      </c>
      <c r="S401" s="51">
        <f t="shared" si="112"/>
        <v>0</v>
      </c>
      <c r="T401" s="57">
        <f t="shared" si="112"/>
        <v>0</v>
      </c>
      <c r="U401" s="51">
        <f t="shared" si="112"/>
        <v>0</v>
      </c>
      <c r="V401" s="57">
        <f t="shared" si="112"/>
        <v>0</v>
      </c>
      <c r="W401" s="51">
        <f t="shared" si="112"/>
        <v>0</v>
      </c>
      <c r="X401" s="57">
        <f t="shared" si="112"/>
        <v>0</v>
      </c>
      <c r="Y401" s="51">
        <f t="shared" si="112"/>
        <v>0</v>
      </c>
      <c r="Z401" s="57">
        <f t="shared" si="112"/>
        <v>0</v>
      </c>
      <c r="AA401" s="51">
        <f t="shared" si="112"/>
        <v>0</v>
      </c>
      <c r="AB401" s="57">
        <f t="shared" si="112"/>
        <v>0</v>
      </c>
      <c r="AC401" s="51">
        <f t="shared" si="112"/>
        <v>0</v>
      </c>
      <c r="AD401" s="57">
        <f t="shared" si="112"/>
        <v>0</v>
      </c>
      <c r="AE401" s="51">
        <f t="shared" si="112"/>
        <v>0</v>
      </c>
      <c r="AF401" s="57">
        <f t="shared" si="112"/>
        <v>0</v>
      </c>
      <c r="AG401" s="604">
        <f t="shared" si="112"/>
        <v>0</v>
      </c>
      <c r="AH401" s="609">
        <f t="shared" si="112"/>
        <v>0</v>
      </c>
      <c r="AI401" s="607">
        <f t="shared" si="112"/>
        <v>0</v>
      </c>
      <c r="AJ401" s="57">
        <f t="shared" si="112"/>
        <v>0</v>
      </c>
      <c r="AK401" s="51">
        <f t="shared" si="112"/>
        <v>0</v>
      </c>
      <c r="AL401" s="57">
        <f t="shared" si="112"/>
        <v>0</v>
      </c>
      <c r="AM401" s="51">
        <f t="shared" si="112"/>
        <v>0</v>
      </c>
      <c r="AN401" s="57">
        <f t="shared" si="112"/>
        <v>0</v>
      </c>
      <c r="AO401" s="51">
        <f t="shared" si="112"/>
        <v>0</v>
      </c>
      <c r="AP401" s="57">
        <f t="shared" si="112"/>
        <v>0</v>
      </c>
      <c r="AQ401" s="51">
        <f t="shared" si="112"/>
        <v>0</v>
      </c>
      <c r="AR401" s="57">
        <f t="shared" si="112"/>
        <v>0</v>
      </c>
      <c r="AS401" s="51">
        <f t="shared" si="112"/>
        <v>0</v>
      </c>
      <c r="AT401" s="57">
        <f t="shared" si="112"/>
        <v>0</v>
      </c>
      <c r="AU401" s="51">
        <f t="shared" si="112"/>
        <v>0</v>
      </c>
      <c r="AV401" s="57">
        <f t="shared" si="112"/>
        <v>0</v>
      </c>
      <c r="AW401" s="51">
        <f t="shared" si="112"/>
        <v>0</v>
      </c>
      <c r="AX401" s="57">
        <f t="shared" si="112"/>
        <v>0</v>
      </c>
      <c r="AY401" s="51">
        <f t="shared" si="112"/>
        <v>0</v>
      </c>
      <c r="AZ401" s="57">
        <f t="shared" si="112"/>
        <v>0</v>
      </c>
      <c r="BA401" s="51">
        <f t="shared" si="112"/>
        <v>0</v>
      </c>
      <c r="BB401" s="57">
        <f t="shared" si="112"/>
        <v>0</v>
      </c>
      <c r="BC401" s="51">
        <f t="shared" si="112"/>
        <v>0</v>
      </c>
      <c r="BD401" s="57">
        <f t="shared" si="112"/>
        <v>0</v>
      </c>
      <c r="BE401" s="51">
        <f t="shared" si="112"/>
        <v>0</v>
      </c>
      <c r="BF401" s="57">
        <f t="shared" si="112"/>
        <v>0</v>
      </c>
      <c r="BG401" s="51">
        <f t="shared" si="112"/>
        <v>0</v>
      </c>
      <c r="BH401" s="57">
        <f t="shared" si="112"/>
        <v>0</v>
      </c>
      <c r="BI401" s="51">
        <f t="shared" si="112"/>
        <v>0</v>
      </c>
      <c r="BJ401" s="57">
        <f t="shared" si="112"/>
        <v>0</v>
      </c>
      <c r="BK401" s="56">
        <f t="shared" si="112"/>
        <v>0</v>
      </c>
      <c r="BL401" s="57">
        <f t="shared" si="112"/>
        <v>0</v>
      </c>
      <c r="BM401" s="56">
        <f t="shared" si="112"/>
        <v>0</v>
      </c>
      <c r="BN401" s="561">
        <f t="shared" si="107"/>
        <v>0</v>
      </c>
      <c r="BO401" s="559">
        <f t="shared" si="108"/>
        <v>0</v>
      </c>
      <c r="BP401" s="558">
        <f t="shared" si="109"/>
        <v>0</v>
      </c>
      <c r="BQ401" s="559">
        <f t="shared" si="110"/>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04"/>
      <c r="AH402" s="609"/>
      <c r="AI402" s="607"/>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561">
        <f t="shared" si="107"/>
        <v>0</v>
      </c>
      <c r="BO402" s="559">
        <f t="shared" si="108"/>
        <v>0</v>
      </c>
      <c r="BP402" s="558">
        <f t="shared" si="109"/>
        <v>0</v>
      </c>
      <c r="BQ402" s="559">
        <f t="shared" si="110"/>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05"/>
      <c r="AH403" s="610"/>
      <c r="AI403" s="61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561">
        <f t="shared" si="107"/>
        <v>0</v>
      </c>
      <c r="BO403" s="559">
        <f t="shared" si="108"/>
        <v>0</v>
      </c>
      <c r="BP403" s="558">
        <f t="shared" si="109"/>
        <v>0</v>
      </c>
      <c r="BQ403" s="559">
        <f t="shared" si="110"/>
        <v>0</v>
      </c>
    </row>
    <row r="404" spans="2:69" s="6" customFormat="1" ht="50.1" customHeight="1" thickBot="1">
      <c r="B404" s="214" t="s">
        <v>203</v>
      </c>
      <c r="C404" s="149"/>
      <c r="D404" s="29">
        <f>SUM(D396:D403)</f>
        <v>0</v>
      </c>
      <c r="E404" s="31">
        <f t="shared" ref="E404:AG404" si="113">SUM(E396:E403)</f>
        <v>0</v>
      </c>
      <c r="F404" s="29">
        <f t="shared" si="113"/>
        <v>0</v>
      </c>
      <c r="G404" s="31">
        <f t="shared" si="113"/>
        <v>0</v>
      </c>
      <c r="H404" s="29">
        <f>SUM(H396:H403)</f>
        <v>2</v>
      </c>
      <c r="I404" s="31">
        <f t="shared" si="113"/>
        <v>4</v>
      </c>
      <c r="J404" s="29">
        <f t="shared" si="113"/>
        <v>2</v>
      </c>
      <c r="K404" s="31">
        <f t="shared" si="113"/>
        <v>3</v>
      </c>
      <c r="L404" s="29">
        <f t="shared" si="113"/>
        <v>0</v>
      </c>
      <c r="M404" s="31">
        <f t="shared" si="113"/>
        <v>0</v>
      </c>
      <c r="N404" s="29">
        <f t="shared" si="113"/>
        <v>1</v>
      </c>
      <c r="O404" s="31">
        <f t="shared" si="113"/>
        <v>1</v>
      </c>
      <c r="P404" s="29">
        <f t="shared" si="113"/>
        <v>0</v>
      </c>
      <c r="Q404" s="31">
        <f t="shared" si="113"/>
        <v>0</v>
      </c>
      <c r="R404" s="29">
        <f t="shared" si="113"/>
        <v>1</v>
      </c>
      <c r="S404" s="31">
        <f t="shared" si="113"/>
        <v>2</v>
      </c>
      <c r="T404" s="29">
        <f t="shared" si="113"/>
        <v>1</v>
      </c>
      <c r="U404" s="31">
        <f t="shared" si="113"/>
        <v>2</v>
      </c>
      <c r="V404" s="29">
        <f t="shared" si="113"/>
        <v>3</v>
      </c>
      <c r="W404" s="31">
        <f t="shared" si="113"/>
        <v>4</v>
      </c>
      <c r="X404" s="29">
        <f t="shared" si="113"/>
        <v>4</v>
      </c>
      <c r="Y404" s="31">
        <f t="shared" si="113"/>
        <v>8</v>
      </c>
      <c r="Z404" s="29">
        <f t="shared" si="113"/>
        <v>0</v>
      </c>
      <c r="AA404" s="31">
        <f t="shared" si="113"/>
        <v>0</v>
      </c>
      <c r="AB404" s="29">
        <f t="shared" si="113"/>
        <v>0</v>
      </c>
      <c r="AC404" s="31">
        <f t="shared" si="113"/>
        <v>0</v>
      </c>
      <c r="AD404" s="29">
        <f t="shared" si="113"/>
        <v>2</v>
      </c>
      <c r="AE404" s="31">
        <f t="shared" si="113"/>
        <v>4</v>
      </c>
      <c r="AF404" s="29">
        <f t="shared" si="113"/>
        <v>3</v>
      </c>
      <c r="AG404" s="41">
        <f t="shared" si="113"/>
        <v>3</v>
      </c>
      <c r="AH404" s="39">
        <f t="shared" ref="AH404:BM404" si="114">SUM(AH396:AH403)</f>
        <v>0</v>
      </c>
      <c r="AI404" s="31">
        <f t="shared" si="114"/>
        <v>0</v>
      </c>
      <c r="AJ404" s="29">
        <f t="shared" si="114"/>
        <v>0</v>
      </c>
      <c r="AK404" s="31">
        <f t="shared" si="114"/>
        <v>0</v>
      </c>
      <c r="AL404" s="29">
        <f>SUM(AL396:AL403)</f>
        <v>0</v>
      </c>
      <c r="AM404" s="31">
        <f>SUM(AM396:AM403)</f>
        <v>0</v>
      </c>
      <c r="AN404" s="29">
        <f>SUM(AN396:AN403)</f>
        <v>0</v>
      </c>
      <c r="AO404" s="31">
        <f t="shared" si="114"/>
        <v>0</v>
      </c>
      <c r="AP404" s="29">
        <f t="shared" si="114"/>
        <v>0</v>
      </c>
      <c r="AQ404" s="31">
        <f t="shared" si="114"/>
        <v>0</v>
      </c>
      <c r="AR404" s="29">
        <f t="shared" si="114"/>
        <v>0</v>
      </c>
      <c r="AS404" s="31">
        <f t="shared" si="114"/>
        <v>0</v>
      </c>
      <c r="AT404" s="29">
        <f t="shared" si="114"/>
        <v>0</v>
      </c>
      <c r="AU404" s="31">
        <f t="shared" si="114"/>
        <v>0</v>
      </c>
      <c r="AV404" s="29">
        <f t="shared" si="114"/>
        <v>0</v>
      </c>
      <c r="AW404" s="31">
        <f t="shared" si="114"/>
        <v>0</v>
      </c>
      <c r="AX404" s="29">
        <f t="shared" si="114"/>
        <v>0</v>
      </c>
      <c r="AY404" s="31">
        <f t="shared" si="114"/>
        <v>0</v>
      </c>
      <c r="AZ404" s="29">
        <f t="shared" si="114"/>
        <v>0</v>
      </c>
      <c r="BA404" s="31">
        <f t="shared" si="114"/>
        <v>0</v>
      </c>
      <c r="BB404" s="29">
        <f t="shared" si="114"/>
        <v>0</v>
      </c>
      <c r="BC404" s="31">
        <f t="shared" si="114"/>
        <v>0</v>
      </c>
      <c r="BD404" s="29">
        <f t="shared" si="114"/>
        <v>0</v>
      </c>
      <c r="BE404" s="31">
        <f t="shared" si="114"/>
        <v>0</v>
      </c>
      <c r="BF404" s="29">
        <f t="shared" si="114"/>
        <v>0</v>
      </c>
      <c r="BG404" s="31">
        <f t="shared" si="114"/>
        <v>0</v>
      </c>
      <c r="BH404" s="29">
        <f t="shared" si="114"/>
        <v>0</v>
      </c>
      <c r="BI404" s="31">
        <f t="shared" si="114"/>
        <v>0</v>
      </c>
      <c r="BJ404" s="29">
        <f t="shared" si="114"/>
        <v>0</v>
      </c>
      <c r="BK404" s="41">
        <f t="shared" si="114"/>
        <v>0</v>
      </c>
      <c r="BL404" s="39">
        <f t="shared" si="114"/>
        <v>0</v>
      </c>
      <c r="BM404" s="31">
        <f t="shared" si="114"/>
        <v>0</v>
      </c>
      <c r="BN404" s="32">
        <f>SUM(BN396:BN403)</f>
        <v>19</v>
      </c>
      <c r="BO404" s="29">
        <f>SUM(BO396:BO403)</f>
        <v>31</v>
      </c>
      <c r="BP404" s="262">
        <f>SUM(BP396:BP403)</f>
        <v>19</v>
      </c>
      <c r="BQ404" s="266">
        <f>SUM(BQ396:BQ403)</f>
        <v>31</v>
      </c>
    </row>
    <row r="405" spans="2:69" s="6" customFormat="1" ht="50.1" customHeight="1" thickBot="1">
      <c r="B405" s="215" t="s">
        <v>204</v>
      </c>
      <c r="C405" s="153"/>
      <c r="D405" s="58">
        <f>SUM(D395+D404)</f>
        <v>0</v>
      </c>
      <c r="E405" s="66">
        <f>SUM(E395+E404)</f>
        <v>0</v>
      </c>
      <c r="F405" s="29">
        <f t="shared" ref="F405:AG405" si="115">SUM(F395+F404)</f>
        <v>0</v>
      </c>
      <c r="G405" s="31">
        <f t="shared" si="115"/>
        <v>0</v>
      </c>
      <c r="H405" s="29">
        <f>SUM(H395+H404)</f>
        <v>17</v>
      </c>
      <c r="I405" s="31">
        <f t="shared" si="115"/>
        <v>28</v>
      </c>
      <c r="J405" s="29">
        <f t="shared" si="115"/>
        <v>2</v>
      </c>
      <c r="K405" s="31">
        <f t="shared" si="115"/>
        <v>3</v>
      </c>
      <c r="L405" s="29">
        <f t="shared" si="115"/>
        <v>0</v>
      </c>
      <c r="M405" s="31">
        <f t="shared" si="115"/>
        <v>0</v>
      </c>
      <c r="N405" s="29">
        <f t="shared" si="115"/>
        <v>4</v>
      </c>
      <c r="O405" s="31">
        <f t="shared" si="115"/>
        <v>7</v>
      </c>
      <c r="P405" s="29">
        <f t="shared" si="115"/>
        <v>1</v>
      </c>
      <c r="Q405" s="31">
        <f t="shared" si="115"/>
        <v>1</v>
      </c>
      <c r="R405" s="29">
        <f t="shared" si="115"/>
        <v>8</v>
      </c>
      <c r="S405" s="31">
        <f t="shared" si="115"/>
        <v>13</v>
      </c>
      <c r="T405" s="29">
        <f t="shared" si="115"/>
        <v>7</v>
      </c>
      <c r="U405" s="31">
        <f t="shared" si="115"/>
        <v>10</v>
      </c>
      <c r="V405" s="29">
        <f t="shared" si="115"/>
        <v>7</v>
      </c>
      <c r="W405" s="31">
        <f t="shared" si="115"/>
        <v>9</v>
      </c>
      <c r="X405" s="29">
        <f t="shared" si="115"/>
        <v>6</v>
      </c>
      <c r="Y405" s="31">
        <f t="shared" si="115"/>
        <v>10</v>
      </c>
      <c r="Z405" s="29">
        <f t="shared" si="115"/>
        <v>0</v>
      </c>
      <c r="AA405" s="31">
        <f t="shared" si="115"/>
        <v>0</v>
      </c>
      <c r="AB405" s="29">
        <f t="shared" si="115"/>
        <v>0</v>
      </c>
      <c r="AC405" s="31">
        <f t="shared" si="115"/>
        <v>0</v>
      </c>
      <c r="AD405" s="29">
        <f t="shared" si="115"/>
        <v>19</v>
      </c>
      <c r="AE405" s="31">
        <f t="shared" si="115"/>
        <v>23</v>
      </c>
      <c r="AF405" s="29">
        <f>SUM(AF395+AF404)</f>
        <v>7</v>
      </c>
      <c r="AG405" s="41">
        <f t="shared" si="115"/>
        <v>8</v>
      </c>
      <c r="AH405" s="79">
        <f>SUM(AH395+AH404)</f>
        <v>0</v>
      </c>
      <c r="AI405" s="66">
        <f>SUM(AI395+AI404)</f>
        <v>0</v>
      </c>
      <c r="AJ405" s="58">
        <f t="shared" ref="AJ405:BM405" si="116">SUM(AJ395+AJ404)</f>
        <v>0</v>
      </c>
      <c r="AK405" s="66">
        <f t="shared" si="116"/>
        <v>0</v>
      </c>
      <c r="AL405" s="58">
        <f t="shared" si="116"/>
        <v>0</v>
      </c>
      <c r="AM405" s="66">
        <f t="shared" si="116"/>
        <v>0</v>
      </c>
      <c r="AN405" s="58">
        <f t="shared" si="116"/>
        <v>0</v>
      </c>
      <c r="AO405" s="66">
        <f t="shared" si="116"/>
        <v>0</v>
      </c>
      <c r="AP405" s="58">
        <f t="shared" si="116"/>
        <v>0</v>
      </c>
      <c r="AQ405" s="66">
        <f t="shared" si="116"/>
        <v>0</v>
      </c>
      <c r="AR405" s="58">
        <f t="shared" si="116"/>
        <v>0</v>
      </c>
      <c r="AS405" s="66">
        <f t="shared" si="116"/>
        <v>0</v>
      </c>
      <c r="AT405" s="58">
        <f t="shared" si="116"/>
        <v>0</v>
      </c>
      <c r="AU405" s="66">
        <f t="shared" si="116"/>
        <v>0</v>
      </c>
      <c r="AV405" s="58">
        <f t="shared" si="116"/>
        <v>0</v>
      </c>
      <c r="AW405" s="66">
        <f t="shared" si="116"/>
        <v>0</v>
      </c>
      <c r="AX405" s="58">
        <f t="shared" si="116"/>
        <v>0</v>
      </c>
      <c r="AY405" s="66">
        <f t="shared" si="116"/>
        <v>0</v>
      </c>
      <c r="AZ405" s="58">
        <f t="shared" si="116"/>
        <v>0</v>
      </c>
      <c r="BA405" s="66">
        <f t="shared" si="116"/>
        <v>0</v>
      </c>
      <c r="BB405" s="58">
        <f t="shared" si="116"/>
        <v>0</v>
      </c>
      <c r="BC405" s="66">
        <f t="shared" si="116"/>
        <v>0</v>
      </c>
      <c r="BD405" s="58">
        <f t="shared" si="116"/>
        <v>0</v>
      </c>
      <c r="BE405" s="66">
        <f t="shared" si="116"/>
        <v>0</v>
      </c>
      <c r="BF405" s="58">
        <f t="shared" si="116"/>
        <v>0</v>
      </c>
      <c r="BG405" s="66">
        <f t="shared" si="116"/>
        <v>0</v>
      </c>
      <c r="BH405" s="58">
        <f t="shared" si="116"/>
        <v>0</v>
      </c>
      <c r="BI405" s="66">
        <f t="shared" si="116"/>
        <v>0</v>
      </c>
      <c r="BJ405" s="58">
        <f t="shared" si="116"/>
        <v>0</v>
      </c>
      <c r="BK405" s="66">
        <f t="shared" si="116"/>
        <v>0</v>
      </c>
      <c r="BL405" s="58">
        <f t="shared" si="116"/>
        <v>0</v>
      </c>
      <c r="BM405" s="66">
        <f t="shared" si="116"/>
        <v>0</v>
      </c>
      <c r="BN405" s="70">
        <f>BN404+BN395</f>
        <v>78</v>
      </c>
      <c r="BO405" s="56">
        <f>BO404+BO395</f>
        <v>112</v>
      </c>
      <c r="BP405" s="261">
        <f>BP404+BP395</f>
        <v>78</v>
      </c>
      <c r="BQ405" s="253">
        <f>BQ404+BQ395</f>
        <v>112</v>
      </c>
    </row>
    <row r="406" spans="2:69" s="6" customFormat="1" ht="50.1" customHeight="1" thickBot="1">
      <c r="B406" s="214" t="s">
        <v>182</v>
      </c>
      <c r="C406" s="149"/>
      <c r="D406" s="29">
        <f>D405</f>
        <v>0</v>
      </c>
      <c r="E406" s="31">
        <f>E405</f>
        <v>0</v>
      </c>
      <c r="F406" s="29">
        <f t="shared" ref="F406:M406" si="117">D406+F405</f>
        <v>0</v>
      </c>
      <c r="G406" s="31">
        <f t="shared" si="117"/>
        <v>0</v>
      </c>
      <c r="H406" s="29">
        <f t="shared" si="117"/>
        <v>17</v>
      </c>
      <c r="I406" s="31">
        <f t="shared" si="117"/>
        <v>28</v>
      </c>
      <c r="J406" s="29">
        <f t="shared" si="117"/>
        <v>19</v>
      </c>
      <c r="K406" s="31">
        <f t="shared" si="117"/>
        <v>31</v>
      </c>
      <c r="L406" s="29">
        <f t="shared" si="117"/>
        <v>19</v>
      </c>
      <c r="M406" s="31">
        <f t="shared" si="117"/>
        <v>31</v>
      </c>
      <c r="N406" s="29">
        <f t="shared" ref="N406:T406" si="118">L406+N405</f>
        <v>23</v>
      </c>
      <c r="O406" s="31">
        <f t="shared" si="118"/>
        <v>38</v>
      </c>
      <c r="P406" s="29">
        <f t="shared" si="118"/>
        <v>24</v>
      </c>
      <c r="Q406" s="31">
        <f t="shared" si="118"/>
        <v>39</v>
      </c>
      <c r="R406" s="29">
        <f t="shared" si="118"/>
        <v>32</v>
      </c>
      <c r="S406" s="31">
        <f t="shared" si="118"/>
        <v>52</v>
      </c>
      <c r="T406" s="29">
        <f t="shared" si="118"/>
        <v>39</v>
      </c>
      <c r="U406" s="31">
        <f t="shared" ref="U406:BM406" si="119">S406+U405</f>
        <v>62</v>
      </c>
      <c r="V406" s="29">
        <f t="shared" si="119"/>
        <v>46</v>
      </c>
      <c r="W406" s="31">
        <f t="shared" si="119"/>
        <v>71</v>
      </c>
      <c r="X406" s="29">
        <f t="shared" si="119"/>
        <v>52</v>
      </c>
      <c r="Y406" s="31">
        <f t="shared" si="119"/>
        <v>81</v>
      </c>
      <c r="Z406" s="29">
        <f t="shared" si="119"/>
        <v>52</v>
      </c>
      <c r="AA406" s="31">
        <f t="shared" si="119"/>
        <v>81</v>
      </c>
      <c r="AB406" s="29">
        <f t="shared" si="119"/>
        <v>52</v>
      </c>
      <c r="AC406" s="31">
        <f t="shared" si="119"/>
        <v>81</v>
      </c>
      <c r="AD406" s="29">
        <f t="shared" si="119"/>
        <v>71</v>
      </c>
      <c r="AE406" s="31">
        <f t="shared" si="119"/>
        <v>104</v>
      </c>
      <c r="AF406" s="29">
        <f t="shared" si="119"/>
        <v>78</v>
      </c>
      <c r="AG406" s="41">
        <f t="shared" si="119"/>
        <v>112</v>
      </c>
      <c r="AH406" s="39">
        <f t="shared" si="119"/>
        <v>78</v>
      </c>
      <c r="AI406" s="31">
        <f t="shared" si="119"/>
        <v>112</v>
      </c>
      <c r="AJ406" s="29">
        <f t="shared" si="119"/>
        <v>78</v>
      </c>
      <c r="AK406" s="31">
        <f t="shared" si="119"/>
        <v>112</v>
      </c>
      <c r="AL406" s="29">
        <f t="shared" si="119"/>
        <v>78</v>
      </c>
      <c r="AM406" s="31">
        <f t="shared" si="119"/>
        <v>112</v>
      </c>
      <c r="AN406" s="29">
        <f t="shared" si="119"/>
        <v>78</v>
      </c>
      <c r="AO406" s="31">
        <f t="shared" si="119"/>
        <v>112</v>
      </c>
      <c r="AP406" s="29">
        <f t="shared" si="119"/>
        <v>78</v>
      </c>
      <c r="AQ406" s="31">
        <f t="shared" si="119"/>
        <v>112</v>
      </c>
      <c r="AR406" s="29">
        <f t="shared" si="119"/>
        <v>78</v>
      </c>
      <c r="AS406" s="31">
        <f t="shared" si="119"/>
        <v>112</v>
      </c>
      <c r="AT406" s="29">
        <f t="shared" si="119"/>
        <v>78</v>
      </c>
      <c r="AU406" s="31">
        <f t="shared" si="119"/>
        <v>112</v>
      </c>
      <c r="AV406" s="29">
        <f t="shared" si="119"/>
        <v>78</v>
      </c>
      <c r="AW406" s="31">
        <f t="shared" si="119"/>
        <v>112</v>
      </c>
      <c r="AX406" s="29">
        <f t="shared" si="119"/>
        <v>78</v>
      </c>
      <c r="AY406" s="31">
        <f t="shared" si="119"/>
        <v>112</v>
      </c>
      <c r="AZ406" s="29">
        <f t="shared" si="119"/>
        <v>78</v>
      </c>
      <c r="BA406" s="31">
        <f t="shared" si="119"/>
        <v>112</v>
      </c>
      <c r="BB406" s="29">
        <f t="shared" si="119"/>
        <v>78</v>
      </c>
      <c r="BC406" s="31">
        <f t="shared" si="119"/>
        <v>112</v>
      </c>
      <c r="BD406" s="29">
        <f t="shared" si="119"/>
        <v>78</v>
      </c>
      <c r="BE406" s="31">
        <f t="shared" si="119"/>
        <v>112</v>
      </c>
      <c r="BF406" s="29">
        <f t="shared" si="119"/>
        <v>78</v>
      </c>
      <c r="BG406" s="31">
        <f t="shared" si="119"/>
        <v>112</v>
      </c>
      <c r="BH406" s="29">
        <f t="shared" si="119"/>
        <v>78</v>
      </c>
      <c r="BI406" s="31">
        <f t="shared" si="119"/>
        <v>112</v>
      </c>
      <c r="BJ406" s="29">
        <f t="shared" si="119"/>
        <v>78</v>
      </c>
      <c r="BK406" s="31">
        <f t="shared" si="119"/>
        <v>112</v>
      </c>
      <c r="BL406" s="29">
        <f t="shared" si="119"/>
        <v>78</v>
      </c>
      <c r="BM406" s="31">
        <f t="shared" si="119"/>
        <v>112</v>
      </c>
      <c r="BN406" s="32">
        <f>BN395+BN404</f>
        <v>78</v>
      </c>
      <c r="BO406" s="41">
        <f>BO395+BO404</f>
        <v>112</v>
      </c>
      <c r="BP406" s="705">
        <f>BP395+BP404</f>
        <v>78</v>
      </c>
      <c r="BQ406" s="706">
        <f>BQ395+BQ404</f>
        <v>112</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c r="AK407"/>
      <c r="AL407" s="4"/>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c r="AK408"/>
      <c r="AL408" s="4"/>
    </row>
    <row r="409" spans="2:69" ht="33" customHeight="1">
      <c r="B409" s="123" t="s">
        <v>212</v>
      </c>
      <c r="D409" s="71">
        <v>111</v>
      </c>
      <c r="E409" s="7">
        <v>162</v>
      </c>
      <c r="F409" s="7">
        <v>96</v>
      </c>
      <c r="G409" s="7">
        <v>170</v>
      </c>
      <c r="H409" s="7">
        <v>134</v>
      </c>
      <c r="I409" s="7">
        <v>191</v>
      </c>
      <c r="J409" s="7">
        <v>134</v>
      </c>
      <c r="K409" s="7">
        <v>191</v>
      </c>
      <c r="L409" s="7">
        <v>158</v>
      </c>
      <c r="M409" s="7">
        <v>228</v>
      </c>
      <c r="N409" s="7">
        <v>192</v>
      </c>
      <c r="O409" s="7">
        <v>282</v>
      </c>
      <c r="P409" s="7">
        <v>220</v>
      </c>
      <c r="Q409" s="7">
        <v>322</v>
      </c>
      <c r="R409" s="7">
        <v>227</v>
      </c>
      <c r="S409" s="7">
        <v>331</v>
      </c>
      <c r="T409" s="7">
        <v>239</v>
      </c>
      <c r="U409" s="7">
        <v>351</v>
      </c>
      <c r="V409" s="7">
        <v>247</v>
      </c>
      <c r="W409" s="7">
        <v>360</v>
      </c>
      <c r="X409" s="7">
        <v>247</v>
      </c>
      <c r="Y409" s="7">
        <v>360</v>
      </c>
      <c r="Z409" s="7">
        <v>269</v>
      </c>
      <c r="AA409" s="7">
        <v>393</v>
      </c>
      <c r="AB409" s="7">
        <v>286</v>
      </c>
      <c r="AC409" s="7">
        <v>417</v>
      </c>
      <c r="AD409" s="7">
        <v>290</v>
      </c>
      <c r="AE409" s="7">
        <v>424</v>
      </c>
      <c r="AF409" s="7">
        <v>307</v>
      </c>
      <c r="AG409" s="7">
        <v>448</v>
      </c>
      <c r="AH409" s="7">
        <v>307</v>
      </c>
      <c r="AI409" s="7">
        <v>448</v>
      </c>
      <c r="AJ409" s="4"/>
      <c r="AK409" s="4"/>
    </row>
    <row r="410" spans="2:69">
      <c r="AJ410" s="4"/>
      <c r="AK410" s="4"/>
    </row>
    <row r="411" spans="2:69">
      <c r="AJ411" s="4"/>
      <c r="AK411" s="4"/>
    </row>
    <row r="412" spans="2:69" ht="24.95" customHeight="1">
      <c r="B412" s="759"/>
      <c r="C412" s="746"/>
      <c r="D412" s="753"/>
      <c r="E412" s="753"/>
      <c r="F412" s="753"/>
      <c r="G412" s="753"/>
      <c r="H412" s="753"/>
      <c r="I412" s="753"/>
      <c r="J412" s="753"/>
      <c r="K412" s="753"/>
      <c r="L412" s="753"/>
      <c r="M412" s="753"/>
      <c r="N412" s="753"/>
      <c r="O412" s="753"/>
      <c r="P412" s="753"/>
      <c r="Q412" s="753"/>
      <c r="R412" s="753"/>
      <c r="S412" s="753"/>
      <c r="T412" s="753"/>
      <c r="U412" s="753"/>
      <c r="V412" s="753"/>
      <c r="W412" s="753"/>
      <c r="X412" s="753"/>
      <c r="Y412" s="753"/>
      <c r="Z412" s="753"/>
      <c r="AA412" s="753"/>
      <c r="AB412" s="753"/>
      <c r="AC412" s="753"/>
      <c r="AD412" s="753"/>
      <c r="AE412" s="753"/>
      <c r="AF412" s="753"/>
      <c r="AG412" s="753"/>
      <c r="AH412" s="753"/>
      <c r="AI412" s="753"/>
    </row>
    <row r="413" spans="2:69" ht="24.95" customHeight="1">
      <c r="B413" s="759"/>
      <c r="C413" s="746"/>
      <c r="D413" s="753"/>
      <c r="E413" s="753"/>
      <c r="F413" s="754"/>
      <c r="G413" s="754"/>
      <c r="H413" s="753"/>
      <c r="I413" s="753"/>
      <c r="J413" s="754"/>
      <c r="K413" s="754"/>
      <c r="L413" s="753"/>
      <c r="M413" s="753"/>
      <c r="N413" s="754"/>
      <c r="O413" s="754"/>
      <c r="P413" s="753"/>
      <c r="Q413" s="753"/>
      <c r="R413" s="754"/>
      <c r="S413" s="754"/>
      <c r="T413" s="753"/>
      <c r="U413" s="753"/>
      <c r="V413" s="754"/>
      <c r="W413" s="754"/>
      <c r="X413" s="753"/>
      <c r="Y413" s="753"/>
      <c r="Z413" s="754"/>
      <c r="AA413" s="754"/>
      <c r="AB413" s="753"/>
      <c r="AC413" s="753"/>
      <c r="AD413" s="754"/>
      <c r="AE413" s="754"/>
      <c r="AF413" s="753"/>
      <c r="AG413" s="753"/>
      <c r="AH413" s="753"/>
      <c r="AI413" s="753"/>
      <c r="AJ413" s="6"/>
      <c r="AK413" s="6"/>
    </row>
    <row r="414" spans="2:69" ht="24.95" customHeight="1">
      <c r="B414" s="759"/>
      <c r="C414" s="746"/>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c r="AK415"/>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c r="AK416"/>
    </row>
    <row r="417" spans="2:38" s="4" customFormat="1" ht="30"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c r="AK417"/>
    </row>
    <row r="418" spans="2:38">
      <c r="AJ418" s="6"/>
      <c r="AK418" s="6"/>
    </row>
    <row r="419" spans="2:38" s="6" customFormat="1" ht="45" customHeight="1">
      <c r="B419" s="501"/>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L419" s="4"/>
    </row>
    <row r="420" spans="2:38">
      <c r="AJ420" s="6"/>
      <c r="AK420" s="6"/>
    </row>
    <row r="421" spans="2:38" ht="24.95" customHeight="1">
      <c r="B421" s="759"/>
      <c r="C421" s="746"/>
      <c r="D421" s="753"/>
      <c r="E421" s="753"/>
      <c r="F421" s="753"/>
      <c r="G421" s="753"/>
      <c r="H421" s="753"/>
      <c r="I421" s="753"/>
      <c r="J421" s="753"/>
      <c r="K421" s="753"/>
      <c r="L421" s="753"/>
      <c r="M421" s="753"/>
      <c r="N421" s="753"/>
      <c r="O421" s="753"/>
      <c r="P421" s="753"/>
      <c r="Q421" s="753"/>
      <c r="R421" s="753"/>
      <c r="S421" s="753"/>
      <c r="T421" s="753"/>
      <c r="U421" s="753"/>
      <c r="V421" s="753"/>
      <c r="W421" s="753"/>
      <c r="X421" s="753"/>
      <c r="Y421" s="753"/>
      <c r="Z421" s="753"/>
      <c r="AA421" s="753"/>
      <c r="AB421" s="753"/>
      <c r="AC421" s="753"/>
      <c r="AD421" s="753"/>
      <c r="AE421" s="753"/>
      <c r="AF421" s="753"/>
      <c r="AG421" s="753"/>
      <c r="AH421" s="753"/>
      <c r="AI421" s="753"/>
      <c r="AJ421" s="6"/>
      <c r="AK421" s="6"/>
    </row>
    <row r="422" spans="2:38" ht="24.95" customHeight="1">
      <c r="B422" s="759"/>
      <c r="C422" s="746"/>
      <c r="D422" s="753"/>
      <c r="E422" s="753"/>
      <c r="F422" s="754"/>
      <c r="G422" s="754"/>
      <c r="H422" s="753"/>
      <c r="I422" s="753"/>
      <c r="J422" s="754"/>
      <c r="K422" s="754"/>
      <c r="L422" s="753"/>
      <c r="M422" s="753"/>
      <c r="N422" s="754"/>
      <c r="O422" s="754"/>
      <c r="P422" s="753"/>
      <c r="Q422" s="753"/>
      <c r="R422" s="754"/>
      <c r="S422" s="754"/>
      <c r="T422" s="753"/>
      <c r="U422" s="753"/>
      <c r="V422" s="754"/>
      <c r="W422" s="754"/>
      <c r="X422" s="753"/>
      <c r="Y422" s="753"/>
      <c r="Z422" s="754"/>
      <c r="AA422" s="754"/>
      <c r="AB422" s="753"/>
      <c r="AC422" s="753"/>
      <c r="AD422" s="754"/>
      <c r="AE422" s="754"/>
      <c r="AF422" s="753"/>
      <c r="AG422" s="753"/>
      <c r="AH422" s="753"/>
      <c r="AI422" s="753"/>
    </row>
    <row r="423" spans="2:38" ht="24.95" customHeight="1">
      <c r="B423" s="759"/>
      <c r="C423" s="746"/>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6"/>
      <c r="AK423" s="6"/>
    </row>
    <row r="424" spans="2:38"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c r="AK424"/>
      <c r="AL424" s="4"/>
    </row>
    <row r="425" spans="2:38"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c r="AK425"/>
      <c r="AL425" s="4"/>
    </row>
    <row r="426" spans="2:38"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c r="AK426"/>
      <c r="AL426" s="4"/>
    </row>
    <row r="427" spans="2:38"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c r="AK427"/>
      <c r="AL427" s="4"/>
    </row>
    <row r="429" spans="2:38" s="6" customFormat="1" ht="45" customHeight="1">
      <c r="B429" s="501"/>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c r="AK429"/>
      <c r="AL429" s="4"/>
    </row>
    <row r="432" spans="2:38">
      <c r="AJ432" s="6"/>
      <c r="AK432" s="6"/>
    </row>
    <row r="433" spans="2:38">
      <c r="AJ433" s="4"/>
      <c r="AK433" s="4"/>
    </row>
    <row r="434" spans="2:38">
      <c r="AJ434" s="4"/>
      <c r="AK434" s="4"/>
    </row>
    <row r="435" spans="2:38" ht="24.75" customHeight="1">
      <c r="B435" s="755"/>
      <c r="C435" s="746"/>
      <c r="D435" s="753"/>
      <c r="E435" s="753"/>
      <c r="F435" s="753"/>
      <c r="G435" s="753"/>
      <c r="H435" s="753"/>
      <c r="I435" s="753"/>
      <c r="J435" s="753"/>
      <c r="K435" s="753"/>
      <c r="L435" s="753"/>
      <c r="M435" s="753"/>
      <c r="N435" s="753"/>
      <c r="O435" s="753"/>
      <c r="P435" s="753"/>
      <c r="Q435" s="753"/>
      <c r="R435" s="753"/>
      <c r="S435" s="753"/>
      <c r="T435" s="753"/>
      <c r="U435" s="753"/>
      <c r="V435" s="753"/>
      <c r="W435" s="753"/>
      <c r="X435" s="753"/>
      <c r="Y435" s="753"/>
      <c r="Z435" s="753"/>
      <c r="AA435" s="753"/>
      <c r="AB435" s="753"/>
      <c r="AC435" s="753"/>
      <c r="AD435" s="753"/>
      <c r="AE435" s="753"/>
      <c r="AF435" s="753"/>
      <c r="AG435" s="753"/>
      <c r="AH435" s="753"/>
      <c r="AI435" s="753"/>
    </row>
    <row r="436" spans="2:38" ht="24.95" customHeight="1">
      <c r="B436" s="755"/>
      <c r="C436" s="746"/>
      <c r="D436" s="754"/>
      <c r="E436" s="754"/>
      <c r="F436" s="754"/>
      <c r="G436" s="754"/>
      <c r="H436" s="754"/>
      <c r="I436" s="754"/>
      <c r="J436" s="754"/>
      <c r="K436" s="754"/>
      <c r="L436" s="754"/>
      <c r="M436" s="754"/>
      <c r="N436" s="754"/>
      <c r="O436" s="754"/>
      <c r="P436" s="754"/>
      <c r="Q436" s="754"/>
      <c r="R436" s="754"/>
      <c r="S436" s="754"/>
      <c r="T436" s="754"/>
      <c r="U436" s="754"/>
      <c r="V436" s="754"/>
      <c r="W436" s="754"/>
      <c r="X436" s="754"/>
      <c r="Y436" s="754"/>
      <c r="Z436" s="754"/>
      <c r="AA436" s="754"/>
      <c r="AB436" s="754"/>
      <c r="AC436" s="754"/>
      <c r="AD436" s="754"/>
      <c r="AE436" s="754"/>
      <c r="AF436" s="754"/>
      <c r="AG436" s="754"/>
      <c r="AH436" s="753"/>
      <c r="AI436" s="753"/>
    </row>
    <row r="437" spans="2:38" ht="24.95" customHeight="1">
      <c r="B437" s="755"/>
      <c r="C437" s="746"/>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row>
    <row r="438" spans="2:38"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c r="AK438"/>
      <c r="AL438" s="4"/>
    </row>
    <row r="439" spans="2:38"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c r="AK439"/>
    </row>
    <row r="440" spans="2:38"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c r="AK440"/>
    </row>
  </sheetData>
  <sortState xmlns:xlrd2="http://schemas.microsoft.com/office/spreadsheetml/2017/richdata2" ref="B166:AK189">
    <sortCondition ref="B189"/>
  </sortState>
  <mergeCells count="1357">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D368:BE368"/>
    <mergeCell ref="BF368:BG368"/>
    <mergeCell ref="BH368:BI368"/>
    <mergeCell ref="BJ368:BK368"/>
    <mergeCell ref="BL368:BM368"/>
    <mergeCell ref="BN368:BO369"/>
    <mergeCell ref="AL368:AM368"/>
    <mergeCell ref="AN368:AO368"/>
    <mergeCell ref="AP368:AQ368"/>
    <mergeCell ref="AR368:AS368"/>
    <mergeCell ref="AT368:AU368"/>
    <mergeCell ref="AV368:AW368"/>
    <mergeCell ref="AX368:AY368"/>
    <mergeCell ref="AZ368:BA368"/>
    <mergeCell ref="BB368:BC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AZ346:BA346"/>
    <mergeCell ref="BB346:BC346"/>
    <mergeCell ref="BD346:BE346"/>
    <mergeCell ref="BF346:BG346"/>
    <mergeCell ref="BH346:BI346"/>
    <mergeCell ref="BJ346:BK346"/>
    <mergeCell ref="BL346:BM346"/>
    <mergeCell ref="AH346:AI346"/>
    <mergeCell ref="AJ346:AK346"/>
    <mergeCell ref="AL346:AM346"/>
    <mergeCell ref="AN346:AO346"/>
    <mergeCell ref="AP346:AQ346"/>
    <mergeCell ref="AR346:AS346"/>
    <mergeCell ref="AT346:AU346"/>
    <mergeCell ref="AV346:AW346"/>
    <mergeCell ref="AX346:AY346"/>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BD330:BE330"/>
    <mergeCell ref="BF330:BG330"/>
    <mergeCell ref="BH330:BI330"/>
    <mergeCell ref="BJ330:BK330"/>
    <mergeCell ref="BL330:BM330"/>
    <mergeCell ref="BN330:BO331"/>
    <mergeCell ref="AL330:AM330"/>
    <mergeCell ref="AN330:AO330"/>
    <mergeCell ref="AP330:AQ330"/>
    <mergeCell ref="AR330:AS330"/>
    <mergeCell ref="AT330:AU330"/>
    <mergeCell ref="AV330:AW330"/>
    <mergeCell ref="AX330:AY330"/>
    <mergeCell ref="AZ330:BA330"/>
    <mergeCell ref="BB330:BC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BL295:BM295"/>
    <mergeCell ref="AH295:AI295"/>
    <mergeCell ref="AJ295:AK295"/>
    <mergeCell ref="AL295:AM295"/>
    <mergeCell ref="AN295:AO295"/>
    <mergeCell ref="AP295:AQ295"/>
    <mergeCell ref="AR295:AS295"/>
    <mergeCell ref="AT295:AU295"/>
    <mergeCell ref="AV295:AW295"/>
    <mergeCell ref="AX295:AY295"/>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BD261:BE261"/>
    <mergeCell ref="BF261:BG261"/>
    <mergeCell ref="BH261:BI261"/>
    <mergeCell ref="BJ261:BK261"/>
    <mergeCell ref="BL261:BM261"/>
    <mergeCell ref="BN261:BO262"/>
    <mergeCell ref="AL261:AM261"/>
    <mergeCell ref="AN261:AO261"/>
    <mergeCell ref="AP261:AQ261"/>
    <mergeCell ref="AR261:AS261"/>
    <mergeCell ref="AT261:AU261"/>
    <mergeCell ref="AV261:AW261"/>
    <mergeCell ref="AX261:AY261"/>
    <mergeCell ref="AZ261:BA261"/>
    <mergeCell ref="BB261:BC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AZ249:BA249"/>
    <mergeCell ref="BB249:BC249"/>
    <mergeCell ref="BD249:BE249"/>
    <mergeCell ref="BF249:BG249"/>
    <mergeCell ref="BH249:BI249"/>
    <mergeCell ref="BJ249:BK249"/>
    <mergeCell ref="BL249:BM249"/>
    <mergeCell ref="AH249:AI249"/>
    <mergeCell ref="AJ249:AK249"/>
    <mergeCell ref="AL249:AM249"/>
    <mergeCell ref="AN249:AO249"/>
    <mergeCell ref="AP249:AQ249"/>
    <mergeCell ref="AR249:AS249"/>
    <mergeCell ref="AT249:AU249"/>
    <mergeCell ref="AV249:AW249"/>
    <mergeCell ref="AX249:AY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AZ224:BA224"/>
    <mergeCell ref="BB224:BC224"/>
    <mergeCell ref="BD224:BE224"/>
    <mergeCell ref="BF224:BG224"/>
    <mergeCell ref="BH224:BI224"/>
    <mergeCell ref="BJ224:BK224"/>
    <mergeCell ref="BL224:BM224"/>
    <mergeCell ref="AH224:AI224"/>
    <mergeCell ref="AJ224:AK224"/>
    <mergeCell ref="AL224:AM224"/>
    <mergeCell ref="AN224:AO224"/>
    <mergeCell ref="AP224:AQ224"/>
    <mergeCell ref="AR224:AS224"/>
    <mergeCell ref="AT224:AU224"/>
    <mergeCell ref="AV224:AW224"/>
    <mergeCell ref="AX224:AY224"/>
    <mergeCell ref="BN199:BO200"/>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D199:BE199"/>
    <mergeCell ref="BF199:BG199"/>
    <mergeCell ref="BH199:BI199"/>
    <mergeCell ref="BJ199:BK199"/>
    <mergeCell ref="BL199:BM199"/>
    <mergeCell ref="AH199:AI199"/>
    <mergeCell ref="AJ199:AK199"/>
    <mergeCell ref="AL199:AM199"/>
    <mergeCell ref="AN199:AO199"/>
    <mergeCell ref="AP199:AQ199"/>
    <mergeCell ref="AR199:AS199"/>
    <mergeCell ref="AT199:AU199"/>
    <mergeCell ref="AV199:AW199"/>
    <mergeCell ref="AX199:AY199"/>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AZ163:BA163"/>
    <mergeCell ref="BB163:BC163"/>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AV163:AW163"/>
    <mergeCell ref="AX163:AY163"/>
    <mergeCell ref="BN145:BO146"/>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AR145:AS145"/>
    <mergeCell ref="AT145:AU145"/>
    <mergeCell ref="AV145:AW145"/>
    <mergeCell ref="AX145:AY145"/>
    <mergeCell ref="BN129:BO130"/>
    <mergeCell ref="AX129:AY129"/>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AZ129:BA129"/>
    <mergeCell ref="BB129:BC129"/>
    <mergeCell ref="BD129:BE129"/>
    <mergeCell ref="BF129:BG129"/>
    <mergeCell ref="BH129:BI129"/>
    <mergeCell ref="BJ129:BK129"/>
    <mergeCell ref="BL129:BM129"/>
    <mergeCell ref="AH129:AI129"/>
    <mergeCell ref="AJ129:AK129"/>
    <mergeCell ref="AL129:AM129"/>
    <mergeCell ref="AN129:AO129"/>
    <mergeCell ref="AP129:AQ129"/>
    <mergeCell ref="AR129:AS129"/>
    <mergeCell ref="AT129:AU129"/>
    <mergeCell ref="AV129:AW129"/>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BD111:BE111"/>
    <mergeCell ref="BF111:BG111"/>
    <mergeCell ref="BH111:BI111"/>
    <mergeCell ref="BJ111:BK111"/>
    <mergeCell ref="BL111:BM111"/>
    <mergeCell ref="BN111:BO112"/>
    <mergeCell ref="AL111:AM111"/>
    <mergeCell ref="AN111:AO111"/>
    <mergeCell ref="AP111:AQ111"/>
    <mergeCell ref="AR111:AS111"/>
    <mergeCell ref="AT111:AU111"/>
    <mergeCell ref="AV111:AW111"/>
    <mergeCell ref="AX111:AY111"/>
    <mergeCell ref="AZ111:BA111"/>
    <mergeCell ref="BB111:BC11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BL100:BM100"/>
    <mergeCell ref="AH100:AI100"/>
    <mergeCell ref="AJ100:AK100"/>
    <mergeCell ref="AL100:AM100"/>
    <mergeCell ref="AN100:AO100"/>
    <mergeCell ref="AP100:AQ100"/>
    <mergeCell ref="AR100:AS100"/>
    <mergeCell ref="AT100:AU100"/>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BH91:BI91"/>
    <mergeCell ref="BJ91:BK91"/>
    <mergeCell ref="BL91:BM91"/>
    <mergeCell ref="AH91:AI91"/>
    <mergeCell ref="AJ91:AK91"/>
    <mergeCell ref="AL91:AM91"/>
    <mergeCell ref="AN91:AO91"/>
    <mergeCell ref="AP91:AQ91"/>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D77:BE77"/>
    <mergeCell ref="BF77:BG77"/>
    <mergeCell ref="BH77:BI77"/>
    <mergeCell ref="BJ77:BK77"/>
    <mergeCell ref="BL77:BM77"/>
    <mergeCell ref="AH77:AI77"/>
    <mergeCell ref="AJ77:AK77"/>
    <mergeCell ref="AL77:AM77"/>
    <mergeCell ref="BN68:BO69"/>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AZ68:BA68"/>
    <mergeCell ref="BB68:BC68"/>
    <mergeCell ref="BD68:BE68"/>
    <mergeCell ref="BF68:BG68"/>
    <mergeCell ref="BH68:BI68"/>
    <mergeCell ref="BJ68:BK68"/>
    <mergeCell ref="BL68:BM68"/>
    <mergeCell ref="AH68:AI68"/>
    <mergeCell ref="BN57:BO58"/>
    <mergeCell ref="BP57:BQ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H58:BI58"/>
    <mergeCell ref="BJ58:BK58"/>
    <mergeCell ref="BL58:BM58"/>
    <mergeCell ref="AZ57:BA57"/>
    <mergeCell ref="BB57:BC57"/>
    <mergeCell ref="BD57:BE57"/>
    <mergeCell ref="BF57:BG57"/>
    <mergeCell ref="BH57:BI57"/>
    <mergeCell ref="BJ57:BK57"/>
    <mergeCell ref="BL57:BM57"/>
    <mergeCell ref="AH57:AI57"/>
    <mergeCell ref="BN1:BO2"/>
    <mergeCell ref="BP1:BQ2"/>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AH27:AI27"/>
    <mergeCell ref="AJ27:AK27"/>
    <mergeCell ref="AL27:AM27"/>
    <mergeCell ref="AN27:AO27"/>
    <mergeCell ref="AP27:AQ27"/>
    <mergeCell ref="AR27:AS27"/>
    <mergeCell ref="AT27:AU27"/>
    <mergeCell ref="AV27:AW27"/>
    <mergeCell ref="AX27:AY27"/>
    <mergeCell ref="BB27:BC27"/>
    <mergeCell ref="BD27:BE27"/>
    <mergeCell ref="AH421:AI422"/>
    <mergeCell ref="AH412:AI413"/>
    <mergeCell ref="AH111:AI111"/>
    <mergeCell ref="AJ57:AK57"/>
    <mergeCell ref="AL57:AM57"/>
    <mergeCell ref="AN57:AO57"/>
    <mergeCell ref="AP57:AQ57"/>
    <mergeCell ref="AR57:AS57"/>
    <mergeCell ref="AT57:AU57"/>
    <mergeCell ref="AV57:AW57"/>
    <mergeCell ref="AX57:AY57"/>
    <mergeCell ref="AJ68:AK68"/>
    <mergeCell ref="AL68:AM68"/>
    <mergeCell ref="AN68:AO68"/>
    <mergeCell ref="AP68:AQ68"/>
    <mergeCell ref="AR68:AS68"/>
    <mergeCell ref="AT68:AU68"/>
    <mergeCell ref="AV68:AW68"/>
    <mergeCell ref="AH368:AI368"/>
    <mergeCell ref="AH330:AI330"/>
    <mergeCell ref="AH261:AI261"/>
    <mergeCell ref="AJ111:AK111"/>
    <mergeCell ref="AJ261:AK261"/>
    <mergeCell ref="AX68:AY68"/>
    <mergeCell ref="AN77:AO77"/>
    <mergeCell ref="AP77:AQ77"/>
    <mergeCell ref="AR77:AS77"/>
    <mergeCell ref="AT77:AU77"/>
    <mergeCell ref="AV77:AW77"/>
    <mergeCell ref="AX77:AY77"/>
    <mergeCell ref="AR91:AS91"/>
    <mergeCell ref="AT91:AU91"/>
    <mergeCell ref="BF27:BG27"/>
    <mergeCell ref="BH27:BI27"/>
    <mergeCell ref="BJ27:BK27"/>
    <mergeCell ref="BL27:BM27"/>
    <mergeCell ref="AJ330:AK330"/>
    <mergeCell ref="D422:E422"/>
    <mergeCell ref="F422:G422"/>
    <mergeCell ref="H422:I422"/>
    <mergeCell ref="J422:K422"/>
    <mergeCell ref="L422:M422"/>
    <mergeCell ref="N422:O422"/>
    <mergeCell ref="X421:Y421"/>
    <mergeCell ref="Z421:AA421"/>
    <mergeCell ref="AB421:AC421"/>
    <mergeCell ref="AD421:AE421"/>
    <mergeCell ref="L421:M421"/>
    <mergeCell ref="N421:O421"/>
    <mergeCell ref="P421:Q421"/>
    <mergeCell ref="R421:S421"/>
    <mergeCell ref="T421:U421"/>
    <mergeCell ref="V421:W421"/>
    <mergeCell ref="AB422:AC422"/>
    <mergeCell ref="AD422:AE422"/>
    <mergeCell ref="AF422:AG422"/>
    <mergeCell ref="P422:Q422"/>
    <mergeCell ref="R422:S422"/>
    <mergeCell ref="T422:U422"/>
    <mergeCell ref="V422:W422"/>
    <mergeCell ref="AF380:AG380"/>
    <mergeCell ref="P380:Q380"/>
    <mergeCell ref="R380:S380"/>
    <mergeCell ref="T380:U380"/>
    <mergeCell ref="B421:B423"/>
    <mergeCell ref="C421:C423"/>
    <mergeCell ref="D421:E421"/>
    <mergeCell ref="F421:G421"/>
    <mergeCell ref="H421:I421"/>
    <mergeCell ref="J421:K421"/>
    <mergeCell ref="AB413:AC413"/>
    <mergeCell ref="AD413:AE413"/>
    <mergeCell ref="AF413:AG413"/>
    <mergeCell ref="P413:Q413"/>
    <mergeCell ref="R413:S413"/>
    <mergeCell ref="T413:U413"/>
    <mergeCell ref="V413:W413"/>
    <mergeCell ref="X413:Y413"/>
    <mergeCell ref="Z413:AA413"/>
    <mergeCell ref="B412:B414"/>
    <mergeCell ref="C412:C414"/>
    <mergeCell ref="X422:Y422"/>
    <mergeCell ref="Z422:AA422"/>
    <mergeCell ref="AF421:AG421"/>
    <mergeCell ref="AF412:AG412"/>
    <mergeCell ref="D413:E413"/>
    <mergeCell ref="F413:G413"/>
    <mergeCell ref="H413:I413"/>
    <mergeCell ref="J413:K413"/>
    <mergeCell ref="L413:M413"/>
    <mergeCell ref="N413:O413"/>
    <mergeCell ref="X412:Y412"/>
    <mergeCell ref="Z412:AA412"/>
    <mergeCell ref="AB412:AC412"/>
    <mergeCell ref="AD412:AE412"/>
    <mergeCell ref="L412:M412"/>
    <mergeCell ref="N412:O412"/>
    <mergeCell ref="P412:Q412"/>
    <mergeCell ref="R412:S412"/>
    <mergeCell ref="T412:U412"/>
    <mergeCell ref="V412:W412"/>
    <mergeCell ref="D412:E412"/>
    <mergeCell ref="F412:G412"/>
    <mergeCell ref="H412:I412"/>
    <mergeCell ref="J412:K412"/>
    <mergeCell ref="D380:E380"/>
    <mergeCell ref="F380:G380"/>
    <mergeCell ref="H380:I380"/>
    <mergeCell ref="J380:K380"/>
    <mergeCell ref="L380:M380"/>
    <mergeCell ref="N380:O380"/>
    <mergeCell ref="AF369:AG369"/>
    <mergeCell ref="P369:Q369"/>
    <mergeCell ref="R369:S369"/>
    <mergeCell ref="T369:U369"/>
    <mergeCell ref="V369:W369"/>
    <mergeCell ref="X369:Y369"/>
    <mergeCell ref="Z369:AA369"/>
    <mergeCell ref="AD369:AE369"/>
    <mergeCell ref="T379:U379"/>
    <mergeCell ref="V379:W379"/>
    <mergeCell ref="AB380:AC380"/>
    <mergeCell ref="AD380:AE380"/>
    <mergeCell ref="B368:B370"/>
    <mergeCell ref="C368:C370"/>
    <mergeCell ref="X380:Y380"/>
    <mergeCell ref="Z380:AA380"/>
    <mergeCell ref="AF368:AG368"/>
    <mergeCell ref="AF379:AG379"/>
    <mergeCell ref="D369:E369"/>
    <mergeCell ref="F369:G369"/>
    <mergeCell ref="H369:I369"/>
    <mergeCell ref="J369:K369"/>
    <mergeCell ref="L369:M369"/>
    <mergeCell ref="N369:O369"/>
    <mergeCell ref="X368:Y368"/>
    <mergeCell ref="Z368:AA368"/>
    <mergeCell ref="AB368:AC368"/>
    <mergeCell ref="AD368:AE368"/>
    <mergeCell ref="L368:M368"/>
    <mergeCell ref="X379:Y379"/>
    <mergeCell ref="Z379:AA379"/>
    <mergeCell ref="AB379:AC379"/>
    <mergeCell ref="AD379:AE379"/>
    <mergeCell ref="L379:M379"/>
    <mergeCell ref="N379:O379"/>
    <mergeCell ref="P379:Q379"/>
    <mergeCell ref="R379:S379"/>
    <mergeCell ref="B379:B381"/>
    <mergeCell ref="C379:C381"/>
    <mergeCell ref="D379:E379"/>
    <mergeCell ref="F379:G379"/>
    <mergeCell ref="H379:I379"/>
    <mergeCell ref="J379:K379"/>
    <mergeCell ref="AB369:AC369"/>
    <mergeCell ref="N368:O368"/>
    <mergeCell ref="P368:Q368"/>
    <mergeCell ref="R368:S368"/>
    <mergeCell ref="T368:U368"/>
    <mergeCell ref="V368:W368"/>
    <mergeCell ref="D368:E368"/>
    <mergeCell ref="F368:G368"/>
    <mergeCell ref="H368:I368"/>
    <mergeCell ref="J368:K368"/>
    <mergeCell ref="V380:W380"/>
    <mergeCell ref="D347:E347"/>
    <mergeCell ref="F347:G347"/>
    <mergeCell ref="H347:I347"/>
    <mergeCell ref="J347:K347"/>
    <mergeCell ref="L347:M347"/>
    <mergeCell ref="N347:O347"/>
    <mergeCell ref="V347:W347"/>
    <mergeCell ref="B346:B348"/>
    <mergeCell ref="C346:C348"/>
    <mergeCell ref="D346:E346"/>
    <mergeCell ref="F346:G346"/>
    <mergeCell ref="H346:I346"/>
    <mergeCell ref="J346:K346"/>
    <mergeCell ref="L346:M346"/>
    <mergeCell ref="N346:O346"/>
    <mergeCell ref="P346:Q346"/>
    <mergeCell ref="R346:S346"/>
    <mergeCell ref="T346:U346"/>
    <mergeCell ref="V346:W346"/>
    <mergeCell ref="AB331:AC331"/>
    <mergeCell ref="AD331:AE331"/>
    <mergeCell ref="AF331:AG331"/>
    <mergeCell ref="P331:Q331"/>
    <mergeCell ref="R331:S331"/>
    <mergeCell ref="T331:U331"/>
    <mergeCell ref="V331:W331"/>
    <mergeCell ref="X331:Y331"/>
    <mergeCell ref="Z331:AA331"/>
    <mergeCell ref="B330:B332"/>
    <mergeCell ref="C330:C332"/>
    <mergeCell ref="X347:Y347"/>
    <mergeCell ref="Z347:AA347"/>
    <mergeCell ref="AF346:AG346"/>
    <mergeCell ref="AF347:AG347"/>
    <mergeCell ref="P347:Q347"/>
    <mergeCell ref="R347:S347"/>
    <mergeCell ref="T347:U347"/>
    <mergeCell ref="D331:E331"/>
    <mergeCell ref="F331:G331"/>
    <mergeCell ref="H331:I331"/>
    <mergeCell ref="J331:K331"/>
    <mergeCell ref="L331:M331"/>
    <mergeCell ref="N331:O331"/>
    <mergeCell ref="X330:Y330"/>
    <mergeCell ref="X346:Y346"/>
    <mergeCell ref="Z346:AA346"/>
    <mergeCell ref="AB346:AC346"/>
    <mergeCell ref="AD346:AE346"/>
    <mergeCell ref="AB347:AC347"/>
    <mergeCell ref="AD347:AE347"/>
    <mergeCell ref="D330:E330"/>
    <mergeCell ref="L330:M330"/>
    <mergeCell ref="N330:O330"/>
    <mergeCell ref="P330:Q330"/>
    <mergeCell ref="R330:S330"/>
    <mergeCell ref="T330:U330"/>
    <mergeCell ref="V330:W330"/>
    <mergeCell ref="AF330:AG330"/>
    <mergeCell ref="V296:W296"/>
    <mergeCell ref="D296:E296"/>
    <mergeCell ref="F296:G296"/>
    <mergeCell ref="H296:I296"/>
    <mergeCell ref="J296:K296"/>
    <mergeCell ref="L296:M296"/>
    <mergeCell ref="N296:O296"/>
    <mergeCell ref="D295:E295"/>
    <mergeCell ref="F295:G295"/>
    <mergeCell ref="H295:I295"/>
    <mergeCell ref="Z330:AA330"/>
    <mergeCell ref="AB330:AC330"/>
    <mergeCell ref="AD330:AE330"/>
    <mergeCell ref="X296:Y296"/>
    <mergeCell ref="Z296:AA296"/>
    <mergeCell ref="J295:K295"/>
    <mergeCell ref="AB295:AC295"/>
    <mergeCell ref="AD295:AE295"/>
    <mergeCell ref="F330:G330"/>
    <mergeCell ref="H330:I330"/>
    <mergeCell ref="J330:K330"/>
    <mergeCell ref="AF250:AG250"/>
    <mergeCell ref="P250:Q250"/>
    <mergeCell ref="F224:G224"/>
    <mergeCell ref="H224:I224"/>
    <mergeCell ref="R250:S250"/>
    <mergeCell ref="AF225:AG225"/>
    <mergeCell ref="P225:Q225"/>
    <mergeCell ref="R225:S225"/>
    <mergeCell ref="T225:U225"/>
    <mergeCell ref="V225:W225"/>
    <mergeCell ref="D224:E224"/>
    <mergeCell ref="AD224:AE224"/>
    <mergeCell ref="L224:M224"/>
    <mergeCell ref="AB296:AC296"/>
    <mergeCell ref="AD296:AE296"/>
    <mergeCell ref="AF296:AG296"/>
    <mergeCell ref="P296:Q296"/>
    <mergeCell ref="R296:S296"/>
    <mergeCell ref="T296:U296"/>
    <mergeCell ref="AF295:AG295"/>
    <mergeCell ref="AF261:AG261"/>
    <mergeCell ref="AF249:AG249"/>
    <mergeCell ref="Z262:AA262"/>
    <mergeCell ref="X262:Y262"/>
    <mergeCell ref="V262:W262"/>
    <mergeCell ref="T262:U262"/>
    <mergeCell ref="R262:S262"/>
    <mergeCell ref="P262:Q262"/>
    <mergeCell ref="AF262:AG262"/>
    <mergeCell ref="AD262:AE262"/>
    <mergeCell ref="AB262:AC262"/>
    <mergeCell ref="D250:E250"/>
    <mergeCell ref="F250:G250"/>
    <mergeCell ref="H250:I250"/>
    <mergeCell ref="J250:K250"/>
    <mergeCell ref="L250:M250"/>
    <mergeCell ref="N250:O250"/>
    <mergeCell ref="X249:Y249"/>
    <mergeCell ref="Z249:AA249"/>
    <mergeCell ref="AB249:AC249"/>
    <mergeCell ref="AD249:AE249"/>
    <mergeCell ref="L249:M249"/>
    <mergeCell ref="N249:O249"/>
    <mergeCell ref="P249:Q249"/>
    <mergeCell ref="R249:S249"/>
    <mergeCell ref="T249:U249"/>
    <mergeCell ref="V249:W249"/>
    <mergeCell ref="AB250:AC250"/>
    <mergeCell ref="AD250:AE250"/>
    <mergeCell ref="AB261:AC261"/>
    <mergeCell ref="AD261:AE261"/>
    <mergeCell ref="C261:C263"/>
    <mergeCell ref="B261:B263"/>
    <mergeCell ref="N261:O261"/>
    <mergeCell ref="P261:Q261"/>
    <mergeCell ref="R261:S261"/>
    <mergeCell ref="T261:U261"/>
    <mergeCell ref="V261:W261"/>
    <mergeCell ref="D261:E261"/>
    <mergeCell ref="X295:Y295"/>
    <mergeCell ref="Z295:AA295"/>
    <mergeCell ref="D262:E262"/>
    <mergeCell ref="F262:G262"/>
    <mergeCell ref="H262:I262"/>
    <mergeCell ref="J262:K262"/>
    <mergeCell ref="L262:M262"/>
    <mergeCell ref="N262:O262"/>
    <mergeCell ref="X261:Y261"/>
    <mergeCell ref="Z261:AA261"/>
    <mergeCell ref="L295:M295"/>
    <mergeCell ref="N295:O295"/>
    <mergeCell ref="P295:Q295"/>
    <mergeCell ref="R295:S295"/>
    <mergeCell ref="T295:U295"/>
    <mergeCell ref="V295:W295"/>
    <mergeCell ref="B295:B297"/>
    <mergeCell ref="C295:C297"/>
    <mergeCell ref="L261:M261"/>
    <mergeCell ref="F261:G261"/>
    <mergeCell ref="H261:I261"/>
    <mergeCell ref="J261:K261"/>
    <mergeCell ref="B224:B226"/>
    <mergeCell ref="C224:C226"/>
    <mergeCell ref="J224:K224"/>
    <mergeCell ref="B249:B251"/>
    <mergeCell ref="C249:C251"/>
    <mergeCell ref="D249:E249"/>
    <mergeCell ref="F249:G249"/>
    <mergeCell ref="H249:I249"/>
    <mergeCell ref="J249:K249"/>
    <mergeCell ref="AB225:AC225"/>
    <mergeCell ref="AD225:AE225"/>
    <mergeCell ref="X250:Y250"/>
    <mergeCell ref="Z250:AA250"/>
    <mergeCell ref="T250:U250"/>
    <mergeCell ref="V250:W250"/>
    <mergeCell ref="AD199:AE199"/>
    <mergeCell ref="P200:Q200"/>
    <mergeCell ref="AB200:AC200"/>
    <mergeCell ref="AD200:AE200"/>
    <mergeCell ref="X225:Y225"/>
    <mergeCell ref="Z225:AA225"/>
    <mergeCell ref="R200:S200"/>
    <mergeCell ref="T200:U200"/>
    <mergeCell ref="D225:E225"/>
    <mergeCell ref="F225:G225"/>
    <mergeCell ref="H225:I225"/>
    <mergeCell ref="J225:K225"/>
    <mergeCell ref="L225:M225"/>
    <mergeCell ref="N225:O225"/>
    <mergeCell ref="X224:Y224"/>
    <mergeCell ref="Z224:AA224"/>
    <mergeCell ref="AB224:AC224"/>
    <mergeCell ref="AF164:AG164"/>
    <mergeCell ref="AB146:AC146"/>
    <mergeCell ref="AD146:AE146"/>
    <mergeCell ref="AF146:AG146"/>
    <mergeCell ref="P146:Q146"/>
    <mergeCell ref="R146:S146"/>
    <mergeCell ref="T146:U146"/>
    <mergeCell ref="V146:W146"/>
    <mergeCell ref="X146:Y146"/>
    <mergeCell ref="Z146:AA146"/>
    <mergeCell ref="AF199:AG199"/>
    <mergeCell ref="V200:W200"/>
    <mergeCell ref="X200:Y200"/>
    <mergeCell ref="AF224:AG224"/>
    <mergeCell ref="P164:Q164"/>
    <mergeCell ref="R164:S164"/>
    <mergeCell ref="T164:U164"/>
    <mergeCell ref="V164:W164"/>
    <mergeCell ref="P163:Q163"/>
    <mergeCell ref="R163:S163"/>
    <mergeCell ref="AB164:AC164"/>
    <mergeCell ref="AD164:AE164"/>
    <mergeCell ref="C163:C165"/>
    <mergeCell ref="D163:E163"/>
    <mergeCell ref="F163:G163"/>
    <mergeCell ref="H163:I163"/>
    <mergeCell ref="J163:K163"/>
    <mergeCell ref="X164:Y164"/>
    <mergeCell ref="Z164:AA164"/>
    <mergeCell ref="D164:E164"/>
    <mergeCell ref="F164:G164"/>
    <mergeCell ref="H164:I164"/>
    <mergeCell ref="J164:K164"/>
    <mergeCell ref="L164:M164"/>
    <mergeCell ref="N164:O164"/>
    <mergeCell ref="AD163:AE163"/>
    <mergeCell ref="N224:O224"/>
    <mergeCell ref="P224:Q224"/>
    <mergeCell ref="R224:S224"/>
    <mergeCell ref="T224:U224"/>
    <mergeCell ref="V224:W224"/>
    <mergeCell ref="AB199:AC199"/>
    <mergeCell ref="L163:M163"/>
    <mergeCell ref="N163:O163"/>
    <mergeCell ref="D200:E200"/>
    <mergeCell ref="F200:G200"/>
    <mergeCell ref="H200:I200"/>
    <mergeCell ref="J200:K200"/>
    <mergeCell ref="L200:M200"/>
    <mergeCell ref="N200:O200"/>
    <mergeCell ref="X163:Y163"/>
    <mergeCell ref="Z163:AA163"/>
    <mergeCell ref="AB163:AC163"/>
    <mergeCell ref="D145:E145"/>
    <mergeCell ref="H129:I129"/>
    <mergeCell ref="J129:K129"/>
    <mergeCell ref="T129:U129"/>
    <mergeCell ref="J101:K101"/>
    <mergeCell ref="L101:M101"/>
    <mergeCell ref="N101:O101"/>
    <mergeCell ref="D130:E130"/>
    <mergeCell ref="F130:G130"/>
    <mergeCell ref="H130:I130"/>
    <mergeCell ref="J130:K130"/>
    <mergeCell ref="L130:M130"/>
    <mergeCell ref="N130:O130"/>
    <mergeCell ref="B145:B147"/>
    <mergeCell ref="C145:C147"/>
    <mergeCell ref="L146:M146"/>
    <mergeCell ref="N146:O146"/>
    <mergeCell ref="F145:G145"/>
    <mergeCell ref="H145:I145"/>
    <mergeCell ref="L145:M145"/>
    <mergeCell ref="N145:O145"/>
    <mergeCell ref="P145:Q145"/>
    <mergeCell ref="R145:S145"/>
    <mergeCell ref="B129:B131"/>
    <mergeCell ref="C129:C131"/>
    <mergeCell ref="B100:B102"/>
    <mergeCell ref="C100:C102"/>
    <mergeCell ref="D146:E146"/>
    <mergeCell ref="F146:G146"/>
    <mergeCell ref="H146:I146"/>
    <mergeCell ref="J146:K146"/>
    <mergeCell ref="X112:Y112"/>
    <mergeCell ref="L100:M100"/>
    <mergeCell ref="N100:O100"/>
    <mergeCell ref="P100:Q100"/>
    <mergeCell ref="R100:S100"/>
    <mergeCell ref="T100:U100"/>
    <mergeCell ref="V100:W100"/>
    <mergeCell ref="P101:Q101"/>
    <mergeCell ref="P130:Q130"/>
    <mergeCell ref="R130:S130"/>
    <mergeCell ref="T130:U130"/>
    <mergeCell ref="V130:W130"/>
    <mergeCell ref="Z112:AA112"/>
    <mergeCell ref="L129:M129"/>
    <mergeCell ref="N129:O129"/>
    <mergeCell ref="D111:E111"/>
    <mergeCell ref="F111:G111"/>
    <mergeCell ref="H111:I111"/>
    <mergeCell ref="J111:K111"/>
    <mergeCell ref="H112:I112"/>
    <mergeCell ref="J112:K112"/>
    <mergeCell ref="L112:M112"/>
    <mergeCell ref="N112:O112"/>
    <mergeCell ref="X129:Y129"/>
    <mergeCell ref="Z129:AA129"/>
    <mergeCell ref="AB129:AC129"/>
    <mergeCell ref="AD129:AE129"/>
    <mergeCell ref="P129:Q129"/>
    <mergeCell ref="R129:S129"/>
    <mergeCell ref="V129:W129"/>
    <mergeCell ref="AB130:AC130"/>
    <mergeCell ref="AF130:AG130"/>
    <mergeCell ref="Z145:AA145"/>
    <mergeCell ref="AB145:AC145"/>
    <mergeCell ref="AD145:AE145"/>
    <mergeCell ref="AD130:AE130"/>
    <mergeCell ref="T145:U145"/>
    <mergeCell ref="V145:W145"/>
    <mergeCell ref="T163:U163"/>
    <mergeCell ref="V163:W163"/>
    <mergeCell ref="X145:Y145"/>
    <mergeCell ref="AF163:AG163"/>
    <mergeCell ref="B435:B437"/>
    <mergeCell ref="C435:C437"/>
    <mergeCell ref="J435:K435"/>
    <mergeCell ref="R101:S101"/>
    <mergeCell ref="T101:U101"/>
    <mergeCell ref="D129:E129"/>
    <mergeCell ref="F129:G129"/>
    <mergeCell ref="X199:Y199"/>
    <mergeCell ref="Z199:AA199"/>
    <mergeCell ref="B199:B201"/>
    <mergeCell ref="C199:C201"/>
    <mergeCell ref="D199:E199"/>
    <mergeCell ref="F199:G199"/>
    <mergeCell ref="H199:I199"/>
    <mergeCell ref="J199:K199"/>
    <mergeCell ref="L199:M199"/>
    <mergeCell ref="N199:O199"/>
    <mergeCell ref="P199:Q199"/>
    <mergeCell ref="Z200:AA200"/>
    <mergeCell ref="D112:E112"/>
    <mergeCell ref="P111:Q111"/>
    <mergeCell ref="R111:S111"/>
    <mergeCell ref="F112:G112"/>
    <mergeCell ref="B111:B113"/>
    <mergeCell ref="C111:C113"/>
    <mergeCell ref="X130:Y130"/>
    <mergeCell ref="Z130:AA130"/>
    <mergeCell ref="J145:K145"/>
    <mergeCell ref="B163:B165"/>
    <mergeCell ref="L111:M111"/>
    <mergeCell ref="N111:O111"/>
    <mergeCell ref="T111:U111"/>
    <mergeCell ref="AH435:AI436"/>
    <mergeCell ref="D436:E436"/>
    <mergeCell ref="F436:G436"/>
    <mergeCell ref="H436:I436"/>
    <mergeCell ref="J436:K436"/>
    <mergeCell ref="L436:M436"/>
    <mergeCell ref="N436:O436"/>
    <mergeCell ref="X435:Y435"/>
    <mergeCell ref="Z435:AA435"/>
    <mergeCell ref="AB435:AC435"/>
    <mergeCell ref="AD435:AE435"/>
    <mergeCell ref="L435:M435"/>
    <mergeCell ref="N435:O435"/>
    <mergeCell ref="P435:Q435"/>
    <mergeCell ref="R435:S435"/>
    <mergeCell ref="T435:U435"/>
    <mergeCell ref="V435:W435"/>
    <mergeCell ref="D435:E435"/>
    <mergeCell ref="F435:G435"/>
    <mergeCell ref="H435:I435"/>
    <mergeCell ref="AF436:AG436"/>
    <mergeCell ref="AF435:AG435"/>
    <mergeCell ref="AB436:AC436"/>
    <mergeCell ref="AD436:AE436"/>
    <mergeCell ref="P436:Q436"/>
    <mergeCell ref="R436:S436"/>
    <mergeCell ref="T436:U436"/>
    <mergeCell ref="V436:W436"/>
    <mergeCell ref="X436:Y436"/>
    <mergeCell ref="Z436:AA436"/>
    <mergeCell ref="AF100:AG100"/>
    <mergeCell ref="D101:E101"/>
    <mergeCell ref="F101:G101"/>
    <mergeCell ref="H101:I101"/>
    <mergeCell ref="R92:S92"/>
    <mergeCell ref="X92:Y92"/>
    <mergeCell ref="Z92:AA92"/>
    <mergeCell ref="T92:U92"/>
    <mergeCell ref="V92:W92"/>
    <mergeCell ref="X101:Y101"/>
    <mergeCell ref="V111:W111"/>
    <mergeCell ref="X111:Y111"/>
    <mergeCell ref="Z111:AA111"/>
    <mergeCell ref="X100:Y100"/>
    <mergeCell ref="Z100:AA100"/>
    <mergeCell ref="AB100:AC100"/>
    <mergeCell ref="AD100:AE100"/>
    <mergeCell ref="AB101:AC101"/>
    <mergeCell ref="AB111:AC111"/>
    <mergeCell ref="AD111:AE111"/>
    <mergeCell ref="Z101:AA101"/>
    <mergeCell ref="V101:W101"/>
    <mergeCell ref="D100:E100"/>
    <mergeCell ref="F100:G100"/>
    <mergeCell ref="H100:I100"/>
    <mergeCell ref="J100:K100"/>
    <mergeCell ref="B91:B93"/>
    <mergeCell ref="C91:C93"/>
    <mergeCell ref="D91:E91"/>
    <mergeCell ref="F91:G91"/>
    <mergeCell ref="H91:I91"/>
    <mergeCell ref="J91:K91"/>
    <mergeCell ref="B77:B79"/>
    <mergeCell ref="C77:C79"/>
    <mergeCell ref="D92:E92"/>
    <mergeCell ref="F92:G92"/>
    <mergeCell ref="H92:I92"/>
    <mergeCell ref="J92:K92"/>
    <mergeCell ref="D78:E78"/>
    <mergeCell ref="F78:G78"/>
    <mergeCell ref="H78:I78"/>
    <mergeCell ref="J78:K78"/>
    <mergeCell ref="L91:M91"/>
    <mergeCell ref="L92:M92"/>
    <mergeCell ref="D77:E77"/>
    <mergeCell ref="F77:G77"/>
    <mergeCell ref="H77:I77"/>
    <mergeCell ref="J77:K77"/>
    <mergeCell ref="F28:G28"/>
    <mergeCell ref="H28:I28"/>
    <mergeCell ref="P69:Q69"/>
    <mergeCell ref="R69:S69"/>
    <mergeCell ref="T69:U69"/>
    <mergeCell ref="V69:W69"/>
    <mergeCell ref="V58:W58"/>
    <mergeCell ref="X58:Y58"/>
    <mergeCell ref="X27:Y27"/>
    <mergeCell ref="X57:Y57"/>
    <mergeCell ref="X69:Y69"/>
    <mergeCell ref="B68:B70"/>
    <mergeCell ref="C68:C70"/>
    <mergeCell ref="D68:E68"/>
    <mergeCell ref="F68:G68"/>
    <mergeCell ref="H68:I68"/>
    <mergeCell ref="J68:K68"/>
    <mergeCell ref="B57:B59"/>
    <mergeCell ref="C57:C59"/>
    <mergeCell ref="D57:E57"/>
    <mergeCell ref="D69:E69"/>
    <mergeCell ref="F69:G69"/>
    <mergeCell ref="H69:I69"/>
    <mergeCell ref="J69:K69"/>
    <mergeCell ref="L69:M69"/>
    <mergeCell ref="N69:O69"/>
    <mergeCell ref="X68:Y68"/>
    <mergeCell ref="L68:M68"/>
    <mergeCell ref="N68:O68"/>
    <mergeCell ref="V68:W68"/>
    <mergeCell ref="H58:I58"/>
    <mergeCell ref="D28:E28"/>
    <mergeCell ref="AD27:AE27"/>
    <mergeCell ref="AF27:AG27"/>
    <mergeCell ref="X28:Y28"/>
    <mergeCell ref="Z28:AA28"/>
    <mergeCell ref="AB28:AC28"/>
    <mergeCell ref="AD28:AE28"/>
    <mergeCell ref="AF28:AG28"/>
    <mergeCell ref="AD77:AE77"/>
    <mergeCell ref="Z58:AA58"/>
    <mergeCell ref="AB58:AC58"/>
    <mergeCell ref="AD58:AE58"/>
    <mergeCell ref="AF58:AG58"/>
    <mergeCell ref="Z69:AA69"/>
    <mergeCell ref="AF68:AG68"/>
    <mergeCell ref="L58:M58"/>
    <mergeCell ref="N58:O58"/>
    <mergeCell ref="B1:B3"/>
    <mergeCell ref="C1:C3"/>
    <mergeCell ref="B27:B29"/>
    <mergeCell ref="C27:C29"/>
    <mergeCell ref="D27:E27"/>
    <mergeCell ref="F27:G27"/>
    <mergeCell ref="H27:I27"/>
    <mergeCell ref="J27:K27"/>
    <mergeCell ref="F57:G57"/>
    <mergeCell ref="H57:I57"/>
    <mergeCell ref="J57:K57"/>
    <mergeCell ref="Z27:AA27"/>
    <mergeCell ref="AB27:AC27"/>
    <mergeCell ref="Z57:AA57"/>
    <mergeCell ref="D58:E58"/>
    <mergeCell ref="F58:G58"/>
    <mergeCell ref="J28:K28"/>
    <mergeCell ref="L28:M28"/>
    <mergeCell ref="N28:O28"/>
    <mergeCell ref="P28:Q28"/>
    <mergeCell ref="R28:S28"/>
    <mergeCell ref="T28:U28"/>
    <mergeCell ref="L78:M78"/>
    <mergeCell ref="N78:O78"/>
    <mergeCell ref="X77:Y77"/>
    <mergeCell ref="Z77:AA77"/>
    <mergeCell ref="AB77:AC77"/>
    <mergeCell ref="L77:M77"/>
    <mergeCell ref="N77:O77"/>
    <mergeCell ref="P77:Q77"/>
    <mergeCell ref="P58:Q58"/>
    <mergeCell ref="R58:S58"/>
    <mergeCell ref="T58:U58"/>
    <mergeCell ref="R77:S77"/>
    <mergeCell ref="T77:U77"/>
    <mergeCell ref="V77:W77"/>
    <mergeCell ref="AB57:AC57"/>
    <mergeCell ref="J58:K58"/>
    <mergeCell ref="AB69:AC69"/>
    <mergeCell ref="AB78:AC78"/>
    <mergeCell ref="P78:Q78"/>
    <mergeCell ref="R78:S78"/>
    <mergeCell ref="T78:U78"/>
    <mergeCell ref="V78:W78"/>
    <mergeCell ref="X78:Y78"/>
    <mergeCell ref="Z78:AA78"/>
    <mergeCell ref="P27:Q27"/>
    <mergeCell ref="R27:S27"/>
    <mergeCell ref="T27:U27"/>
    <mergeCell ref="V27:W27"/>
    <mergeCell ref="R199:S199"/>
    <mergeCell ref="T199:U199"/>
    <mergeCell ref="V199:W199"/>
    <mergeCell ref="V28:W28"/>
    <mergeCell ref="L27:M27"/>
    <mergeCell ref="N27:O27"/>
    <mergeCell ref="L57:M57"/>
    <mergeCell ref="N57:O57"/>
    <mergeCell ref="P57:Q57"/>
    <mergeCell ref="R57:S57"/>
    <mergeCell ref="T57:U57"/>
    <mergeCell ref="V57:W57"/>
    <mergeCell ref="N92:O92"/>
    <mergeCell ref="N91:O91"/>
    <mergeCell ref="P91:Q91"/>
    <mergeCell ref="R91:S91"/>
    <mergeCell ref="T91:U91"/>
    <mergeCell ref="V91:W91"/>
    <mergeCell ref="P112:Q112"/>
    <mergeCell ref="R112:S112"/>
    <mergeCell ref="T112:U112"/>
    <mergeCell ref="V112:W112"/>
    <mergeCell ref="AD57:AE57"/>
    <mergeCell ref="AF57:AG57"/>
    <mergeCell ref="Z68:AA68"/>
    <mergeCell ref="AB68:AC68"/>
    <mergeCell ref="AD68:AE68"/>
    <mergeCell ref="P68:Q68"/>
    <mergeCell ref="R68:S68"/>
    <mergeCell ref="T68:U68"/>
    <mergeCell ref="AF78:AG78"/>
    <mergeCell ref="AF91:AG91"/>
    <mergeCell ref="AB92:AC92"/>
    <mergeCell ref="AD92:AE92"/>
    <mergeCell ref="AF92:AG92"/>
    <mergeCell ref="P92:Q92"/>
    <mergeCell ref="AD101:AE101"/>
    <mergeCell ref="AF101:AG101"/>
    <mergeCell ref="AJ368:AK368"/>
    <mergeCell ref="AF77:AG77"/>
    <mergeCell ref="X91:Y91"/>
    <mergeCell ref="Z91:AA91"/>
    <mergeCell ref="AD91:AE91"/>
    <mergeCell ref="AD69:AE69"/>
    <mergeCell ref="AF69:AG69"/>
    <mergeCell ref="AF200:AG200"/>
    <mergeCell ref="AB91:AC91"/>
    <mergeCell ref="AD78:AE78"/>
    <mergeCell ref="AF145:AG145"/>
    <mergeCell ref="AF129:AG129"/>
    <mergeCell ref="AF111:AG111"/>
    <mergeCell ref="AB112:AC112"/>
    <mergeCell ref="AD112:AE112"/>
    <mergeCell ref="AF112:AG112"/>
  </mergeCells>
  <phoneticPr fontId="1"/>
  <printOptions horizontalCentered="1" verticalCentered="1"/>
  <pageMargins left="0" right="0" top="0" bottom="0" header="0" footer="0"/>
  <pageSetup paperSize="9" scale="24" fitToHeight="0" orientation="landscape" r:id="rId1"/>
  <headerFooter>
    <oddHeader>&amp;C&amp;"-,太字"&amp;20 ２０２４年ワイド強調月間　個人別獲得表(前半）</oddHeader>
    <oddFooter>&amp;C&amp;20&amp;P / &amp;N ページ</oddFooter>
  </headerFooter>
  <rowBreaks count="13" manualBreakCount="13">
    <brk id="25" max="74" man="1"/>
    <brk id="55" max="74" man="1"/>
    <brk id="90" max="74" man="1"/>
    <brk id="127" max="74" man="1"/>
    <brk id="161" max="74" man="1"/>
    <brk id="196" max="74" man="1"/>
    <brk id="197" max="74" man="1"/>
    <brk id="222" max="74" man="1"/>
    <brk id="259" max="16383" man="1"/>
    <brk id="293" max="74" man="1"/>
    <brk id="328" max="74" man="1"/>
    <brk id="366" max="74" man="1"/>
    <brk id="377"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0D3FF-3970-4706-981A-A62B9719C011}">
  <sheetPr codeName="Sheet6">
    <pageSetUpPr fitToPage="1"/>
  </sheetPr>
  <dimension ref="A1:AS143"/>
  <sheetViews>
    <sheetView showZeros="0" topLeftCell="B1" zoomScale="115" zoomScaleNormal="115" workbookViewId="0">
      <selection activeCell="S4" sqref="S4"/>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",_xlfn.VALUETOTEXT(COUNTA(A3:A14)*3+COUNTIF(B3:B13,"=●")*3),"件")</f>
        <v>グループA  45件</v>
      </c>
      <c r="B2" s="308"/>
      <c r="C2" s="80">
        <f>SUM(C3:C13)</f>
        <v>6</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1</v>
      </c>
      <c r="M2" s="309" t="str">
        <f>CONCATENATE("グループD  ",_xlfn.VALUETOTEXT(COUNTA(M3:M13)*3+COUNTIF(N3:N13,"=●")*3),"件")</f>
        <v>グループD  36件</v>
      </c>
      <c r="N2" s="310"/>
      <c r="O2" s="434">
        <f>SUM(O3:O13)</f>
        <v>2</v>
      </c>
      <c r="P2" s="138"/>
      <c r="Q2" s="138"/>
    </row>
    <row r="3" spans="1:17" ht="14.25" thickTop="1">
      <c r="A3" s="300" t="str">
        <f>'集計表(1～3月) '!A3</f>
        <v>古瀬　裕二</v>
      </c>
      <c r="B3" s="287" t="str">
        <f>'集計表(1～3月) '!B3</f>
        <v>●</v>
      </c>
      <c r="C3" s="173">
        <f>VLOOKUP(A3,'1月'!$B$4:$BQ$342,65,FALSE)</f>
        <v>1</v>
      </c>
      <c r="D3" s="1"/>
      <c r="E3" s="302" t="str">
        <f>'集計表(1～3月) '!E3</f>
        <v>熊谷　正浩</v>
      </c>
      <c r="F3" s="289">
        <f>'集計表(1～3月) '!F3</f>
        <v>0</v>
      </c>
      <c r="G3" s="173">
        <f>VLOOKUP(E3,'1月'!$B$4:$BQ$342,65,FALSE)</f>
        <v>0</v>
      </c>
      <c r="I3" s="347" t="str">
        <f>'集計表(1～3月) '!I3</f>
        <v>佐々木　あゆみ</v>
      </c>
      <c r="J3" s="294" t="str">
        <f>'集計表(1～3月) '!J3</f>
        <v>●</v>
      </c>
      <c r="K3" s="173">
        <f>VLOOKUP(I3,'1月'!$B$4:$BQ$342,65,FALSE)</f>
        <v>1</v>
      </c>
      <c r="M3" s="305" t="str">
        <f>'集計表(1～3月) '!M3</f>
        <v>中山　明洋</v>
      </c>
      <c r="N3" s="289" t="str">
        <f>'集計表(1～3月) '!N3</f>
        <v>●</v>
      </c>
      <c r="O3" s="173">
        <f>VLOOKUP(M3,'1月'!$B$4:$BQ$342,65,FALSE)</f>
        <v>2</v>
      </c>
      <c r="P3" s="1"/>
      <c r="Q3" s="1"/>
    </row>
    <row r="4" spans="1:17">
      <c r="A4" s="301" t="str">
        <f>'集計表(1～3月) '!A4</f>
        <v>工藤　あずさ</v>
      </c>
      <c r="B4" s="288">
        <f>'集計表(1～3月) '!B4</f>
        <v>0</v>
      </c>
      <c r="C4" s="109">
        <f>SUMIF(DB!B:B,"="&amp;A4,DB!D:D)</f>
        <v>0</v>
      </c>
      <c r="D4" s="1"/>
      <c r="E4" s="303" t="str">
        <f>'集計表(1～3月) '!E4</f>
        <v>近藤　綾乃</v>
      </c>
      <c r="F4" s="290">
        <f>'集計表(1～3月) '!F4</f>
        <v>0</v>
      </c>
      <c r="G4" s="82">
        <f>VLOOKUP(E4,'1月'!$B$4:$BQ$342,65,FALSE)</f>
        <v>0</v>
      </c>
      <c r="I4" s="303" t="str">
        <f>'集計表(1～3月) '!I4</f>
        <v>川守田　拓</v>
      </c>
      <c r="J4" s="290">
        <f>'集計表(1～3月) '!J4</f>
        <v>0</v>
      </c>
      <c r="K4" s="82">
        <f>VLOOKUP(I4,'1月'!$B$4:$BQ$342,65,FALSE)</f>
        <v>0</v>
      </c>
      <c r="M4" s="301" t="str">
        <f>'集計表(1～3月) '!M4</f>
        <v>中里　郁子</v>
      </c>
      <c r="N4" s="290" t="str">
        <f>'集計表(1～3月) '!N4</f>
        <v>●</v>
      </c>
      <c r="O4" s="85">
        <f>VLOOKUP(M4,'1月'!$B$4:$BQ$342,65,FALSE)</f>
        <v>0</v>
      </c>
      <c r="P4" s="1"/>
      <c r="Q4" s="1"/>
    </row>
    <row r="5" spans="1:17">
      <c r="A5" s="127" t="str">
        <f>'集計表(1～3月) '!A5</f>
        <v>伊藤　良子</v>
      </c>
      <c r="B5" s="288">
        <f>'集計表(1～3月) '!B5</f>
        <v>0</v>
      </c>
      <c r="C5" s="109">
        <f>SUMIF(DB!B:B,"="&amp;A5,DB!D:D)</f>
        <v>0</v>
      </c>
      <c r="D5" s="1"/>
      <c r="E5" s="127" t="str">
        <f>'集計表(1～3月) '!E5</f>
        <v>石橋　直子</v>
      </c>
      <c r="F5" s="290">
        <f>'集計表(1～3月) '!F5</f>
        <v>0</v>
      </c>
      <c r="G5" s="82">
        <f>VLOOKUP(E5,'1月'!$B$4:$BQ$342,65,FALSE)</f>
        <v>0</v>
      </c>
      <c r="I5" s="125" t="str">
        <f>'集計表(1～3月) '!I5</f>
        <v>上村　聰子</v>
      </c>
      <c r="J5" s="290">
        <f>'集計表(1～3月) '!J5</f>
        <v>0</v>
      </c>
      <c r="K5" s="82">
        <f>VLOOKUP(I5,'1月'!$B$4:$BQ$342,65,FALSE)</f>
        <v>0</v>
      </c>
      <c r="M5" s="127" t="str">
        <f>'集計表(1～3月) '!M5</f>
        <v>川村　一覚</v>
      </c>
      <c r="N5" s="290">
        <f>'集計表(1～3月) '!N5</f>
        <v>0</v>
      </c>
      <c r="O5" s="85">
        <f>VLOOKUP(M5,'1月'!$B$4:$BQ$342,65,FALSE)</f>
        <v>0</v>
      </c>
      <c r="P5" s="1"/>
      <c r="Q5" s="1"/>
    </row>
    <row r="6" spans="1:17">
      <c r="A6" s="127" t="str">
        <f>'集計表(1～3月) '!A6</f>
        <v>梅津　昭勝</v>
      </c>
      <c r="B6" s="136" t="str">
        <f>'集計表(1～3月) '!B6</f>
        <v>●</v>
      </c>
      <c r="C6" s="109">
        <f>SUMIF(DB!B:B,"="&amp;A6,DB!D:D)</f>
        <v>0</v>
      </c>
      <c r="D6" s="1"/>
      <c r="E6" s="125" t="str">
        <f>'集計表(1～3月) '!E6</f>
        <v>上野　喜幸</v>
      </c>
      <c r="F6" s="290">
        <f>'集計表(1～3月) '!F6</f>
        <v>0</v>
      </c>
      <c r="G6" s="82">
        <f>VLOOKUP(E6,'1月'!$B$4:$BQ$342,65,FALSE)</f>
        <v>0</v>
      </c>
      <c r="I6" s="125" t="str">
        <f>'集計表(1～3月) '!I6</f>
        <v>大下　孝志</v>
      </c>
      <c r="J6" s="290">
        <f>'集計表(1～3月) '!J6</f>
        <v>0</v>
      </c>
      <c r="K6" s="82">
        <f>VLOOKUP(I6,'1月'!$B$4:$BQ$342,65,FALSE)</f>
        <v>0</v>
      </c>
      <c r="M6" s="127" t="str">
        <f>'集計表(1～3月) '!M6</f>
        <v>小西　裕子</v>
      </c>
      <c r="N6" s="290">
        <f>'集計表(1～3月) '!N6</f>
        <v>0</v>
      </c>
      <c r="O6" s="85">
        <f>VLOOKUP(M6,'1月'!$B$4:$BQ$342,65,FALSE)</f>
        <v>0</v>
      </c>
      <c r="P6" s="1"/>
      <c r="Q6" s="1"/>
    </row>
    <row r="7" spans="1:17">
      <c r="A7" s="127" t="str">
        <f>'集計表(1～3月) '!A7</f>
        <v>河村　久美子</v>
      </c>
      <c r="B7" s="288">
        <f>'集計表(1～3月) '!B7</f>
        <v>0</v>
      </c>
      <c r="C7" s="109">
        <f>SUMIF(DB!B:B,"="&amp;A7,DB!D:D)</f>
        <v>1</v>
      </c>
      <c r="D7" s="1"/>
      <c r="E7" s="125" t="e">
        <f>'集計表(1～3月) '!#REF!</f>
        <v>#REF!</v>
      </c>
      <c r="F7" s="290" t="e">
        <f>'集計表(1～3月) '!#REF!</f>
        <v>#REF!</v>
      </c>
      <c r="G7" s="82" t="e">
        <f>VLOOKUP(E7,'1月'!$B$4:$BQ$342,65,FALSE)</f>
        <v>#REF!</v>
      </c>
      <c r="I7" s="125" t="str">
        <f>'集計表(1～3月) '!I7</f>
        <v>小笠原　健一</v>
      </c>
      <c r="J7" s="290">
        <f>'集計表(1～3月) '!J7</f>
        <v>0</v>
      </c>
      <c r="K7" s="82">
        <f>VLOOKUP(I7,'1月'!$B$4:$BQ$342,65,FALSE)</f>
        <v>0</v>
      </c>
      <c r="M7" s="127" t="str">
        <f>'集計表(1～3月) '!M7</f>
        <v>坂口　典子</v>
      </c>
      <c r="N7" s="290">
        <f>'集計表(1～3月) '!N7</f>
        <v>0</v>
      </c>
      <c r="O7" s="85">
        <f>VLOOKUP(M7,'1月'!$B$4:$BQ$342,65,FALSE)</f>
        <v>0</v>
      </c>
      <c r="P7" s="1"/>
      <c r="Q7" s="1"/>
    </row>
    <row r="8" spans="1:17">
      <c r="A8" s="127" t="str">
        <f>'集計表(1～3月) '!A8</f>
        <v>木村　貴子</v>
      </c>
      <c r="B8" s="344">
        <f>'集計表(1～3月) '!B8</f>
        <v>0</v>
      </c>
      <c r="C8" s="109">
        <f>SUMIF(DB!B:B,"="&amp;A8,DB!D:D)</f>
        <v>0</v>
      </c>
      <c r="D8" s="1"/>
      <c r="E8" s="125" t="str">
        <f>'集計表(1～3月) '!E7</f>
        <v>小平　厚子</v>
      </c>
      <c r="F8" s="290">
        <f>'集計表(1～3月) '!F7</f>
        <v>0</v>
      </c>
      <c r="G8" s="82">
        <f>VLOOKUP(E8,'1月'!$B$4:$BQ$342,65,FALSE)</f>
        <v>0</v>
      </c>
      <c r="I8" s="131" t="str">
        <f>'集計表(1～3月) '!I8</f>
        <v>奥谷　和広</v>
      </c>
      <c r="J8" s="293" t="str">
        <f>'集計表(1～3月) '!J8</f>
        <v>●</v>
      </c>
      <c r="K8" s="82">
        <f>VLOOKUP(I8,'1月'!$B$4:$BQ$342,65,FALSE)</f>
        <v>0</v>
      </c>
      <c r="M8" s="127" t="str">
        <f>'集計表(1～3月) '!M8</f>
        <v>佐藤　進</v>
      </c>
      <c r="N8" s="290">
        <f>'集計表(1～3月) '!N8</f>
        <v>0</v>
      </c>
      <c r="O8" s="85">
        <f>VLOOKUP(M8,'1月'!$B$4:$BQ$342,65,FALSE)</f>
        <v>0</v>
      </c>
      <c r="P8" s="1"/>
      <c r="Q8" s="1"/>
    </row>
    <row r="9" spans="1:17">
      <c r="A9" s="127" t="str">
        <f>'集計表(1～3月) '!A9</f>
        <v>澤田　敏秋</v>
      </c>
      <c r="B9" s="288" t="str">
        <f>'集計表(1～3月) '!B9</f>
        <v>●</v>
      </c>
      <c r="C9" s="109">
        <f>SUMIF(DB!B:B,"="&amp;A9,DB!D:D)</f>
        <v>2</v>
      </c>
      <c r="D9" s="1"/>
      <c r="E9" s="125" t="str">
        <f>'集計表(1～3月) '!E8</f>
        <v>坂本　里美</v>
      </c>
      <c r="F9" s="290">
        <f>'集計表(1～3月) '!F8</f>
        <v>0</v>
      </c>
      <c r="G9" s="82">
        <f>VLOOKUP(E9,'1月'!$B$4:$BQ$342,65,FALSE)</f>
        <v>0</v>
      </c>
      <c r="I9" s="131" t="str">
        <f>'集計表(1～3月) '!I9</f>
        <v>工藤　春美</v>
      </c>
      <c r="J9" s="293">
        <f>'集計表(1～3月) '!J9</f>
        <v>0</v>
      </c>
      <c r="K9" s="82">
        <f>VLOOKUP(I9,'1月'!$B$4:$BQ$342,65,FALSE)</f>
        <v>0</v>
      </c>
      <c r="M9" s="127" t="str">
        <f>'集計表(1～3月) '!M9</f>
        <v>戸舘　直人</v>
      </c>
      <c r="N9" s="293">
        <f>'集計表(1～3月) '!N9</f>
        <v>0</v>
      </c>
      <c r="O9" s="85">
        <f>VLOOKUP(M9,'1月'!$B$4:$BQ$342,65,FALSE)</f>
        <v>0</v>
      </c>
      <c r="P9" s="1"/>
      <c r="Q9" s="1"/>
    </row>
    <row r="10" spans="1:17">
      <c r="A10" s="127" t="str">
        <f>'集計表(1～3月) '!A10</f>
        <v>瀧口　健史</v>
      </c>
      <c r="B10" s="290">
        <f>'集計表(1～3月) '!B10</f>
        <v>0</v>
      </c>
      <c r="C10" s="109">
        <f>SUMIF(DB!B:B,"="&amp;A10,DB!D:D)</f>
        <v>0</v>
      </c>
      <c r="D10" s="1"/>
      <c r="E10" s="125" t="str">
        <f>'集計表(1～3月) '!E9</f>
        <v>杉浦　ゆみ子</v>
      </c>
      <c r="F10" s="290">
        <f>'集計表(1～3月) '!F9</f>
        <v>0</v>
      </c>
      <c r="G10" s="82">
        <f>VLOOKUP(E10,'1月'!$B$4:$BQ$342,65,FALSE)</f>
        <v>0</v>
      </c>
      <c r="I10" s="125" t="str">
        <f>'集計表(1～3月) '!I10</f>
        <v>今野　友生</v>
      </c>
      <c r="J10" s="290">
        <f>'集計表(1～3月) '!J10</f>
        <v>0</v>
      </c>
      <c r="K10" s="82">
        <f>VLOOKUP(I10,'1月'!$B$4:$BQ$342,65,FALSE)</f>
        <v>0</v>
      </c>
      <c r="M10" s="127" t="str">
        <f>'集計表(1～3月) '!M10</f>
        <v>豊川　真紀</v>
      </c>
      <c r="N10" s="293">
        <f>'集計表(1～3月) '!N10</f>
        <v>0</v>
      </c>
      <c r="O10" s="85">
        <f>VLOOKUP(M10,'1月'!$B$4:$BQ$342,65,FALSE)</f>
        <v>0</v>
      </c>
      <c r="P10" s="1"/>
      <c r="Q10" s="1"/>
    </row>
    <row r="11" spans="1:17">
      <c r="A11" s="125" t="str">
        <f>'集計表(1～3月) '!A11</f>
        <v>中村　盛宥</v>
      </c>
      <c r="B11" s="290">
        <f>'集計表(1～3月) '!B11</f>
        <v>0</v>
      </c>
      <c r="C11" s="109">
        <f>SUMIF(DB!B:B,"="&amp;A11,DB!D:D)</f>
        <v>0</v>
      </c>
      <c r="D11" s="1"/>
      <c r="E11" s="129" t="str">
        <f>'集計表(1～3月) '!E10</f>
        <v>出貝　千拓</v>
      </c>
      <c r="F11" s="291">
        <f>'集計表(1～3月) '!F10</f>
        <v>0</v>
      </c>
      <c r="G11" s="82">
        <f>VLOOKUP(E11,'1月'!$B$4:$BQ$342,65,FALSE)</f>
        <v>1</v>
      </c>
      <c r="I11" s="125" t="str">
        <f>'集計表(1～3月) '!I11</f>
        <v>柞木田　久子</v>
      </c>
      <c r="J11" s="290">
        <f>'集計表(1～3月) '!J11</f>
        <v>0</v>
      </c>
      <c r="K11" s="82">
        <f>VLOOKUP(I11,'1月'!$B$4:$BQ$342,65,FALSE)</f>
        <v>0</v>
      </c>
      <c r="M11" s="127" t="str">
        <f>'集計表(1～3月) '!M11</f>
        <v>野﨑　浩士</v>
      </c>
      <c r="N11" s="293">
        <f>'集計表(1～3月) '!N11</f>
        <v>0</v>
      </c>
      <c r="O11" s="85">
        <f>VLOOKUP(M11,'1月'!$B$4:$BQ$342,65,FALSE)</f>
        <v>0</v>
      </c>
      <c r="P11" s="1"/>
      <c r="Q11" s="1"/>
    </row>
    <row r="12" spans="1:17" ht="14.25" thickBot="1">
      <c r="A12" s="127" t="str">
        <f>'集計表(1～3月) '!A12</f>
        <v>廣田　真紀</v>
      </c>
      <c r="B12" s="290">
        <f>'集計表(1～3月) '!B12</f>
        <v>0</v>
      </c>
      <c r="C12" s="109">
        <f>SUMIF(DB!B:B,"="&amp;A12,DB!D:D)</f>
        <v>0</v>
      </c>
      <c r="E12" s="273" t="str">
        <f>'集計表(1～3月) '!E11</f>
        <v>松井　蓮奈</v>
      </c>
      <c r="F12" s="290">
        <f>'集計表(1～3月) '!F11</f>
        <v>0</v>
      </c>
      <c r="G12" s="82">
        <f>VLOOKUP(E12,'1月'!$B$4:$BQ$342,65,FALSE)</f>
        <v>0</v>
      </c>
      <c r="I12" s="125" t="str">
        <f>'集計表(1～3月) '!I12</f>
        <v>田名部　夢生</v>
      </c>
      <c r="J12" s="290">
        <f>'集計表(1～3月) '!J12</f>
        <v>0</v>
      </c>
      <c r="K12" s="82">
        <f>VLOOKUP(I12,'1月'!$B$4:$BQ$342,65,FALSE)</f>
        <v>0</v>
      </c>
      <c r="M12" s="126" t="str">
        <f>'集計表(1～3月) '!M12</f>
        <v>林　悠</v>
      </c>
      <c r="N12" s="295">
        <f>'集計表(1～3月) '!N12</f>
        <v>0</v>
      </c>
      <c r="O12" s="191">
        <f>VLOOKUP(M12,'1月'!$B$4:$BQ$342,65,FALSE)</f>
        <v>0</v>
      </c>
      <c r="P12" s="1"/>
      <c r="Q12" s="1"/>
    </row>
    <row r="13" spans="1:17" ht="14.25" thickBot="1">
      <c r="A13" s="343" t="str">
        <f>'集計表(1～3月) '!A13</f>
        <v>三浦　賢子</v>
      </c>
      <c r="B13" s="345">
        <f>'集計表(1～3月) '!B13</f>
        <v>0</v>
      </c>
      <c r="C13" s="83">
        <f>SUMIF(DB!B:B,"="&amp;A13,DB!D:D)</f>
        <v>2</v>
      </c>
      <c r="D13" s="1"/>
      <c r="E13" s="296" t="str">
        <f>'集計表(1～3月) '!E12</f>
        <v>山内　まゆみ</v>
      </c>
      <c r="F13" s="297">
        <f>'集計表(1～3月) '!F12</f>
        <v>0</v>
      </c>
      <c r="G13" s="84">
        <f>VLOOKUP(E13,'1月'!$B$4:$BQ$342,65,FALSE)</f>
        <v>0</v>
      </c>
      <c r="I13" s="270" t="str">
        <f>'集計表(1～3月) '!I13</f>
        <v>三浦　朱里</v>
      </c>
      <c r="J13" s="292">
        <f>'集計表(1～3月) '!J13</f>
        <v>0</v>
      </c>
      <c r="K13" s="84">
        <f>VLOOKUP(I13,'1月'!$B$4:$BQ$342,65,FALSE)</f>
        <v>0</v>
      </c>
      <c r="M13" s="134"/>
      <c r="N13" s="192"/>
      <c r="P13" s="1"/>
      <c r="Q13" s="1"/>
    </row>
    <row r="14" spans="1:17" ht="14.25" thickBot="1">
      <c r="A14" s="126" t="str">
        <f>'集計表(1～3月) '!A14</f>
        <v>渡辺　真由美</v>
      </c>
      <c r="B14" s="292">
        <f>'集計表(1～3月) '!B14</f>
        <v>0</v>
      </c>
      <c r="C14" s="174">
        <f>SUMIF(DB!B:B,"="&amp;A14,DB!D:D)</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",_xlfn.VALUETOTEXT(COUNTA(A17:A28)*3+COUNTIF(B17:B28,"=●")*3),"件")</f>
        <v>グループE  45件</v>
      </c>
      <c r="B16" s="308"/>
      <c r="C16" s="80">
        <f>SUM(C17:C27)</f>
        <v>7</v>
      </c>
      <c r="E16" s="309" t="str">
        <f>CONCATENATE("グループF  ",_xlfn.VALUETOTEXT(COUNTA(E17:E28)*3+COUNTIF(F17:F28,"=●")*3),"件")</f>
        <v>グループF  36件</v>
      </c>
      <c r="F16" s="310"/>
      <c r="G16" s="80">
        <f>SUM(G17:G27)</f>
        <v>7</v>
      </c>
      <c r="H16" s="2">
        <f>SUM(H17:H26)</f>
        <v>0</v>
      </c>
      <c r="I16" s="309" t="str">
        <f>CONCATENATE("グループG  ",_xlfn.VALUETOTEXT(COUNTA(I17:I28)*3+COUNTIF(J17:J28,"=●")*3),"件")</f>
        <v>グループG  42件</v>
      </c>
      <c r="J16" s="310"/>
      <c r="K16" s="80">
        <f>SUM(K17:K28)</f>
        <v>1</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VLOOKUP(A17,'1月'!$B$4:$BQ$342,65,FALSE)</f>
        <v>0</v>
      </c>
      <c r="D17" s="1"/>
      <c r="E17" s="300" t="str">
        <f>'集計表(1～3月) '!E17</f>
        <v>小川　雅規</v>
      </c>
      <c r="F17" s="289">
        <f>'集計表(1～3月) '!F17</f>
        <v>0</v>
      </c>
      <c r="G17" s="173">
        <f>VLOOKUP(E17,'1月'!$B$4:$BQ$342,65,FALSE)</f>
        <v>0</v>
      </c>
      <c r="I17" s="304" t="str">
        <f>'集計表(1～3月) '!I17</f>
        <v>成田　和史</v>
      </c>
      <c r="J17" s="294" t="str">
        <f>'集計表(1～3月) '!J17</f>
        <v>●</v>
      </c>
      <c r="K17" s="173">
        <f>VLOOKUP(I17,'1月'!$B$4:$BQ$342,65,FALSE)</f>
        <v>0</v>
      </c>
      <c r="M17" s="305" t="str">
        <f>'集計表(1～3月) '!M17</f>
        <v>櫛引　康平</v>
      </c>
      <c r="N17" s="289" t="str">
        <f>'集計表(1～3月) '!N17</f>
        <v>●</v>
      </c>
      <c r="O17" s="173">
        <f>VLOOKUP(M17,'1月'!$B$4:$BQ$342,65,FALSE)</f>
        <v>0</v>
      </c>
      <c r="P17" s="2"/>
    </row>
    <row r="18" spans="1:21">
      <c r="A18" s="301" t="str">
        <f>'集計表(1～3月) '!A18</f>
        <v>庭田　留美子</v>
      </c>
      <c r="B18" s="288">
        <f>'集計表(1～3月) '!B18</f>
        <v>0</v>
      </c>
      <c r="C18" s="109">
        <f>VLOOKUP(A18,'1月'!$B$4:$BQ$342,65,FALSE)</f>
        <v>2</v>
      </c>
      <c r="D18" s="1"/>
      <c r="E18" s="339" t="str">
        <f>'集計表(1～3月) '!E18</f>
        <v>上村　郁絵</v>
      </c>
      <c r="F18" s="290">
        <f>'集計表(1～3月) '!F18</f>
        <v>0</v>
      </c>
      <c r="G18" s="82">
        <f>VLOOKUP(E18,'1月'!$B$4:$BQ$342,65,FALSE)</f>
        <v>1</v>
      </c>
      <c r="I18" s="615" t="str">
        <f>'集計表(1～3月) '!I18</f>
        <v>中里　一賢</v>
      </c>
      <c r="J18" s="290" t="str">
        <f>'集計表(1～3月) '!J18</f>
        <v>●</v>
      </c>
      <c r="K18" s="82">
        <f>VLOOKUP(I18,'1月'!$B$4:$BQ$342,65,FALSE)</f>
        <v>1</v>
      </c>
      <c r="M18" s="301" t="str">
        <f>'集計表(1～3月) '!M18</f>
        <v>熊野　大助</v>
      </c>
      <c r="N18" s="290" t="str">
        <f>'集計表(1～3月) '!N18</f>
        <v>●</v>
      </c>
      <c r="O18" s="85">
        <f>VLOOKUP(M18,'1月'!$B$4:$BQ$342,65,FALSE)</f>
        <v>0</v>
      </c>
    </row>
    <row r="19" spans="1:21">
      <c r="A19" s="127" t="str">
        <f>'集計表(1～3月) '!A19</f>
        <v>泉山　郁子</v>
      </c>
      <c r="B19" s="288">
        <f>'集計表(1～3月) '!B19</f>
        <v>0</v>
      </c>
      <c r="C19" s="109">
        <f>VLOOKUP(A19,'1月'!$B$4:$BQ$342,65,FALSE)</f>
        <v>0</v>
      </c>
      <c r="D19" s="1"/>
      <c r="E19" s="125" t="str">
        <f>'集計表(1～3月) '!E19</f>
        <v>大下　里美</v>
      </c>
      <c r="F19" s="290">
        <f>'集計表(1～3月) '!F19</f>
        <v>0</v>
      </c>
      <c r="G19" s="82">
        <f>VLOOKUP(E19,'1月'!$B$4:$BQ$342,65,FALSE)</f>
        <v>0</v>
      </c>
      <c r="I19" s="616" t="str">
        <f>'集計表(1～3月) '!I19</f>
        <v>川井　博和</v>
      </c>
      <c r="J19" s="290" t="str">
        <f>'集計表(1～3月) '!J19</f>
        <v>●</v>
      </c>
      <c r="K19" s="82">
        <f>VLOOKUP(I19,'1月'!$B$4:$BQ$342,65,FALSE)</f>
        <v>0</v>
      </c>
      <c r="M19" s="127" t="str">
        <f>'集計表(1～3月) '!M19</f>
        <v>川合　健司</v>
      </c>
      <c r="N19" s="290">
        <f>'集計表(1～3月) '!N19</f>
        <v>0</v>
      </c>
      <c r="O19" s="85">
        <f>VLOOKUP(M19,'1月'!$B$4:$BQ$342,65,FALSE)</f>
        <v>0</v>
      </c>
      <c r="P19" s="2">
        <f>SUM(P20:P29)</f>
        <v>0</v>
      </c>
    </row>
    <row r="20" spans="1:21">
      <c r="A20" s="127" t="str">
        <f>'集計表(1～3月) '!A20</f>
        <v>岩間　留理子</v>
      </c>
      <c r="B20" s="288">
        <f>'集計表(1～3月) '!B20</f>
        <v>0</v>
      </c>
      <c r="C20" s="109">
        <f>VLOOKUP(A20,'1月'!$B$4:$BQ$342,65,FALSE)</f>
        <v>0</v>
      </c>
      <c r="D20" s="1"/>
      <c r="E20" s="125" t="str">
        <f>'集計表(1～3月) '!E20</f>
        <v>木田　美紀</v>
      </c>
      <c r="F20" s="290">
        <f>'集計表(1～3月) '!F20</f>
        <v>0</v>
      </c>
      <c r="G20" s="82">
        <f>VLOOKUP(E20,'1月'!$B$4:$BQ$342,65,FALSE)</f>
        <v>1</v>
      </c>
      <c r="I20" s="144" t="str">
        <f>'集計表(1～3月) '!I20</f>
        <v>坂井田　一徳</v>
      </c>
      <c r="J20" s="290">
        <f>'集計表(1～3月) '!J20</f>
        <v>0</v>
      </c>
      <c r="K20" s="82">
        <f>VLOOKUP(I20,'1月'!$B$4:$BQ$342,65,FALSE)</f>
        <v>0</v>
      </c>
      <c r="M20" s="127" t="str">
        <f>'集計表(1～3月) '!M20</f>
        <v>細越　加司子</v>
      </c>
      <c r="N20" s="290">
        <f>'集計表(1～3月) '!N20</f>
        <v>0</v>
      </c>
      <c r="O20" s="85">
        <f>VLOOKUP(M20,'1月'!$B$4:$BQ$342,65,FALSE)</f>
        <v>0</v>
      </c>
    </row>
    <row r="21" spans="1:21">
      <c r="A21" s="127" t="str">
        <f>'集計表(1～3月) '!A21</f>
        <v>久保　沙織</v>
      </c>
      <c r="B21" s="288">
        <f>'集計表(1～3月) '!B21</f>
        <v>0</v>
      </c>
      <c r="C21" s="109">
        <f>VLOOKUP(A21,'1月'!$B$4:$BQ$342,65,FALSE)</f>
        <v>0</v>
      </c>
      <c r="D21" s="1"/>
      <c r="E21" s="125" t="str">
        <f>'集計表(1～3月) '!E21</f>
        <v>佐々木　亮</v>
      </c>
      <c r="F21" s="290">
        <f>'集計表(1～3月) '!F21</f>
        <v>0</v>
      </c>
      <c r="G21" s="82">
        <f>VLOOKUP(E21,'1月'!$B$4:$BQ$342,65,FALSE)</f>
        <v>2</v>
      </c>
      <c r="I21" s="127" t="str">
        <f>'集計表(1～3月) '!I21</f>
        <v>下舘　はるみ</v>
      </c>
      <c r="J21" s="290">
        <f>'集計表(1～3月) '!J21</f>
        <v>0</v>
      </c>
      <c r="K21" s="82">
        <f>VLOOKUP(I21,'1月'!$B$4:$BQ$342,65,FALSE)</f>
        <v>0</v>
      </c>
      <c r="M21" s="127" t="str">
        <f>'集計表(1～3月) '!M21</f>
        <v>佐々木　清</v>
      </c>
      <c r="N21" s="290">
        <f>'集計表(1～3月) '!N21</f>
        <v>0</v>
      </c>
      <c r="O21" s="85">
        <f>VLOOKUP(M21,'1月'!$B$4:$BQ$342,65,FALSE)</f>
        <v>0</v>
      </c>
    </row>
    <row r="22" spans="1:21">
      <c r="A22" s="129" t="str">
        <f>'集計表(1～3月) '!A22</f>
        <v>品田　ゆり</v>
      </c>
      <c r="B22" s="290">
        <f>'集計表(1～3月) '!B22</f>
        <v>0</v>
      </c>
      <c r="C22" s="109">
        <f>VLOOKUP(A22,'1月'!$B$4:$BQ$342,65,FALSE)</f>
        <v>0</v>
      </c>
      <c r="D22" s="1"/>
      <c r="E22" s="125" t="str">
        <f>'集計表(1～3月) '!E22</f>
        <v>白坂　弘幸</v>
      </c>
      <c r="F22" s="290">
        <f>'集計表(1～3月) '!F22</f>
        <v>0</v>
      </c>
      <c r="G22" s="82">
        <f>VLOOKUP(E22,'1月'!$B$4:$BQ$342,65,FALSE)</f>
        <v>3</v>
      </c>
      <c r="I22" s="127" t="str">
        <f>'集計表(1～3月) '!I22</f>
        <v>照屋　育子</v>
      </c>
      <c r="J22" s="293">
        <f>'集計表(1～3月) '!J22</f>
        <v>0</v>
      </c>
      <c r="K22" s="82">
        <f>VLOOKUP(I22,'1月'!$B$4:$BQ$342,65,FALSE)</f>
        <v>0</v>
      </c>
      <c r="M22" s="319" t="str">
        <f>'集計表(1～3月) '!M22</f>
        <v>佐々木　めぐみ</v>
      </c>
      <c r="N22" s="290">
        <f>'集計表(1～3月) '!N22</f>
        <v>0</v>
      </c>
      <c r="O22" s="85">
        <f>VLOOKUP(M22,'1月'!$B$4:$BQ$342,65,FALSE)</f>
        <v>0</v>
      </c>
    </row>
    <row r="23" spans="1:21">
      <c r="A23" s="127" t="str">
        <f>'集計表(1～3月) '!A23</f>
        <v>高橋　真理子</v>
      </c>
      <c r="B23" s="288">
        <f>'集計表(1～3月) '!B23</f>
        <v>0</v>
      </c>
      <c r="C23" s="109">
        <f>VLOOKUP(A23,'1月'!$B$4:$BQ$342,65,FALSE)</f>
        <v>0</v>
      </c>
      <c r="D23" s="1"/>
      <c r="E23" s="125" t="str">
        <f>'集計表(1～3月) '!E23</f>
        <v>白戸　祐理</v>
      </c>
      <c r="F23" s="290">
        <f>'集計表(1～3月) '!F23</f>
        <v>0</v>
      </c>
      <c r="G23" s="82">
        <f>VLOOKUP(E23,'1月'!$B$4:$BQ$342,65,FALSE)</f>
        <v>0</v>
      </c>
      <c r="I23" s="144" t="str">
        <f>'集計表(1～3月) '!I23</f>
        <v>中山　知佳</v>
      </c>
      <c r="J23" s="293">
        <f>'集計表(1～3月) '!J23</f>
        <v>0</v>
      </c>
      <c r="K23" s="82">
        <f>VLOOKUP(I23,'1月'!$B$4:$BQ$342,65,FALSE)</f>
        <v>0</v>
      </c>
      <c r="M23" s="144" t="str">
        <f>'集計表(1～3月) '!M23</f>
        <v>佐藤　真夏</v>
      </c>
      <c r="N23" s="293">
        <f>'集計表(1～3月) '!N23</f>
        <v>0</v>
      </c>
      <c r="O23" s="85">
        <f>VLOOKUP(M23,'1月'!$B$4:$BQ$342,65,FALSE)</f>
        <v>0</v>
      </c>
      <c r="P23" s="2"/>
      <c r="Q23" s="139"/>
    </row>
    <row r="24" spans="1:21">
      <c r="A24" s="127" t="str">
        <f>'集計表(1～3月) '!A24</f>
        <v>田名部　丞</v>
      </c>
      <c r="B24" s="290" t="str">
        <f>'集計表(1～3月) '!B24</f>
        <v>●</v>
      </c>
      <c r="C24" s="109">
        <f>VLOOKUP(A24,'1月'!$B$4:$BQ$342,65,FALSE)</f>
        <v>1</v>
      </c>
      <c r="D24" s="1"/>
      <c r="E24" s="125" t="str">
        <f>'集計表(1～3月) '!E24</f>
        <v>田端　克昭</v>
      </c>
      <c r="F24" s="290">
        <f>'集計表(1～3月) '!F24</f>
        <v>0</v>
      </c>
      <c r="G24" s="82">
        <f>VLOOKUP(E24,'1月'!$B$4:$BQ$342,65,FALSE)</f>
        <v>0</v>
      </c>
      <c r="I24" s="144" t="str">
        <f>'集計表(1～3月) '!I24</f>
        <v>新井谷　恵美子</v>
      </c>
      <c r="J24" s="290">
        <f>'集計表(1～3月) '!J24</f>
        <v>0</v>
      </c>
      <c r="K24" s="82">
        <f>VLOOKUP(I24,'1月'!$B$4:$BQ$342,65,FALSE)</f>
        <v>0</v>
      </c>
      <c r="M24" s="127" t="str">
        <f>'集計表(1～3月) '!M24</f>
        <v>滝田　智</v>
      </c>
      <c r="N24" s="290">
        <f>'集計表(1～3月) '!N24</f>
        <v>0</v>
      </c>
      <c r="O24" s="85">
        <f>VLOOKUP(M24,'1月'!$B$4:$BQ$342,65,FALSE)</f>
        <v>0</v>
      </c>
      <c r="U24" s="216"/>
    </row>
    <row r="25" spans="1:21">
      <c r="A25" s="127" t="str">
        <f>'集計表(1～3月) '!A25</f>
        <v>平野　元基</v>
      </c>
      <c r="B25" s="269">
        <f>'集計表(1～3月) '!B25</f>
        <v>0</v>
      </c>
      <c r="C25" s="109">
        <f>VLOOKUP(A25,'1月'!$B$4:$BQ$342,65,FALSE)</f>
        <v>0</v>
      </c>
      <c r="D25" s="1"/>
      <c r="E25" s="129" t="str">
        <f>'集計表(1～3月) '!E25</f>
        <v>西村　夏希</v>
      </c>
      <c r="F25" s="291">
        <f>'集計表(1～3月) '!F25</f>
        <v>0</v>
      </c>
      <c r="G25" s="82">
        <f>VLOOKUP(E25,'1月'!$B$4:$BQ$342,65,FALSE)</f>
        <v>0</v>
      </c>
      <c r="I25" s="319" t="str">
        <f>'集計表(1～3月) '!I25</f>
        <v>野辺地　佳代子</v>
      </c>
      <c r="J25" s="290">
        <f>'集計表(1～3月) '!J25</f>
        <v>0</v>
      </c>
      <c r="K25" s="82">
        <f>VLOOKUP(I25,'1月'!$B$4:$BQ$342,65,FALSE)</f>
        <v>0</v>
      </c>
      <c r="M25" s="127" t="str">
        <f>'集計表(1～3月) '!M25</f>
        <v>寺下　久美子</v>
      </c>
      <c r="N25" s="290">
        <f>'集計表(1～3月) '!N25</f>
        <v>0</v>
      </c>
      <c r="O25" s="85">
        <f>VLOOKUP(M25,'1月'!$B$4:$BQ$342,65,FALSE)</f>
        <v>0</v>
      </c>
      <c r="U25" s="216"/>
    </row>
    <row r="26" spans="1:21">
      <c r="A26" s="127" t="str">
        <f>'集計表(1～3月) '!A26</f>
        <v>古里　剛</v>
      </c>
      <c r="B26" s="320" t="str">
        <f>'集計表(1～3月) '!B26</f>
        <v>●</v>
      </c>
      <c r="C26" s="82">
        <f>VLOOKUP(A26,'1月'!$B$4:$BQ$342,65,FALSE)</f>
        <v>4</v>
      </c>
      <c r="E26" s="127" t="str">
        <f>'集計表(1～3月) '!E26</f>
        <v>橋本　薫</v>
      </c>
      <c r="F26" s="290">
        <f>'集計表(1～3月) '!F26</f>
        <v>0</v>
      </c>
      <c r="G26" s="82">
        <f>VLOOKUP(E26,'1月'!$B$4:$BQ$342,65,FALSE)</f>
        <v>0</v>
      </c>
      <c r="I26" s="319" t="str">
        <f>'集計表(1～3月) '!I26</f>
        <v>山上　幸子</v>
      </c>
      <c r="J26" s="290">
        <f>'集計表(1～3月) '!J26</f>
        <v>0</v>
      </c>
      <c r="K26" s="82">
        <f>VLOOKUP(I26,'1月'!$B$4:$BQ$342,65,FALSE)</f>
        <v>0</v>
      </c>
      <c r="M26" s="343" t="str">
        <f>'集計表(1～3月) '!M26</f>
        <v>中屋敷　蓉子</v>
      </c>
      <c r="N26" s="291">
        <f>'集計表(1～3月) '!N26</f>
        <v>0</v>
      </c>
      <c r="O26" s="177">
        <f>VLOOKUP(M26,'1月'!$B$4:$BQ$342,65,FALSE)</f>
        <v>0</v>
      </c>
      <c r="P26" s="139"/>
      <c r="Q26" s="176"/>
    </row>
    <row r="27" spans="1:21" ht="14.25" thickBot="1">
      <c r="A27" s="126" t="str">
        <f>'集計表(1～3月) '!A27</f>
        <v>宮崎　和久</v>
      </c>
      <c r="B27" s="292">
        <f>'集計表(1～3月) '!B27</f>
        <v>0</v>
      </c>
      <c r="C27" s="174">
        <f>VLOOKUP(A27,'1月'!$B$4:$BQ$342,65,FALSE)</f>
        <v>0</v>
      </c>
      <c r="D27" s="1"/>
      <c r="E27" s="296" t="str">
        <f>'集計表(1～3月) '!E27</f>
        <v>見付　弘美</v>
      </c>
      <c r="F27" s="297">
        <f>'集計表(1～3月) '!F27</f>
        <v>0</v>
      </c>
      <c r="G27" s="84">
        <f>VLOOKUP(E27,'1月'!$B$4:$BQ$342,65,FALSE)</f>
        <v>0</v>
      </c>
      <c r="I27" s="126" t="str">
        <f>'集計表(1～3月) '!I27</f>
        <v>山田　祥弘</v>
      </c>
      <c r="J27" s="292">
        <f>'集計表(1～3月) '!J27</f>
        <v>0</v>
      </c>
      <c r="K27" s="84">
        <f>VLOOKUP(I27,'1月'!$B$4:$BQ$342,65,FALSE)</f>
        <v>0</v>
      </c>
      <c r="M27" s="270" t="str">
        <f>'集計表(1～3月) '!M27</f>
        <v>早川　政子</v>
      </c>
      <c r="N27" s="433">
        <f>'集計表(1～3月) '!N27</f>
        <v>0</v>
      </c>
      <c r="O27" s="84">
        <f>VLOOKUP(M27,'1月'!$B$4:$BQ$342,65,FALSE)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",_xlfn.VALUETOTEXT(COUNTA(A31:A39)*3+COUNTIF(B31:B39,"=●")*3),"件")</f>
        <v>グループI  36件</v>
      </c>
      <c r="B30" s="308"/>
      <c r="C30" s="80">
        <f>SUM(C31:C42)</f>
        <v>11</v>
      </c>
      <c r="E30" s="309" t="str">
        <f>CONCATENATE("グループJ  ",_xlfn.VALUETOTEXT(COUNTA(E31:E41)*3+COUNTIF(F31:F41,"=●")*3),"件")</f>
        <v>グループJ  39件</v>
      </c>
      <c r="F30" s="310"/>
      <c r="G30" s="80">
        <f>SUM(G31:G41)</f>
        <v>2</v>
      </c>
      <c r="H30" s="2">
        <f>SUM(H31:H40)</f>
        <v>0</v>
      </c>
      <c r="I30" s="309" t="str">
        <f>CONCATENATE("グループK  ",_xlfn.VALUETOTEXT(COUNTA(I31:I41)*3+COUNTIF(J31:J41,"=●")*3),"件")</f>
        <v>グループK  45件</v>
      </c>
      <c r="J30" s="310"/>
      <c r="K30" s="80">
        <f>SUM(K31:K42)</f>
        <v>3</v>
      </c>
      <c r="M30" s="309" t="str">
        <f>CONCATENATE("グループL  ",_xlfn.VALUETOTEXT(COUNTA(M31:M42)*3+COUNTIF(N31:N42,"=●")*3),"件")</f>
        <v>グループL  36件</v>
      </c>
      <c r="N30" s="310"/>
      <c r="O30" s="80">
        <f>SUM(O31:O42)</f>
        <v>1</v>
      </c>
      <c r="R30" s="134"/>
    </row>
    <row r="31" spans="1:21" ht="15" customHeight="1" thickTop="1">
      <c r="A31" s="618" t="str">
        <f>'集計表(1～3月) '!A31</f>
        <v>松井　龍平</v>
      </c>
      <c r="B31" s="287">
        <f>'集計表(1～3月) '!B31</f>
        <v>0</v>
      </c>
      <c r="C31" s="173">
        <f>VLOOKUP(A31,'1月'!$B$4:$BQ$342,65,FALSE)</f>
        <v>4</v>
      </c>
      <c r="D31" s="1"/>
      <c r="E31" s="302" t="str">
        <f>'集計表(1～3月) '!E31</f>
        <v>金子　千穂</v>
      </c>
      <c r="F31" s="289" t="str">
        <f>'集計表(1～3月) '!F31</f>
        <v>●</v>
      </c>
      <c r="G31" s="173">
        <f>VLOOKUP(E31,'1月'!$B$4:$BQ$342,65,FALSE)</f>
        <v>2</v>
      </c>
      <c r="I31" s="615" t="str">
        <f>'集計表(1～3月) '!I31</f>
        <v>類家　順</v>
      </c>
      <c r="J31" s="294" t="str">
        <f>'集計表(1～3月) '!J31</f>
        <v>●</v>
      </c>
      <c r="K31" s="173">
        <f>VLOOKUP(I31,'1月'!$B$4:$BQ$342,65,FALSE)</f>
        <v>0</v>
      </c>
      <c r="M31" s="305" t="str">
        <f>'集計表(1～3月) '!M31</f>
        <v>川合　ひとみ</v>
      </c>
      <c r="N31" s="289" t="str">
        <f>'集計表(1～3月) '!N31</f>
        <v>●</v>
      </c>
      <c r="O31" s="173">
        <f>VLOOKUP(M31,'1月'!$B$4:$BQ$342,65,FALSE)</f>
        <v>0</v>
      </c>
      <c r="R31" s="134"/>
    </row>
    <row r="32" spans="1:21" ht="15" customHeight="1">
      <c r="A32" s="301" t="str">
        <f>'集計表(1～3月) '!A32</f>
        <v>佐藤　範和</v>
      </c>
      <c r="B32" s="619" t="str">
        <f>'集計表(1～3月) '!B32</f>
        <v>●</v>
      </c>
      <c r="C32" s="109">
        <f>VLOOKUP(A32,'1月'!$B$4:$BQ$342,65,FALSE)</f>
        <v>0</v>
      </c>
      <c r="D32" s="1"/>
      <c r="E32" s="615" t="str">
        <f>'集計表(1～3月) '!E32</f>
        <v>佐々木　寛人</v>
      </c>
      <c r="F32" s="290" t="str">
        <f>'集計表(1～3月) '!F32</f>
        <v>●</v>
      </c>
      <c r="G32" s="82">
        <f>VLOOKUP(E32,'1月'!$B$4:$BQ$342,65,FALSE)</f>
        <v>0</v>
      </c>
      <c r="I32" s="615" t="str">
        <f>'集計表(1～3月) '!I32</f>
        <v>熊谷　剛</v>
      </c>
      <c r="J32" s="290">
        <f>'集計表(1～3月) '!J32</f>
        <v>0</v>
      </c>
      <c r="K32" s="82">
        <f>VLOOKUP(I32,'1月'!$B$4:$BQ$342,65,FALSE)</f>
        <v>0</v>
      </c>
      <c r="M32" s="301" t="str">
        <f>'集計表(1～3月) '!M32</f>
        <v>澤村　純一</v>
      </c>
      <c r="N32" s="290">
        <f>'集計表(1～3月) '!N32</f>
        <v>0</v>
      </c>
      <c r="O32" s="85">
        <f>VLOOKUP(M32,'1月'!$B$4:$BQ$342,65,FALSE)</f>
        <v>0</v>
      </c>
      <c r="R32" s="134"/>
    </row>
    <row r="33" spans="1:20" ht="15" customHeight="1">
      <c r="A33" s="127" t="str">
        <f>'集計表(1～3月) '!A33</f>
        <v>上村　巧弥</v>
      </c>
      <c r="B33" s="620">
        <f>'集計表(1～3月) '!B33</f>
        <v>0</v>
      </c>
      <c r="C33" s="109">
        <f>VLOOKUP(A33,'1月'!$B$4:$BQ$342,65,FALSE)</f>
        <v>0</v>
      </c>
      <c r="D33" s="1"/>
      <c r="E33" s="616" t="str">
        <f>'集計表(1～3月) '!E33</f>
        <v>小川　菜音</v>
      </c>
      <c r="F33" s="290">
        <f>'集計表(1～3月) '!F33</f>
        <v>0</v>
      </c>
      <c r="G33" s="82">
        <f>VLOOKUP(E33,'1月'!$B$4:$BQ$342,65,FALSE)</f>
        <v>0</v>
      </c>
      <c r="I33" s="616" t="str">
        <f>'集計表(1～3月) '!I33</f>
        <v>木津谷　隆</v>
      </c>
      <c r="J33" s="290" t="str">
        <f>'集計表(1～3月) '!J33</f>
        <v>●</v>
      </c>
      <c r="K33" s="82">
        <f>VLOOKUP(I33,'1月'!$B$4:$BQ$342,65,FALSE)</f>
        <v>1</v>
      </c>
      <c r="M33" s="127" t="str">
        <f>'集計表(1～3月) '!M33</f>
        <v>赤坂　輝明</v>
      </c>
      <c r="N33" s="290">
        <f>'集計表(1～3月) '!N33</f>
        <v>0</v>
      </c>
      <c r="O33" s="85">
        <f>VLOOKUP(M33,'1月'!$B$4:$BQ$342,65,FALSE)</f>
        <v>0</v>
      </c>
      <c r="P33" s="217"/>
      <c r="R33" s="134"/>
    </row>
    <row r="34" spans="1:20" ht="15" customHeight="1">
      <c r="A34" s="127" t="str">
        <f>'集計表(1～3月) '!A34</f>
        <v>大坂　真知子</v>
      </c>
      <c r="B34" s="620">
        <f>'集計表(1～3月) '!B34</f>
        <v>0</v>
      </c>
      <c r="C34" s="109">
        <f>VLOOKUP(A34,'1月'!$B$4:$BQ$342,65,FALSE)</f>
        <v>0</v>
      </c>
      <c r="D34" s="1"/>
      <c r="E34" s="616" t="str">
        <f>'集計表(1～3月) '!E34</f>
        <v>小黒　真智</v>
      </c>
      <c r="F34" s="290">
        <f>'集計表(1～3月) '!F34</f>
        <v>0</v>
      </c>
      <c r="G34" s="82">
        <f>VLOOKUP(E34,'1月'!$B$4:$BQ$342,65,FALSE)</f>
        <v>0</v>
      </c>
      <c r="I34" s="616" t="str">
        <f>'集計表(1～3月) '!I34</f>
        <v>小泉　洋之</v>
      </c>
      <c r="J34" s="290" t="str">
        <f>'集計表(1～3月) '!J34</f>
        <v>●</v>
      </c>
      <c r="K34" s="82">
        <f>VLOOKUP(I34,'1月'!$B$4:$BQ$342,65,FALSE)</f>
        <v>2</v>
      </c>
      <c r="M34" s="127" t="str">
        <f>'集計表(1～3月) '!M34</f>
        <v>熊谷　しぐれ</v>
      </c>
      <c r="N34" s="290">
        <f>'集計表(1～3月) '!N34</f>
        <v>0</v>
      </c>
      <c r="O34" s="85">
        <f>VLOOKUP(M34,'1月'!$B$4:$BQ$342,65,FALSE)</f>
        <v>0</v>
      </c>
      <c r="P34" s="2">
        <f>SUM(P35:P42)</f>
        <v>0</v>
      </c>
      <c r="Q34" s="175"/>
      <c r="R34" s="134"/>
    </row>
    <row r="35" spans="1:20" ht="15" customHeight="1">
      <c r="A35" s="127" t="str">
        <f>'集計表(1～3月) '!A35</f>
        <v>舘　博美</v>
      </c>
      <c r="B35" s="620" t="str">
        <f>'集計表(1～3月) '!B35</f>
        <v>●</v>
      </c>
      <c r="C35" s="109">
        <f>VLOOKUP(A35,'1月'!$B$4:$BQ$342,65,FALSE)</f>
        <v>3</v>
      </c>
      <c r="D35" s="1"/>
      <c r="E35" s="616" t="str">
        <f>'集計表(1～3月) '!E35</f>
        <v>佐々木　智子</v>
      </c>
      <c r="F35" s="290">
        <f>'集計表(1～3月) '!F35</f>
        <v>0</v>
      </c>
      <c r="G35" s="82">
        <f>VLOOKUP(E35,'1月'!$B$4:$BQ$342,65,FALSE)</f>
        <v>0</v>
      </c>
      <c r="I35" s="616" t="str">
        <f>'集計表(1～3月) '!I35</f>
        <v>種市　由希枝</v>
      </c>
      <c r="J35" s="290">
        <f>'集計表(1～3月) '!J35</f>
        <v>0</v>
      </c>
      <c r="K35" s="82">
        <f>VLOOKUP(I35,'1月'!$B$4:$BQ$342,65,FALSE)</f>
        <v>0</v>
      </c>
      <c r="M35" s="319" t="str">
        <f>'集計表(1～3月) '!M35</f>
        <v>佐々木　史弥</v>
      </c>
      <c r="N35" s="290">
        <f>'集計表(1～3月) '!N35</f>
        <v>0</v>
      </c>
      <c r="O35" s="85">
        <f>VLOOKUP(M35,'1月'!$B$4:$BQ$342,65,FALSE)</f>
        <v>0</v>
      </c>
      <c r="R35" s="134"/>
    </row>
    <row r="36" spans="1:20" ht="15" customHeight="1">
      <c r="A36" s="127" t="str">
        <f>'集計表(1～3月) '!A36</f>
        <v>野口　美幸</v>
      </c>
      <c r="B36" s="620">
        <f>'集計表(1～3月) '!B36</f>
        <v>0</v>
      </c>
      <c r="C36" s="109">
        <f>VLOOKUP(A36,'1月'!$B$4:$BQ$342,65,FALSE)</f>
        <v>2</v>
      </c>
      <c r="D36" s="1"/>
      <c r="E36" s="616" t="str">
        <f>'集計表(1～3月) '!E36</f>
        <v>佐藤　弘子</v>
      </c>
      <c r="F36" s="290">
        <f>'集計表(1～3月) '!F36</f>
        <v>0</v>
      </c>
      <c r="G36" s="82">
        <f>VLOOKUP(E36,'1月'!$B$4:$BQ$342,65,FALSE)</f>
        <v>0</v>
      </c>
      <c r="I36" s="616" t="str">
        <f>'集計表(1～3月) '!I36</f>
        <v>沼田　智子</v>
      </c>
      <c r="J36" s="290">
        <f>'集計表(1～3月) '!J36</f>
        <v>0</v>
      </c>
      <c r="K36" s="82">
        <f>VLOOKUP(I36,'1月'!$B$4:$BQ$342,65,FALSE)</f>
        <v>0</v>
      </c>
      <c r="M36" s="127" t="str">
        <f>'集計表(1～3月) '!M36</f>
        <v>佐々木　美知子</v>
      </c>
      <c r="N36" s="290">
        <f>'集計表(1～3月) '!N36</f>
        <v>0</v>
      </c>
      <c r="O36" s="85">
        <f>VLOOKUP(M36,'1月'!$B$4:$BQ$342,65,FALSE)</f>
        <v>1</v>
      </c>
      <c r="R36" s="134"/>
      <c r="S36" s="138"/>
      <c r="T36" s="138"/>
    </row>
    <row r="37" spans="1:20" ht="15" customHeight="1">
      <c r="A37" s="127" t="str">
        <f>'集計表(1～3月) '!A37</f>
        <v>畠山　真美</v>
      </c>
      <c r="B37" s="620">
        <f>'集計表(1～3月) '!B37</f>
        <v>0</v>
      </c>
      <c r="C37" s="109">
        <f>VLOOKUP(A37,'1月'!$B$4:$BQ$342,65,FALSE)</f>
        <v>0</v>
      </c>
      <c r="D37" s="1"/>
      <c r="E37" s="621" t="str">
        <f>'集計表(1～3月) '!E37</f>
        <v>田中　幸子</v>
      </c>
      <c r="F37" s="290">
        <f>'集計表(1～3月) '!F37</f>
        <v>0</v>
      </c>
      <c r="G37" s="82">
        <f>VLOOKUP(E37,'1月'!$B$4:$BQ$342,65,FALSE)</f>
        <v>0</v>
      </c>
      <c r="I37" s="616" t="str">
        <f>'集計表(1～3月) '!I37</f>
        <v>古舘　優紀</v>
      </c>
      <c r="J37" s="290">
        <f>'集計表(1～3月) '!J37</f>
        <v>0</v>
      </c>
      <c r="K37" s="82">
        <f>VLOOKUP(I37,'1月'!$B$4:$BQ$342,65,FALSE)</f>
        <v>0</v>
      </c>
      <c r="M37" s="144" t="str">
        <f>'集計表(1～3月) '!M37</f>
        <v>杉渕　恵美</v>
      </c>
      <c r="N37" s="293">
        <f>'集計表(1～3月) '!N37</f>
        <v>0</v>
      </c>
      <c r="O37" s="85">
        <f>VLOOKUP(M37,'1月'!$B$4:$BQ$342,65,FALSE)</f>
        <v>0</v>
      </c>
      <c r="R37" s="134"/>
      <c r="S37" s="138"/>
      <c r="T37" s="138"/>
    </row>
    <row r="38" spans="1:20" ht="15" customHeight="1">
      <c r="A38" s="127" t="str">
        <f>'集計表(1～3月) '!A38</f>
        <v>水野　美佳</v>
      </c>
      <c r="B38" s="620">
        <f>'集計表(1～3月) '!B38</f>
        <v>0</v>
      </c>
      <c r="C38" s="109">
        <f>VLOOKUP(A38,'1月'!$B$4:$BQ$342,65,FALSE)</f>
        <v>0</v>
      </c>
      <c r="D38" s="1"/>
      <c r="E38" s="616" t="str">
        <f>'集計表(1～3月) '!E38</f>
        <v>中城　裕子</v>
      </c>
      <c r="F38" s="290">
        <f>'集計表(1～3月) '!F38</f>
        <v>0</v>
      </c>
      <c r="G38" s="82">
        <f>VLOOKUP(E38,'1月'!$B$4:$BQ$342,65,FALSE)</f>
        <v>0</v>
      </c>
      <c r="I38" s="616" t="str">
        <f>'集計表(1～3月) '!I38</f>
        <v>古町　朋子</v>
      </c>
      <c r="J38" s="290">
        <f>'集計表(1～3月) '!J38</f>
        <v>0</v>
      </c>
      <c r="K38" s="82">
        <f>VLOOKUP(I38,'1月'!$B$4:$BQ$342,65,FALSE)</f>
        <v>0</v>
      </c>
      <c r="M38" s="127" t="str">
        <f>'集計表(1～3月) '!M38</f>
        <v>高橋　公司</v>
      </c>
      <c r="N38" s="290">
        <f>'集計表(1～3月) '!N38</f>
        <v>0</v>
      </c>
      <c r="O38" s="85">
        <f>VLOOKUP(M38,'1月'!$B$4:$BQ$342,65,FALSE)</f>
        <v>0</v>
      </c>
      <c r="R38" s="134"/>
      <c r="S38" s="138"/>
      <c r="T38" s="138"/>
    </row>
    <row r="39" spans="1:20" ht="15" customHeight="1">
      <c r="A39" s="343" t="str">
        <f>'集計表(1～3月) '!A39</f>
        <v>山口　美幸</v>
      </c>
      <c r="B39" s="617" t="str">
        <f>'集計表(1～3月) '!B39</f>
        <v>●</v>
      </c>
      <c r="C39" s="446">
        <f>VLOOKUP(A39,'1月'!$B$4:$BQ$342,65,FALSE)</f>
        <v>2</v>
      </c>
      <c r="D39" s="1"/>
      <c r="E39" s="127" t="str">
        <f>'集計表(1～3月) '!E39</f>
        <v>古舘　美香</v>
      </c>
      <c r="F39" s="291">
        <f>'集計表(1～3月) '!F39</f>
        <v>0</v>
      </c>
      <c r="G39" s="82">
        <f>VLOOKUP(E39,'1月'!$B$4:$BQ$342,65,FALSE)</f>
        <v>0</v>
      </c>
      <c r="I39" s="616" t="str">
        <f>'集計表(1～3月) '!I39</f>
        <v>古谷　裕美</v>
      </c>
      <c r="J39" s="290" t="str">
        <f>'集計表(1～3月) '!J39</f>
        <v>●</v>
      </c>
      <c r="K39" s="82">
        <f>VLOOKUP(I39,'1月'!$B$4:$BQ$342,65,FALSE)</f>
        <v>0</v>
      </c>
      <c r="M39" s="127" t="str">
        <f>'集計表(1～3月) '!M39</f>
        <v>中村　ゆかり</v>
      </c>
      <c r="N39" s="290">
        <f>'集計表(1～3月) '!N39</f>
        <v>0</v>
      </c>
      <c r="O39" s="85">
        <f>VLOOKUP(M39,'1月'!$B$4:$BQ$342,65,FALSE)</f>
        <v>0</v>
      </c>
      <c r="R39" s="134"/>
      <c r="S39" s="138"/>
      <c r="T39" s="138"/>
    </row>
    <row r="40" spans="1:20" ht="15" customHeight="1" thickBot="1">
      <c r="A40" s="126" t="str">
        <f>'集計表(1～3月) '!A40</f>
        <v>山田　隆広</v>
      </c>
      <c r="B40" s="292">
        <f>'集計表(1～3月) '!B40</f>
        <v>0</v>
      </c>
      <c r="C40" s="174">
        <f>VLOOKUP(A40,'1月'!$B$4:$BQ$342,65,FALSE)</f>
        <v>0</v>
      </c>
      <c r="E40" s="126" t="str">
        <f>'集計表(1～3月) '!E40</f>
        <v>八木田　那幸</v>
      </c>
      <c r="F40" s="292">
        <f>'集計表(1～3月) '!F40</f>
        <v>0</v>
      </c>
      <c r="G40" s="84">
        <f>VLOOKUP(E40,'1月'!$B$4:$BQ$342,65,FALSE)</f>
        <v>0</v>
      </c>
      <c r="I40" s="616" t="str">
        <f>'集計表(1～3月) '!I40</f>
        <v>八重畑　美里</v>
      </c>
      <c r="J40" s="290">
        <f>'集計表(1～3月) '!J40</f>
        <v>0</v>
      </c>
      <c r="K40" s="82">
        <f>VLOOKUP(I40,'1月'!$B$4:$BQ$342,65,FALSE)</f>
        <v>0</v>
      </c>
      <c r="M40" s="127" t="str">
        <f>'集計表(1～3月) '!M40</f>
        <v>松坂　百華</v>
      </c>
      <c r="N40" s="290">
        <f>'集計表(1～3月) '!N40</f>
        <v>0</v>
      </c>
      <c r="O40" s="85">
        <f>VLOOKUP(M40,'1月'!$B$4:$BQ$342,65,FALSE)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439" t="str">
        <f>'集計表(1～3月) '!I41</f>
        <v>工藤　虹都</v>
      </c>
      <c r="J41" s="667">
        <f>'集計表(1～3月) '!J41</f>
        <v>0</v>
      </c>
      <c r="K41" s="191">
        <f>VLOOKUP(I41,'1月'!$B$4:$BQ$342,65,FALSE)</f>
        <v>0</v>
      </c>
      <c r="M41" s="126" t="str">
        <f>'集計表(1～3月) '!M41</f>
        <v>武藤　雅子</v>
      </c>
      <c r="N41" s="292">
        <f>'集計表(1～3月) '!N41</f>
        <v>0</v>
      </c>
      <c r="O41" s="191">
        <f>VLOOKUP(M41,'1月'!$B$4:$BQ$342,65,FALSE)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22" t="str">
        <f ca="1">TEXT(IF(TODAY()&lt;DATE(2025,1,31),TODAY(),DATE(2025,1,31)),"yyyy/m/dd")</f>
        <v>2025/1/16</v>
      </c>
      <c r="N44" s="722"/>
      <c r="O44" s="722"/>
      <c r="R44" s="134"/>
      <c r="S44" s="138"/>
      <c r="T44" s="138"/>
    </row>
    <row r="45" spans="1:20" ht="15" customHeight="1" thickBot="1">
      <c r="A45" s="307" t="str">
        <f>CONCATENATE("グループM  ",_xlfn.VALUETOTEXT(COUNTA(A46:A56)*3+COUNTIF(B46:B56,"=●")*3),"件")</f>
        <v>グループM  36件</v>
      </c>
      <c r="B45" s="308"/>
      <c r="C45" s="80">
        <f>SUM(C46:C56)</f>
        <v>6</v>
      </c>
      <c r="E45" s="309" t="str">
        <f>CONCATENATE("グループN  ",_xlfn.VALUETOTEXT(COUNTA(E46:E54)*3+COUNTIF(F46:F54,"=●")*3),"件")</f>
        <v>グループN  33件</v>
      </c>
      <c r="F45" s="310"/>
      <c r="G45" s="80">
        <f>SUM(G46:G55)</f>
        <v>3</v>
      </c>
      <c r="I45" s="274" t="s">
        <v>250</v>
      </c>
      <c r="J45" s="281"/>
      <c r="K45" s="80">
        <f>SUM(K46:K54)</f>
        <v>9</v>
      </c>
      <c r="M45" s="722"/>
      <c r="N45" s="722"/>
      <c r="O45" s="722"/>
    </row>
    <row r="46" spans="1:20" ht="15" customHeight="1" thickTop="1">
      <c r="A46" s="300" t="str">
        <f>'集計表(1～3月) '!A46</f>
        <v>伊藤　秀智</v>
      </c>
      <c r="B46" s="287">
        <f>'集計表(1～3月) '!B46</f>
        <v>0</v>
      </c>
      <c r="C46" s="173">
        <f>VLOOKUP(A46,'1月'!$B$4:$BQ$342,65,FALSE)</f>
        <v>2</v>
      </c>
      <c r="D46" s="1"/>
      <c r="E46" s="302" t="str">
        <f>'集計表(1～3月) '!E46</f>
        <v>田名部　昌義</v>
      </c>
      <c r="F46" s="289" t="str">
        <f>'集計表(1～3月) '!F46</f>
        <v>●</v>
      </c>
      <c r="G46" s="173">
        <f>VLOOKUP(E46,'1月'!$B$4:$BQ$342,65,FALSE)</f>
        <v>1</v>
      </c>
      <c r="I46" s="279" t="str">
        <f>'集計表(1～3月) '!I46</f>
        <v>八田　守立</v>
      </c>
      <c r="J46" s="282"/>
      <c r="K46" s="173">
        <f>VLOOKUP(I46,'1月'!$B$4:$BQ$342,65,FALSE)</f>
        <v>2</v>
      </c>
      <c r="M46" s="725" t="s">
        <v>325</v>
      </c>
      <c r="N46" s="725"/>
      <c r="O46" s="725"/>
    </row>
    <row r="47" spans="1:20" ht="15" customHeight="1">
      <c r="A47" s="301" t="str">
        <f>'集計表(1～3月) '!A47</f>
        <v>岡本　良一</v>
      </c>
      <c r="B47" s="288" t="str">
        <f>'集計表(1～3月) '!B47</f>
        <v>●</v>
      </c>
      <c r="C47" s="109">
        <f>VLOOKUP(A47,'1月'!$B$4:$BQ$342,65,FALSE)</f>
        <v>3</v>
      </c>
      <c r="D47" s="1"/>
      <c r="E47" s="401" t="str">
        <f>'集計表(1～3月) '!E47</f>
        <v>工藤　翔平</v>
      </c>
      <c r="F47" s="290" t="str">
        <f>'集計表(1～3月) '!F47</f>
        <v>●</v>
      </c>
      <c r="G47" s="82">
        <f>VLOOKUP(E47,'1月'!$B$4:$BQ$342,65,FALSE)</f>
        <v>2</v>
      </c>
      <c r="I47" s="616" t="str">
        <f>'集計表(1～3月) '!I47</f>
        <v>中村　充穂</v>
      </c>
      <c r="J47" s="619"/>
      <c r="K47" s="82">
        <f>VLOOKUP(I47,'1月'!$B$4:$BQ$342,65,FALSE)</f>
        <v>0</v>
      </c>
      <c r="M47" s="725"/>
      <c r="N47" s="725"/>
      <c r="O47" s="725"/>
    </row>
    <row r="48" spans="1:20" ht="15" customHeight="1">
      <c r="A48" s="127" t="str">
        <f>'集計表(1～3月) '!A48</f>
        <v>赤坂　友輔</v>
      </c>
      <c r="B48" s="288">
        <f>'集計表(1～3月) '!B48</f>
        <v>0</v>
      </c>
      <c r="C48" s="109">
        <f>VLOOKUP(A48,'1月'!$B$4:$BQ$342,65,FALSE)</f>
        <v>0</v>
      </c>
      <c r="D48" s="1"/>
      <c r="E48" s="623" t="str">
        <f>'集計表(1～3月) '!E48</f>
        <v>石井　智帆</v>
      </c>
      <c r="F48" s="290">
        <f>'集計表(1～3月) '!F48</f>
        <v>0</v>
      </c>
      <c r="G48" s="82">
        <f>VLOOKUP(E48,'1月'!$B$4:$BQ$342,65,FALSE)</f>
        <v>0</v>
      </c>
      <c r="I48" s="128" t="str">
        <f>'集計表(1～3月) '!I48</f>
        <v>八田　香菜子</v>
      </c>
      <c r="J48" s="135"/>
      <c r="K48" s="177">
        <f>VLOOKUP(I48,'1月'!$B$4:$BQ$342,65,FALSE)</f>
        <v>5</v>
      </c>
      <c r="M48" s="722" t="s">
        <v>200</v>
      </c>
      <c r="N48" s="722"/>
      <c r="O48" s="722"/>
    </row>
    <row r="49" spans="1:24" ht="15" customHeight="1" thickBot="1">
      <c r="A49" s="127" t="str">
        <f>'集計表(1～3月) '!A49</f>
        <v>大久保　理恵</v>
      </c>
      <c r="B49" s="288">
        <f>'集計表(1～3月) '!B49</f>
        <v>0</v>
      </c>
      <c r="C49" s="109">
        <f>VLOOKUP(A49,'1月'!$B$4:$BQ$342,65,FALSE)</f>
        <v>0</v>
      </c>
      <c r="D49" s="1"/>
      <c r="E49" s="616" t="str">
        <f>'集計表(1～3月) '!E49</f>
        <v>貝守　竜哉</v>
      </c>
      <c r="F49" s="290">
        <f>'集計表(1～3月) '!F49</f>
        <v>0</v>
      </c>
      <c r="G49" s="82">
        <f>VLOOKUP(E49,'1月'!$B$4:$BQ$342,65,FALSE)</f>
        <v>0</v>
      </c>
      <c r="I49" s="616" t="str">
        <f>'集計表(1～3月) '!I49</f>
        <v>八田　雄太</v>
      </c>
      <c r="J49" s="619"/>
      <c r="K49" s="82">
        <f>VLOOKUP(I49,'1月'!$B$4:$BQ$342,65,FALSE)</f>
        <v>0</v>
      </c>
      <c r="L49" s="227"/>
      <c r="M49" s="726"/>
      <c r="N49" s="726"/>
      <c r="O49" s="726"/>
    </row>
    <row r="50" spans="1:24" ht="15" customHeight="1">
      <c r="A50" s="127" t="str">
        <f>'集計表(1～3月) '!A50</f>
        <v>熊野　実佳</v>
      </c>
      <c r="B50" s="288">
        <f>'集計表(1～3月) '!B50</f>
        <v>0</v>
      </c>
      <c r="C50" s="109">
        <f>VLOOKUP(A50,'1月'!$B$4:$BQ$342,65,FALSE)</f>
        <v>0</v>
      </c>
      <c r="D50" s="1"/>
      <c r="E50" s="616" t="str">
        <f>'集計表(1～3月) '!E50</f>
        <v>坂ノ上　愛莉</v>
      </c>
      <c r="F50" s="290">
        <f>'集計表(1～3月) '!F50</f>
        <v>0</v>
      </c>
      <c r="G50" s="82">
        <f>VLOOKUP(E50,'1月'!$B$4:$BQ$342,65,FALSE)</f>
        <v>0</v>
      </c>
      <c r="I50" s="280" t="str">
        <f>'集計表(1～3月) '!I50</f>
        <v>八田　安啓</v>
      </c>
      <c r="J50" s="275"/>
      <c r="K50" s="177">
        <f>VLOOKUP(I50,'1月'!$B$4:$BQ$342,65,FALSE)</f>
        <v>0</v>
      </c>
      <c r="L50" s="231"/>
      <c r="M50" s="727" t="e">
        <f>IF('1月'!BN405 = SUM(K45,G45,C45,C30,G30,K30,O30,O16,K16,G16,C16,C2,G2,K2,O2,C66,G66,K66,G73,G78,G79,C80),'1月'!BN405,0)</f>
        <v>#REF!</v>
      </c>
      <c r="N50" s="728"/>
      <c r="O50" s="731" t="s">
        <v>120</v>
      </c>
    </row>
    <row r="51" spans="1:24" ht="15" customHeight="1" thickBot="1">
      <c r="A51" s="127" t="str">
        <f>'集計表(1～3月) '!A51</f>
        <v>倉島　清子</v>
      </c>
      <c r="B51" s="288">
        <f>'集計表(1～3月) '!B51</f>
        <v>0</v>
      </c>
      <c r="C51" s="109">
        <f>VLOOKUP(A51,'1月'!$B$4:$BQ$342,65,FALSE)</f>
        <v>0</v>
      </c>
      <c r="D51" s="1"/>
      <c r="E51" s="616" t="str">
        <f>'集計表(1～3月) '!E51</f>
        <v>関川　哲一</v>
      </c>
      <c r="F51" s="290">
        <f>'集計表(1～3月) '!F51</f>
        <v>0</v>
      </c>
      <c r="G51" s="82">
        <f>VLOOKUP(E51,'1月'!$B$4:$BQ$342,65,FALSE)</f>
        <v>0</v>
      </c>
      <c r="I51" s="616" t="str">
        <f>'集計表(1～3月) '!I51</f>
        <v>桜庭　雅寛</v>
      </c>
      <c r="J51" s="619"/>
      <c r="K51" s="82">
        <f>VLOOKUP(I51,'1月'!$B$4:$BQ$342,65,FALSE)</f>
        <v>1</v>
      </c>
      <c r="L51" s="231"/>
      <c r="M51" s="729"/>
      <c r="N51" s="730"/>
      <c r="O51" s="732"/>
    </row>
    <row r="52" spans="1:24" ht="15" customHeight="1">
      <c r="A52" s="127" t="str">
        <f>'集計表(1～3月) '!A52</f>
        <v>清水　ミチ子</v>
      </c>
      <c r="B52" s="288">
        <f>'集計表(1～3月) '!B52</f>
        <v>0</v>
      </c>
      <c r="C52" s="109">
        <f>VLOOKUP(A52,'1月'!$B$4:$BQ$342,65,FALSE)</f>
        <v>1</v>
      </c>
      <c r="D52" s="1"/>
      <c r="E52" s="616" t="str">
        <f>'集計表(1～3月) '!E52</f>
        <v>髙橋　桐子</v>
      </c>
      <c r="F52" s="290">
        <f>'集計表(1～3月) '!F52</f>
        <v>0</v>
      </c>
      <c r="G52" s="82">
        <f>VLOOKUP(E52,'1月'!$B$4:$BQ$342,65,FALSE)</f>
        <v>0</v>
      </c>
      <c r="I52" s="128" t="str">
        <f>'集計表(1～3月) '!I52</f>
        <v>鷹幸　弘尚</v>
      </c>
      <c r="J52" s="134"/>
      <c r="K52" s="177">
        <f>VLOOKUP(I52,'1月'!$B$4:$BQ$342,65,FALSE)</f>
        <v>0</v>
      </c>
      <c r="L52" s="231"/>
      <c r="M52" s="733">
        <f>'1月'!BO405</f>
        <v>112</v>
      </c>
      <c r="N52" s="734"/>
      <c r="O52" s="719" t="s">
        <v>194</v>
      </c>
      <c r="P52" s="114"/>
    </row>
    <row r="53" spans="1:24" ht="15" customHeight="1" thickBot="1">
      <c r="A53" s="127" t="str">
        <f>'集計表(1～3月) '!A53</f>
        <v>西村　裕美</v>
      </c>
      <c r="B53" s="290">
        <f>'集計表(1～3月) '!B53</f>
        <v>0</v>
      </c>
      <c r="C53" s="109">
        <f>VLOOKUP(A53,'1月'!$B$4:$BQ$342,65,FALSE)</f>
        <v>0</v>
      </c>
      <c r="D53" s="1"/>
      <c r="E53" s="616" t="str">
        <f>'集計表(1～3月) '!E53</f>
        <v>松橋　明日香</v>
      </c>
      <c r="F53" s="290">
        <f>'集計表(1～3月) '!F53</f>
        <v>0</v>
      </c>
      <c r="G53" s="82">
        <f>VLOOKUP(E53,'1月'!$B$4:$BQ$342,65,FALSE)</f>
        <v>0</v>
      </c>
      <c r="I53" s="616" t="str">
        <f>'集計表(1～3月) '!I53</f>
        <v>細越　利章</v>
      </c>
      <c r="J53" s="619"/>
      <c r="K53" s="82">
        <f>VLOOKUP(I53,'1月'!$B$4:$BQ$342,65,FALSE)</f>
        <v>1</v>
      </c>
      <c r="L53" s="231"/>
      <c r="M53" s="735"/>
      <c r="N53" s="736"/>
      <c r="O53" s="720"/>
      <c r="P53" s="114"/>
    </row>
    <row r="54" spans="1:24" ht="15" customHeight="1">
      <c r="A54" s="127" t="str">
        <f>'集計表(1～3月) '!A54</f>
        <v>沼田　久子</v>
      </c>
      <c r="B54" s="269">
        <f>'集計表(1～3月) '!B54</f>
        <v>0</v>
      </c>
      <c r="C54" s="109">
        <f>VLOOKUP(A54,'1月'!$B$4:$BQ$342,65,FALSE)</f>
        <v>0</v>
      </c>
      <c r="D54" s="1"/>
      <c r="E54" s="622" t="str">
        <f>'集計表(1～3月) '!E54</f>
        <v>安ヶ平　真由美</v>
      </c>
      <c r="F54" s="291">
        <f>'集計表(1～3月) '!F54</f>
        <v>0</v>
      </c>
      <c r="G54" s="83">
        <f>VLOOKUP(E54,'1月'!$B$4:$BQ$342,65,FALSE)</f>
        <v>0</v>
      </c>
      <c r="I54" s="578" t="str">
        <f>'集計表(1～3月) '!I54</f>
        <v>中村　英満</v>
      </c>
      <c r="J54" s="124"/>
      <c r="K54" s="177">
        <f>VLOOKUP(I54,'1月'!$B$4:$BQ$342,65,FALSE)</f>
        <v>0</v>
      </c>
    </row>
    <row r="55" spans="1:24" ht="15" customHeight="1" thickBot="1">
      <c r="A55" s="127" t="str">
        <f>'集計表(1～3月) '!A55</f>
        <v>母良田　幸子</v>
      </c>
      <c r="B55" s="299">
        <f>'集計表(1～3月) '!B55</f>
        <v>0</v>
      </c>
      <c r="C55" s="82">
        <f>VLOOKUP(A55,'1月'!$B$4:$BQ$342,65,FALSE)</f>
        <v>0</v>
      </c>
      <c r="E55" s="126" t="str">
        <f>'集計表(1～3月) '!E55</f>
        <v>山下　三鶴</v>
      </c>
      <c r="F55" s="292">
        <f>'集計表(1～3月) '!F55</f>
        <v>0</v>
      </c>
      <c r="G55" s="84">
        <f>VLOOKUP(E55,'1月'!$B$4:$BQ$342,65,FALSE)</f>
        <v>0</v>
      </c>
      <c r="I55" s="132" t="str">
        <f>'集計表(1～3月) '!I55</f>
        <v>佐野　俊彦</v>
      </c>
      <c r="J55" s="624"/>
      <c r="K55" s="84">
        <f>VLOOKUP(I55,'1月'!$B$4:$BQ$342,65,FALSE)</f>
        <v>1</v>
      </c>
      <c r="T55" s="313"/>
      <c r="U55" s="138"/>
      <c r="V55" s="311"/>
      <c r="W55" s="138"/>
      <c r="X55" s="217"/>
    </row>
    <row r="56" spans="1:24" ht="14.25" thickBot="1">
      <c r="A56" s="126" t="str">
        <f>'集計表(1～3月) '!A56</f>
        <v>松原　英利</v>
      </c>
      <c r="B56" s="292">
        <f>'集計表(1～3月) '!B56</f>
        <v>0</v>
      </c>
      <c r="C56" s="174">
        <f>VLOOKUP(A56,'1月'!$B$4:$BQ$342,65,FALSE)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1</v>
      </c>
      <c r="W57" s="140">
        <f>G66</f>
        <v>2</v>
      </c>
      <c r="X57" s="317">
        <v>30</v>
      </c>
    </row>
    <row r="58" spans="1:24" ht="14.25" customHeight="1">
      <c r="E58" s="184"/>
      <c r="F58" s="184"/>
      <c r="G58" s="184"/>
      <c r="H58" s="184"/>
      <c r="T58" s="342" t="s">
        <v>259</v>
      </c>
      <c r="U58" s="286">
        <f>COUNTA(I67:I85)</f>
        <v>19</v>
      </c>
      <c r="V58" s="140">
        <f>COUNTIF(K67:K85,"&gt;=1")</f>
        <v>5</v>
      </c>
      <c r="W58" s="140">
        <f>K66</f>
        <v>9</v>
      </c>
      <c r="X58" s="317">
        <v>100</v>
      </c>
    </row>
    <row r="59" spans="1:24" ht="14.25" customHeight="1">
      <c r="A59" s="721"/>
      <c r="B59" s="721"/>
      <c r="C59" s="721"/>
      <c r="D59" s="184"/>
      <c r="E59" s="192"/>
      <c r="F59" s="192"/>
      <c r="G59" s="192"/>
      <c r="H59" s="192"/>
      <c r="T59" s="271" t="s">
        <v>260</v>
      </c>
      <c r="U59" s="283">
        <f>COUNTA(A67:A74)</f>
        <v>8</v>
      </c>
      <c r="V59" s="140">
        <f>COUNTIF(C67:C74,"&gt;=1")</f>
        <v>1</v>
      </c>
      <c r="W59" s="140">
        <f>C66</f>
        <v>3</v>
      </c>
      <c r="X59" s="317">
        <v>40</v>
      </c>
    </row>
    <row r="60" spans="1:24" ht="14.25" customHeight="1" thickBot="1">
      <c r="A60" s="721"/>
      <c r="B60" s="721"/>
      <c r="C60" s="721"/>
      <c r="D60" s="184"/>
      <c r="E60" s="184"/>
      <c r="F60" s="184"/>
      <c r="G60" s="184"/>
      <c r="H60" s="184"/>
      <c r="T60" s="341" t="s">
        <v>317</v>
      </c>
      <c r="U60" s="314"/>
      <c r="V60" s="436"/>
      <c r="W60" s="298">
        <f>G73+G78+G79</f>
        <v>3</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3</v>
      </c>
      <c r="D66" s="3"/>
      <c r="E66" s="715" t="s">
        <v>54</v>
      </c>
      <c r="F66" s="716"/>
      <c r="G66" s="220">
        <f>SUM(G67:G71)</f>
        <v>2</v>
      </c>
      <c r="H66" s="3"/>
      <c r="I66" s="715" t="s">
        <v>69</v>
      </c>
      <c r="J66" s="716"/>
      <c r="K66" s="220">
        <f>SUM(K67:K91)</f>
        <v>9</v>
      </c>
      <c r="L66" s="3"/>
    </row>
    <row r="67" spans="1:12" ht="14.25" thickTop="1">
      <c r="A67" s="130" t="str">
        <f>'集計表(1～3月) '!A67</f>
        <v>石橋　優子</v>
      </c>
      <c r="B67" s="267"/>
      <c r="C67" s="173">
        <f>VLOOKUP(A67,'1月'!$B$4:$BQ$342,65,FALSE)</f>
        <v>0</v>
      </c>
      <c r="D67" s="3"/>
      <c r="E67" s="125" t="str">
        <f>'集計表(1～3月) '!E67</f>
        <v>林　覚弘</v>
      </c>
      <c r="F67" s="277"/>
      <c r="G67" s="173">
        <f>VLOOKUP(E67,'1月'!$B$4:$BQ$342,65,FALSE)</f>
        <v>0</v>
      </c>
      <c r="H67" s="3"/>
      <c r="I67" s="130" t="str">
        <f>'集計表(1～3月) '!I67</f>
        <v>赤坂　和子</v>
      </c>
      <c r="J67" s="230"/>
      <c r="K67" s="173">
        <f>VLOOKUP(I67,'1月'!$B$4:$BQ$342,65,FALSE)</f>
        <v>0</v>
      </c>
      <c r="L67" s="3"/>
    </row>
    <row r="68" spans="1:12">
      <c r="A68" s="131" t="str">
        <f>'集計表(1～3月) '!A68</f>
        <v>上田　敏子</v>
      </c>
      <c r="B68" s="228"/>
      <c r="C68" s="223">
        <f>VLOOKUP(A68,'1月'!$B$4:$BQ$342,65,FALSE)</f>
        <v>3</v>
      </c>
      <c r="D68" s="3"/>
      <c r="E68" s="125" t="str">
        <f>'集計表(1～3月) '!E68</f>
        <v>松橋　誠</v>
      </c>
      <c r="F68" s="277"/>
      <c r="G68" s="198">
        <f>VLOOKUP(E68,'1月'!$B$4:$BQ$342,65,FALSE)</f>
        <v>2</v>
      </c>
      <c r="H68" s="3"/>
      <c r="I68" s="131" t="str">
        <f>'集計表(1～3月) '!I68</f>
        <v>赤坂　純子</v>
      </c>
      <c r="J68" s="228"/>
      <c r="K68" s="198">
        <f>VLOOKUP(I68,'1月'!$B$4:$BQ$342,65,FALSE)</f>
        <v>0</v>
      </c>
      <c r="L68" s="3"/>
    </row>
    <row r="69" spans="1:12">
      <c r="A69" s="131" t="str">
        <f>'集計表(1～3月) '!A69</f>
        <v>齋藤　小百合</v>
      </c>
      <c r="B69" s="228"/>
      <c r="C69" s="223">
        <f>VLOOKUP(A69,'1月'!$B$4:$BQ$342,65,FALSE)</f>
        <v>0</v>
      </c>
      <c r="D69" s="3"/>
      <c r="E69" s="125" t="str">
        <f>'集計表(1～3月) '!E69</f>
        <v>三田　亮</v>
      </c>
      <c r="F69" s="277"/>
      <c r="G69" s="198">
        <f>VLOOKUP(E69,'1月'!$B$4:$BQ$342,65,FALSE)</f>
        <v>0</v>
      </c>
      <c r="H69" s="3"/>
      <c r="I69" s="158" t="str">
        <f>'集計表(1～3月) '!I69</f>
        <v>榎本　明美</v>
      </c>
      <c r="J69" s="226"/>
      <c r="K69" s="198">
        <f>VLOOKUP(I69,'1月'!$B$4:$BQ$342,65,FALSE)</f>
        <v>2</v>
      </c>
      <c r="L69" s="3"/>
    </row>
    <row r="70" spans="1:12">
      <c r="A70" s="131" t="str">
        <f>'集計表(1～3月) '!A70</f>
        <v>鹿内　美海</v>
      </c>
      <c r="B70" s="228"/>
      <c r="C70" s="223">
        <f>VLOOKUP(A70,'1月'!$B$4:$BQ$342,65,FALSE)</f>
        <v>0</v>
      </c>
      <c r="D70" s="3"/>
      <c r="E70" s="125" t="str">
        <f>'集計表(1～3月) '!E70</f>
        <v>橋本　収史</v>
      </c>
      <c r="F70" s="277"/>
      <c r="G70" s="221">
        <f>VLOOKUP(E70,'1月'!$B$4:$BQ$342,65,FALSE)</f>
        <v>0</v>
      </c>
      <c r="H70" s="3"/>
      <c r="I70" s="131" t="str">
        <f>'集計表(1～3月) '!I70</f>
        <v>大前　順子</v>
      </c>
      <c r="J70" s="228"/>
      <c r="K70" s="198">
        <f>VLOOKUP(I70,'1月'!$B$4:$BQ$342,65,FALSE)</f>
        <v>0</v>
      </c>
      <c r="L70" s="3"/>
    </row>
    <row r="71" spans="1:12" ht="14.25" thickBot="1">
      <c r="A71" s="131" t="str">
        <f>'集計表(1～3月) '!A71</f>
        <v>田中　良子</v>
      </c>
      <c r="B71" s="228"/>
      <c r="C71" s="223">
        <f>VLOOKUP(A71,'1月'!$B$4:$BQ$342,65,FALSE)</f>
        <v>0</v>
      </c>
      <c r="D71" s="3"/>
      <c r="E71" s="270">
        <f>'集計表(1～3月) '!E71</f>
        <v>0</v>
      </c>
      <c r="F71" s="278"/>
      <c r="G71" s="199"/>
      <c r="H71" s="3"/>
      <c r="I71" s="131" t="str">
        <f>'集計表(1～3月) '!I71</f>
        <v>小笠原　桂子</v>
      </c>
      <c r="J71" s="228"/>
      <c r="K71" s="198">
        <f>VLOOKUP(I71,'1月'!$B$4:$BQ$342,65,FALSE)</f>
        <v>0</v>
      </c>
      <c r="L71" s="3"/>
    </row>
    <row r="72" spans="1:12" ht="14.25" thickBot="1">
      <c r="A72" s="131" t="str">
        <f>'集計表(1～3月) '!A72</f>
        <v>中村　章子</v>
      </c>
      <c r="B72" s="228"/>
      <c r="C72" s="223">
        <f>VLOOKUP(A72,'1月'!$B$4:$BQ$342,65,FALSE)</f>
        <v>0</v>
      </c>
      <c r="D72" s="3"/>
      <c r="I72" s="131" t="str">
        <f>'集計表(1～3月) '!I72</f>
        <v>小笠原　幹子</v>
      </c>
      <c r="J72" s="228"/>
      <c r="K72" s="198">
        <f>VLOOKUP(I72,'1月'!$B$4:$BQ$342,65,FALSE)</f>
        <v>2</v>
      </c>
      <c r="L72" s="3"/>
    </row>
    <row r="73" spans="1:12" ht="14.25" thickBot="1">
      <c r="A73" s="133" t="str">
        <f>'集計表(1～3月) '!A73</f>
        <v>林　京子</v>
      </c>
      <c r="B73" s="268"/>
      <c r="C73" s="223">
        <f>VLOOKUP(A73,'1月'!$B$4:$BQ$342,65,FALSE)</f>
        <v>0</v>
      </c>
      <c r="D73" s="3"/>
      <c r="E73" s="715" t="s">
        <v>58</v>
      </c>
      <c r="F73" s="716"/>
      <c r="G73" s="80">
        <f>SUM(G74:G75)</f>
        <v>1</v>
      </c>
      <c r="I73" s="131" t="str">
        <f>'集計表(1～3月) '!I73</f>
        <v>貝守　美奈子</v>
      </c>
      <c r="J73" s="228"/>
      <c r="K73" s="198">
        <f>VLOOKUP(I73,'1月'!$B$4:$BQ$342,65,FALSE)</f>
        <v>0</v>
      </c>
      <c r="L73" s="3"/>
    </row>
    <row r="74" spans="1:12" ht="14.25" thickTop="1">
      <c r="A74" s="133" t="str">
        <f>'集計表(1～3月) '!A74</f>
        <v>三上　紗津</v>
      </c>
      <c r="B74" s="268"/>
      <c r="C74" s="223">
        <f>VLOOKUP(A74,'1月'!$B$4:$BQ$342,65,FALSE)</f>
        <v>0</v>
      </c>
      <c r="D74" s="3"/>
      <c r="E74" s="717" t="str">
        <f>'集計表(1～3月) '!E74</f>
        <v>サポーター・他</v>
      </c>
      <c r="F74" s="718"/>
      <c r="G74" s="81">
        <f>'1月'!BN400</f>
        <v>1</v>
      </c>
      <c r="I74" s="131" t="str">
        <f>'集計表(1～3月) '!I74</f>
        <v>川守田　潤子</v>
      </c>
      <c r="J74" s="228"/>
      <c r="K74" s="198">
        <f>VLOOKUP(I74,'1月'!$B$4:$BQ$342,65,FALSE)</f>
        <v>1</v>
      </c>
      <c r="L74" s="3"/>
    </row>
    <row r="75" spans="1:12" ht="14.25" thickBot="1">
      <c r="A75" s="133">
        <f>'集計表(1～3月) '!A75</f>
        <v>0</v>
      </c>
      <c r="B75" s="268"/>
      <c r="C75" s="223"/>
      <c r="D75" s="3"/>
      <c r="E75" s="713" t="str">
        <f>'集計表(1～3月) '!E75</f>
        <v>取引先業者</v>
      </c>
      <c r="F75" s="714"/>
      <c r="G75" s="84">
        <f>'1月'!BN401</f>
        <v>0</v>
      </c>
      <c r="I75" s="131" t="str">
        <f>'集計表(1～3月) '!I75</f>
        <v>木村　かつ</v>
      </c>
      <c r="J75" s="228"/>
      <c r="K75" s="198">
        <f>VLOOKUP(I75,'1月'!$B$4:$BQ$342,65,FALSE)</f>
        <v>0</v>
      </c>
      <c r="L75" s="3"/>
    </row>
    <row r="76" spans="1:12">
      <c r="A76" s="133">
        <f>'集計表(1～3月) '!A76</f>
        <v>0</v>
      </c>
      <c r="B76" s="268"/>
      <c r="C76" s="223"/>
      <c r="D76" s="3"/>
      <c r="E76" s="783"/>
      <c r="F76" s="783"/>
      <c r="I76" s="131" t="str">
        <f>'集計表(1～3月) '!I76</f>
        <v>木村　紀子</v>
      </c>
      <c r="J76" s="228"/>
      <c r="K76" s="198">
        <f>VLOOKUP(I76,'1月'!$B$4:$BQ$342,65,FALSE)</f>
        <v>2</v>
      </c>
      <c r="L76" s="3"/>
    </row>
    <row r="77" spans="1:12" ht="14.25" thickBot="1">
      <c r="A77" s="132">
        <f>'集計表(1～3月) '!A77</f>
        <v>0</v>
      </c>
      <c r="B77" s="229"/>
      <c r="C77" s="224"/>
      <c r="D77" s="3"/>
      <c r="I77" s="131" t="str">
        <f>'集計表(1～3月) '!I77</f>
        <v>斉藤　尚子</v>
      </c>
      <c r="J77" s="228"/>
      <c r="K77" s="198">
        <f>VLOOKUP(I77,'1月'!$B$4:$BQ$342,65,FALSE)</f>
        <v>2</v>
      </c>
      <c r="L77" s="3"/>
    </row>
    <row r="78" spans="1:12">
      <c r="E78" s="723" t="str">
        <f>'集計表(1～3月) '!E78</f>
        <v>互助会本部</v>
      </c>
      <c r="F78" s="724"/>
      <c r="G78" s="90">
        <f>'1月'!BN244</f>
        <v>2</v>
      </c>
      <c r="I78" s="131" t="str">
        <f>'集計表(1～3月) '!I78</f>
        <v>坂　美穂子</v>
      </c>
      <c r="J78" s="228"/>
      <c r="K78" s="198">
        <f>VLOOKUP(I78,'1月'!$B$4:$BQ$342,65,FALSE)</f>
        <v>0</v>
      </c>
      <c r="L78" s="3"/>
    </row>
    <row r="79" spans="1:12" ht="14.25" thickBot="1">
      <c r="E79" s="713" t="str">
        <f>'集計表(1～3月) '!E79</f>
        <v>受籍</v>
      </c>
      <c r="F79" s="714"/>
      <c r="G79" s="84">
        <f>'1月'!BN245</f>
        <v>0</v>
      </c>
      <c r="I79" s="131" t="str">
        <f>'集計表(1～3月) '!I79</f>
        <v>坂ノ上　由紀</v>
      </c>
      <c r="J79" s="228"/>
      <c r="K79" s="198">
        <f>VLOOKUP(I79,'1月'!$B$4:$BQ$342,65,FALSE)</f>
        <v>0</v>
      </c>
      <c r="L79" s="3"/>
    </row>
    <row r="80" spans="1:12">
      <c r="C80" s="403">
        <f>SUM(C83:C85)</f>
        <v>0</v>
      </c>
      <c r="E80" s="139"/>
      <c r="F80" s="139"/>
      <c r="I80" s="131" t="str">
        <f>'集計表(1～3月) '!I80</f>
        <v>白石　華奈子</v>
      </c>
      <c r="J80" s="228"/>
      <c r="K80" s="198">
        <f>VLOOKUP(I80,'1月'!$B$4:$BQ$342,65,FALSE)</f>
        <v>0</v>
      </c>
      <c r="L80" s="3"/>
    </row>
    <row r="81" spans="1:12">
      <c r="A81" s="614" t="str">
        <f>'集計表(1～3月) '!A81</f>
        <v>小笠原　勉</v>
      </c>
      <c r="B81" s="403"/>
      <c r="C81" s="415">
        <f>VLOOKUP(A81,'1月'!$B$4:$BQ$342,65,FALSE)</f>
        <v>0</v>
      </c>
      <c r="I81" s="131" t="str">
        <f>'集計表(1～3月) '!I81</f>
        <v>清野　由貴子</v>
      </c>
      <c r="J81" s="228"/>
      <c r="K81" s="198">
        <f>VLOOKUP(I81,'1月'!$B$4:$BQ$342,65,FALSE)</f>
        <v>0</v>
      </c>
      <c r="L81" s="3"/>
    </row>
    <row r="82" spans="1:12">
      <c r="A82" s="614" t="str">
        <f>'集計表(1～3月) '!A82</f>
        <v>川戸　真由美</v>
      </c>
      <c r="B82" s="403"/>
      <c r="C82" s="415">
        <f>VLOOKUP(A82,'1月'!$B$4:$BQ$342,65,FALSE)</f>
        <v>0</v>
      </c>
      <c r="I82" s="131" t="str">
        <f>'集計表(1～3月) '!I82</f>
        <v>玉川　妙子</v>
      </c>
      <c r="J82" s="228"/>
      <c r="K82" s="198">
        <f>VLOOKUP(I82,'1月'!$B$4:$BQ$342,65,FALSE)</f>
        <v>0</v>
      </c>
      <c r="L82" s="3"/>
    </row>
    <row r="83" spans="1:12">
      <c r="A83" s="614" t="str">
        <f>'集計表(1～3月) '!A83</f>
        <v>根城　雅子</v>
      </c>
      <c r="B83" s="290"/>
      <c r="C83" s="415">
        <f>VLOOKUP(A83,'1月'!$B$4:$BQ$342,65,FALSE)</f>
        <v>0</v>
      </c>
      <c r="I83" s="131" t="str">
        <f>'集計表(1～3月) '!I83</f>
        <v>林下　恵</v>
      </c>
      <c r="J83" s="228"/>
      <c r="K83" s="198">
        <f>VLOOKUP(I83,'1月'!$B$4:$BQ$342,65,FALSE)</f>
        <v>0</v>
      </c>
      <c r="L83" s="3"/>
    </row>
    <row r="84" spans="1:12">
      <c r="A84" s="124"/>
      <c r="C84" s="613"/>
      <c r="I84" s="131" t="str">
        <f>'集計表(1～3月) '!I84</f>
        <v>山村　恭代</v>
      </c>
      <c r="J84" s="228"/>
      <c r="K84" s="198">
        <f>VLOOKUP(I84,'1月'!$B$4:$BQ$342,65,FALSE)</f>
        <v>0</v>
      </c>
      <c r="L84" s="3"/>
    </row>
    <row r="85" spans="1:12">
      <c r="A85" s="124"/>
      <c r="C85" s="613"/>
      <c r="I85" s="131" t="str">
        <f>'集計表(1～3月) '!I85</f>
        <v>山本　えり子</v>
      </c>
      <c r="J85" s="228"/>
      <c r="K85" s="198">
        <f>VLOOKUP(I85,'1月'!$B$4:$BQ$342,65,FALSE)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0" spans="2:45">
      <c r="C130" s="2">
        <f>COUNTIF(B133:B142,"*")</f>
        <v>0</v>
      </c>
    </row>
    <row r="133" spans="2:45" ht="14.25" customHeight="1">
      <c r="B133" s="668"/>
    </row>
    <row r="143" spans="2:45">
      <c r="D143" s="2">
        <f>SUM(D133:D142)</f>
        <v>0</v>
      </c>
      <c r="E143" s="2">
        <f t="shared" ref="E143:AS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E2BE-46BA-40DB-A763-441A0088B500}">
  <sheetPr codeName="Sheet7">
    <pageSetUpPr fitToPage="1"/>
  </sheetPr>
  <dimension ref="B1:BR441"/>
  <sheetViews>
    <sheetView view="pageBreakPreview" zoomScale="40" zoomScaleNormal="40" zoomScaleSheetLayoutView="40" workbookViewId="0">
      <pane xSplit="2" ySplit="3" topLeftCell="P234" activePane="bottomRight" state="frozen"/>
      <selection pane="topRight" activeCell="C1" sqref="C1"/>
      <selection pane="bottomLeft" activeCell="A4" sqref="A4"/>
      <selection pane="bottomRight" activeCell="BP362" sqref="BP362"/>
    </sheetView>
  </sheetViews>
  <sheetFormatPr defaultRowHeight="21"/>
  <cols>
    <col min="1" max="1" width="3" customWidth="1"/>
    <col min="2" max="2" width="30.625" style="1" customWidth="1"/>
    <col min="3" max="3" width="4.75" style="150" customWidth="1"/>
    <col min="4" max="37" width="8.625" style="7" customWidth="1"/>
    <col min="38" max="65" width="8.625" customWidth="1"/>
    <col min="68" max="68" width="14.25" bestFit="1" customWidth="1"/>
  </cols>
  <sheetData>
    <row r="1" spans="2:70" ht="24.95" customHeight="1">
      <c r="B1" s="743" t="s">
        <v>60</v>
      </c>
      <c r="C1" s="745">
        <f>COUNTIF(B4:B23,"*")</f>
        <v>15</v>
      </c>
      <c r="D1" s="741">
        <v>1</v>
      </c>
      <c r="E1" s="741"/>
      <c r="F1" s="741">
        <v>2</v>
      </c>
      <c r="G1" s="741"/>
      <c r="H1" s="741">
        <v>3</v>
      </c>
      <c r="I1" s="741"/>
      <c r="J1" s="741">
        <v>4</v>
      </c>
      <c r="K1" s="741"/>
      <c r="L1" s="741">
        <v>5</v>
      </c>
      <c r="M1" s="741"/>
      <c r="N1" s="741">
        <v>6</v>
      </c>
      <c r="O1" s="741"/>
      <c r="P1" s="741">
        <v>7</v>
      </c>
      <c r="Q1" s="741"/>
      <c r="R1" s="741">
        <v>8</v>
      </c>
      <c r="S1" s="741"/>
      <c r="T1" s="741">
        <v>9</v>
      </c>
      <c r="U1" s="741"/>
      <c r="V1" s="741">
        <v>10</v>
      </c>
      <c r="W1" s="741"/>
      <c r="X1" s="741">
        <v>11</v>
      </c>
      <c r="Y1" s="741"/>
      <c r="Z1" s="741">
        <v>12</v>
      </c>
      <c r="AA1" s="741"/>
      <c r="AB1" s="741">
        <v>13</v>
      </c>
      <c r="AC1" s="741"/>
      <c r="AD1" s="741">
        <v>14</v>
      </c>
      <c r="AE1" s="741"/>
      <c r="AF1" s="741">
        <v>15</v>
      </c>
      <c r="AG1" s="741"/>
      <c r="AH1" s="741">
        <v>16</v>
      </c>
      <c r="AI1" s="741"/>
      <c r="AJ1" s="741">
        <v>17</v>
      </c>
      <c r="AK1" s="741"/>
      <c r="AL1" s="741">
        <v>18</v>
      </c>
      <c r="AM1" s="741"/>
      <c r="AN1" s="741">
        <v>19</v>
      </c>
      <c r="AO1" s="741"/>
      <c r="AP1" s="741">
        <v>20</v>
      </c>
      <c r="AQ1" s="741"/>
      <c r="AR1" s="741">
        <v>21</v>
      </c>
      <c r="AS1" s="741"/>
      <c r="AT1" s="741">
        <v>22</v>
      </c>
      <c r="AU1" s="741"/>
      <c r="AV1" s="741">
        <v>23</v>
      </c>
      <c r="AW1" s="741"/>
      <c r="AX1" s="741">
        <v>24</v>
      </c>
      <c r="AY1" s="741"/>
      <c r="AZ1" s="741">
        <v>25</v>
      </c>
      <c r="BA1" s="741"/>
      <c r="BB1" s="741">
        <v>26</v>
      </c>
      <c r="BC1" s="741"/>
      <c r="BD1" s="741">
        <v>27</v>
      </c>
      <c r="BE1" s="741"/>
      <c r="BF1" s="741">
        <v>28</v>
      </c>
      <c r="BG1" s="741"/>
      <c r="BH1" s="741">
        <v>29</v>
      </c>
      <c r="BI1" s="741"/>
      <c r="BJ1" s="741">
        <v>30</v>
      </c>
      <c r="BK1" s="741"/>
      <c r="BL1" s="741">
        <v>31</v>
      </c>
      <c r="BM1" s="741"/>
      <c r="BN1" s="738" t="s">
        <v>251</v>
      </c>
      <c r="BO1" s="760"/>
      <c r="BP1" s="763" t="s">
        <v>354</v>
      </c>
      <c r="BQ1" s="788"/>
    </row>
    <row r="2" spans="2:70" ht="24.95" customHeight="1">
      <c r="B2" s="744"/>
      <c r="C2" s="746"/>
      <c r="D2" s="785" t="s">
        <v>122</v>
      </c>
      <c r="E2" s="785"/>
      <c r="F2" s="785" t="s">
        <v>71</v>
      </c>
      <c r="G2" s="785"/>
      <c r="H2" s="785" t="s">
        <v>74</v>
      </c>
      <c r="I2" s="785"/>
      <c r="J2" s="785" t="s">
        <v>75</v>
      </c>
      <c r="K2" s="785"/>
      <c r="L2" s="785" t="s">
        <v>76</v>
      </c>
      <c r="M2" s="785"/>
      <c r="N2" s="785" t="s">
        <v>77</v>
      </c>
      <c r="O2" s="785"/>
      <c r="P2" s="785" t="s">
        <v>78</v>
      </c>
      <c r="Q2" s="785"/>
      <c r="R2" s="785" t="s">
        <v>79</v>
      </c>
      <c r="S2" s="785"/>
      <c r="T2" s="785" t="s">
        <v>71</v>
      </c>
      <c r="U2" s="785"/>
      <c r="V2" s="785" t="s">
        <v>74</v>
      </c>
      <c r="W2" s="785"/>
      <c r="X2" s="785" t="s">
        <v>75</v>
      </c>
      <c r="Y2" s="785"/>
      <c r="Z2" s="785" t="s">
        <v>76</v>
      </c>
      <c r="AA2" s="785"/>
      <c r="AB2" s="785" t="s">
        <v>77</v>
      </c>
      <c r="AC2" s="785"/>
      <c r="AD2" s="785" t="s">
        <v>78</v>
      </c>
      <c r="AE2" s="785"/>
      <c r="AF2" s="785" t="s">
        <v>79</v>
      </c>
      <c r="AG2" s="785"/>
      <c r="AH2" s="785" t="s">
        <v>71</v>
      </c>
      <c r="AI2" s="785"/>
      <c r="AJ2" s="785" t="s">
        <v>74</v>
      </c>
      <c r="AK2" s="785"/>
      <c r="AL2" s="785" t="s">
        <v>75</v>
      </c>
      <c r="AM2" s="785"/>
      <c r="AN2" s="785" t="s">
        <v>76</v>
      </c>
      <c r="AO2" s="785"/>
      <c r="AP2" s="785" t="s">
        <v>77</v>
      </c>
      <c r="AQ2" s="785"/>
      <c r="AR2" s="785" t="s">
        <v>78</v>
      </c>
      <c r="AS2" s="785"/>
      <c r="AT2" s="785" t="s">
        <v>79</v>
      </c>
      <c r="AU2" s="785"/>
      <c r="AV2" s="785" t="s">
        <v>71</v>
      </c>
      <c r="AW2" s="785"/>
      <c r="AX2" s="785" t="s">
        <v>74</v>
      </c>
      <c r="AY2" s="785"/>
      <c r="AZ2" s="785" t="s">
        <v>75</v>
      </c>
      <c r="BA2" s="785"/>
      <c r="BB2" s="785" t="s">
        <v>76</v>
      </c>
      <c r="BC2" s="785"/>
      <c r="BD2" s="785" t="s">
        <v>77</v>
      </c>
      <c r="BE2" s="785"/>
      <c r="BF2" s="785" t="s">
        <v>78</v>
      </c>
      <c r="BG2" s="785"/>
      <c r="BH2" s="785" t="s">
        <v>79</v>
      </c>
      <c r="BI2" s="785"/>
      <c r="BJ2" s="785" t="s">
        <v>71</v>
      </c>
      <c r="BK2" s="785"/>
      <c r="BL2" s="785" t="s">
        <v>74</v>
      </c>
      <c r="BM2" s="785"/>
      <c r="BN2" s="761"/>
      <c r="BO2" s="762"/>
      <c r="BP2" s="789"/>
      <c r="BQ2" s="790"/>
    </row>
    <row r="3" spans="2:70" ht="24.95" customHeight="1">
      <c r="B3" s="744"/>
      <c r="C3" s="747"/>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107" t="s">
        <v>73</v>
      </c>
      <c r="AH3" s="482" t="s">
        <v>72</v>
      </c>
      <c r="AI3" s="481"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523" t="s">
        <v>253</v>
      </c>
      <c r="BQ3" s="99" t="s">
        <v>73</v>
      </c>
    </row>
    <row r="4" spans="2:70" ht="45" customHeight="1">
      <c r="B4" s="553" t="str">
        <f>'1月'!$B$4</f>
        <v>石井　智帆</v>
      </c>
      <c r="C4" s="554"/>
      <c r="D4" s="555"/>
      <c r="E4" s="556"/>
      <c r="F4" s="555"/>
      <c r="G4" s="556"/>
      <c r="H4" s="555"/>
      <c r="I4" s="556"/>
      <c r="J4" s="555"/>
      <c r="K4" s="556"/>
      <c r="L4" s="555"/>
      <c r="M4" s="556"/>
      <c r="N4" s="555"/>
      <c r="O4" s="556"/>
      <c r="P4" s="555"/>
      <c r="Q4" s="556"/>
      <c r="R4" s="555"/>
      <c r="S4" s="556"/>
      <c r="T4" s="555"/>
      <c r="U4" s="556"/>
      <c r="V4" s="555"/>
      <c r="W4" s="556"/>
      <c r="X4" s="555"/>
      <c r="Y4" s="556"/>
      <c r="Z4" s="18"/>
      <c r="AA4" s="14"/>
      <c r="AB4" s="18"/>
      <c r="AC4" s="14"/>
      <c r="AD4" s="18"/>
      <c r="AE4" s="14"/>
      <c r="AF4" s="18"/>
      <c r="AG4" s="15"/>
      <c r="AH4" s="18"/>
      <c r="AI4" s="14"/>
      <c r="AJ4" s="555"/>
      <c r="AK4" s="556"/>
      <c r="AL4" s="555"/>
      <c r="AM4" s="556"/>
      <c r="AN4" s="555"/>
      <c r="AO4" s="556"/>
      <c r="AP4" s="555"/>
      <c r="AQ4" s="556"/>
      <c r="AR4" s="555"/>
      <c r="AS4" s="556"/>
      <c r="AT4" s="555"/>
      <c r="AU4" s="556"/>
      <c r="AV4" s="555"/>
      <c r="AW4" s="556"/>
      <c r="AX4" s="555"/>
      <c r="AY4" s="556"/>
      <c r="AZ4" s="555"/>
      <c r="BA4" s="556"/>
      <c r="BB4" s="555"/>
      <c r="BC4" s="556"/>
      <c r="BD4" s="18"/>
      <c r="BE4" s="14"/>
      <c r="BF4" s="18"/>
      <c r="BG4" s="14"/>
      <c r="BH4" s="18"/>
      <c r="BI4" s="14"/>
      <c r="BJ4" s="18"/>
      <c r="BK4" s="14"/>
      <c r="BL4" s="521"/>
      <c r="BM4" s="522"/>
      <c r="BN4" s="102">
        <f>SUM(D4,F4,H4,J4,L4,N4,P4,R4,T4,V4,X4,Z4,AB4,AD4,AF4,AH4,AJ4,AL4,AN4,AP4,AR4,AT4,AV4,AX4,AZ4,BB4,BD4,BF4,BH4,BJ4,BL4)</f>
        <v>0</v>
      </c>
      <c r="BO4" s="47">
        <f>SUM(E4,G4,I4,K4,M4,O4,Q4,S4,U4,W4,Y4,AA4,AC4,AE4,AG4,AI4,AK4,AM4,AO4,AQ4,AS4,AU4,AW4,AY4,BA4,BC4,BE4,BG4,BI4,BK4,BM4)</f>
        <v>0</v>
      </c>
      <c r="BP4" s="631">
        <f>INDEX('1月'!$B$4:$BQ$375,MATCH('2月'!B4,'1月'!$B$4:$B$375,0),67)+BN4</f>
        <v>0</v>
      </c>
      <c r="BQ4" s="702">
        <f>INDEX('1月'!$B$4:$BQ$375,MATCH('2月'!B4,'1月'!$B$4:$B$375,0),68)+BO4</f>
        <v>0</v>
      </c>
      <c r="BR4">
        <f>INDEX(B4:BQ23,12,67)</f>
        <v>0</v>
      </c>
    </row>
    <row r="5" spans="2:70" s="4" customFormat="1" ht="50.1" customHeight="1">
      <c r="B5" s="201" t="str">
        <f>'1月'!$B$5</f>
        <v>小笠原　健一</v>
      </c>
      <c r="C5" s="145"/>
      <c r="D5" s="18"/>
      <c r="E5" s="14"/>
      <c r="F5" s="18"/>
      <c r="G5" s="14"/>
      <c r="H5" s="18"/>
      <c r="I5" s="14"/>
      <c r="J5" s="18"/>
      <c r="K5" s="14"/>
      <c r="L5" s="18"/>
      <c r="M5" s="14"/>
      <c r="N5" s="18"/>
      <c r="O5" s="14"/>
      <c r="P5" s="18"/>
      <c r="Q5" s="14"/>
      <c r="R5" s="18"/>
      <c r="S5" s="14"/>
      <c r="T5" s="18"/>
      <c r="U5" s="14"/>
      <c r="V5" s="18"/>
      <c r="W5" s="14"/>
      <c r="X5" s="18"/>
      <c r="Y5" s="14"/>
      <c r="Z5" s="18"/>
      <c r="AA5" s="14"/>
      <c r="AB5" s="18"/>
      <c r="AC5" s="14"/>
      <c r="AD5" s="18"/>
      <c r="AE5" s="14"/>
      <c r="AF5" s="18"/>
      <c r="AG5" s="15"/>
      <c r="AH5" s="18"/>
      <c r="AI5" s="14"/>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4"/>
      <c r="BL5" s="521"/>
      <c r="BM5" s="522"/>
      <c r="BN5" s="102">
        <f t="shared" ref="BN5:BN23" si="0">SUM(D5,F5,H5,J5,L5,N5,P5,R5,T5,V5,X5,Z5,AB5,AD5,AF5,AH5,AJ5,AL5,AN5,AP5,AR5,AT5,AV5,AX5,AZ5,BB5,BD5,BF5,BH5,BJ5,BL5)</f>
        <v>0</v>
      </c>
      <c r="BO5" s="47">
        <f t="shared" ref="BO5:BO23" si="1">SUM(E5,G5,I5,K5,M5,O5,Q5,S5,U5,W5,Y5,AA5,AC5,AE5,AG5,AI5,AK5,AM5,AO5,AQ5,AS5,AU5,AW5,AY5,BA5,BC5,BE5,BG5,BI5,BK5,BM5)</f>
        <v>0</v>
      </c>
      <c r="BP5" s="631">
        <f>INDEX('1月'!$B$4:$BQ$375,MATCH('2月'!B5,'1月'!$B$4:$B$375,0),67)+BN5</f>
        <v>0</v>
      </c>
      <c r="BQ5" s="702">
        <f>INDEX('1月'!$B$4:$BQ$375,MATCH('2月'!B5,'1月'!$B$4:$B$375,0),68)+BO5</f>
        <v>0</v>
      </c>
    </row>
    <row r="6" spans="2:70" s="4" customFormat="1" ht="50.1" customHeight="1">
      <c r="B6" s="201" t="str">
        <f>'1月'!$B$6</f>
        <v>小笠原　勉</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15"/>
      <c r="AH6" s="13"/>
      <c r="AI6" s="14"/>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4"/>
      <c r="BN6" s="102">
        <f t="shared" si="0"/>
        <v>0</v>
      </c>
      <c r="BO6" s="47">
        <f t="shared" si="1"/>
        <v>0</v>
      </c>
      <c r="BP6" s="631">
        <f>INDEX('1月'!$B$4:$BQ$375,MATCH('2月'!B6,'1月'!$B$4:$B$375,0),67)+BN6</f>
        <v>0</v>
      </c>
      <c r="BQ6" s="702">
        <f>INDEX('1月'!$B$4:$BQ$375,MATCH('2月'!B6,'1月'!$B$4:$B$375,0),68)+BO6</f>
        <v>0</v>
      </c>
    </row>
    <row r="7" spans="2:70" s="4" customFormat="1" ht="50.1" customHeight="1">
      <c r="B7" s="201" t="str">
        <f>'1月'!$B$7</f>
        <v>川合　健司</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4"/>
      <c r="BN7" s="102">
        <f t="shared" si="0"/>
        <v>0</v>
      </c>
      <c r="BO7" s="47">
        <f t="shared" si="1"/>
        <v>0</v>
      </c>
      <c r="BP7" s="631">
        <f>INDEX('1月'!$B$4:$BQ$375,MATCH('2月'!B7,'1月'!$B$4:$B$375,0),67)+BN7</f>
        <v>0</v>
      </c>
      <c r="BQ7" s="702">
        <f>INDEX('1月'!$B$4:$BQ$375,MATCH('2月'!B7,'1月'!$B$4:$B$375,0),68)+BO7</f>
        <v>0</v>
      </c>
    </row>
    <row r="8" spans="2:70" s="4" customFormat="1" ht="50.1" customHeight="1">
      <c r="B8" s="201" t="str">
        <f>'1月'!$B$8</f>
        <v>川合　ひとみ</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4"/>
      <c r="BN8" s="102">
        <f t="shared" si="0"/>
        <v>0</v>
      </c>
      <c r="BO8" s="47">
        <f t="shared" si="1"/>
        <v>0</v>
      </c>
      <c r="BP8" s="631">
        <f>INDEX('1月'!$B$4:$BQ$375,MATCH('2月'!B8,'1月'!$B$4:$B$375,0),67)+BN8</f>
        <v>0</v>
      </c>
      <c r="BQ8" s="702">
        <f>INDEX('1月'!$B$4:$BQ$375,MATCH('2月'!B8,'1月'!$B$4:$B$375,0),68)+BO8</f>
        <v>0</v>
      </c>
    </row>
    <row r="9" spans="2:70" s="4" customFormat="1" ht="50.1" customHeight="1">
      <c r="B9" s="201" t="str">
        <f>'1月'!$B$9</f>
        <v>木田　美紀</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4"/>
      <c r="BN9" s="102">
        <f t="shared" si="0"/>
        <v>0</v>
      </c>
      <c r="BO9" s="47">
        <f t="shared" si="1"/>
        <v>0</v>
      </c>
      <c r="BP9" s="631">
        <f>INDEX('1月'!$B$4:$BQ$375,MATCH('2月'!B9,'1月'!$B$4:$B$375,0),67)+BN9</f>
        <v>1</v>
      </c>
      <c r="BQ9" s="702">
        <f>INDEX('1月'!$B$4:$BQ$375,MATCH('2月'!B9,'1月'!$B$4:$B$375,0),68)+BO9</f>
        <v>1</v>
      </c>
    </row>
    <row r="10" spans="2:70" s="4" customFormat="1" ht="50.1" customHeight="1">
      <c r="B10" s="201" t="str">
        <f>'1月'!$B$10</f>
        <v>熊谷　しぐれ</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4"/>
      <c r="BN10" s="102">
        <f t="shared" si="0"/>
        <v>0</v>
      </c>
      <c r="BO10" s="47">
        <f t="shared" si="1"/>
        <v>0</v>
      </c>
      <c r="BP10" s="631">
        <f>INDEX('1月'!$B$4:$BQ$375,MATCH('2月'!B10,'1月'!$B$4:$B$375,0),67)+BN10</f>
        <v>0</v>
      </c>
      <c r="BQ10" s="702">
        <f>INDEX('1月'!$B$4:$BQ$375,MATCH('2月'!B10,'1月'!$B$4:$B$375,0),68)+BO10</f>
        <v>0</v>
      </c>
    </row>
    <row r="11" spans="2:70" s="4" customFormat="1" ht="50.1" customHeight="1">
      <c r="B11" s="201" t="str">
        <f>'1月'!$B$11</f>
        <v>関川　哲一</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4"/>
      <c r="BN11" s="102">
        <f t="shared" si="0"/>
        <v>0</v>
      </c>
      <c r="BO11" s="47">
        <f t="shared" si="1"/>
        <v>0</v>
      </c>
      <c r="BP11" s="631">
        <f>INDEX('1月'!$B$4:$BQ$375,MATCH('2月'!B11,'1月'!$B$4:$B$375,0),67)+BN11</f>
        <v>0</v>
      </c>
      <c r="BQ11" s="702">
        <f>INDEX('1月'!$B$4:$BQ$375,MATCH('2月'!B11,'1月'!$B$4:$B$375,0),68)+BO11</f>
        <v>0</v>
      </c>
    </row>
    <row r="12" spans="2:70" s="4" customFormat="1" ht="50.1" customHeight="1">
      <c r="B12" s="201" t="str">
        <f>'1月'!$B$12</f>
        <v>根城　雅子</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4"/>
      <c r="BN12" s="102">
        <f t="shared" si="0"/>
        <v>0</v>
      </c>
      <c r="BO12" s="47">
        <f t="shared" si="1"/>
        <v>0</v>
      </c>
      <c r="BP12" s="631">
        <f>INDEX('1月'!$B$4:$BQ$375,MATCH('2月'!B12,'1月'!$B$4:$B$375,0),67)+BN12</f>
        <v>0</v>
      </c>
      <c r="BQ12" s="702">
        <f>INDEX('1月'!$B$4:$BQ$375,MATCH('2月'!B12,'1月'!$B$4:$B$375,0),68)+BO12</f>
        <v>0</v>
      </c>
    </row>
    <row r="13" spans="2:70" s="4" customFormat="1" ht="50.1" customHeight="1">
      <c r="B13" s="202" t="str">
        <f>'1月'!$B$13</f>
        <v>廣田　真紀</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4"/>
      <c r="BN13" s="102">
        <f t="shared" si="0"/>
        <v>0</v>
      </c>
      <c r="BO13" s="47">
        <f t="shared" si="1"/>
        <v>0</v>
      </c>
      <c r="BP13" s="631">
        <f>INDEX('1月'!$B$4:$BQ$375,MATCH('2月'!B13,'1月'!$B$4:$B$375,0),67)+BN13</f>
        <v>0</v>
      </c>
      <c r="BQ13" s="702">
        <f>INDEX('1月'!$B$4:$BQ$375,MATCH('2月'!B13,'1月'!$B$4:$B$375,0),68)+BO13</f>
        <v>0</v>
      </c>
    </row>
    <row r="14" spans="2:70" s="4" customFormat="1" ht="50.1" customHeight="1">
      <c r="B14" s="202" t="str">
        <f>'1月'!$B$14</f>
        <v>古町　朋子</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4"/>
      <c r="BN14" s="102">
        <f t="shared" si="0"/>
        <v>0</v>
      </c>
      <c r="BO14" s="47">
        <f t="shared" si="1"/>
        <v>0</v>
      </c>
      <c r="BP14" s="631">
        <f>INDEX('1月'!$B$4:$BQ$375,MATCH('2月'!B14,'1月'!$B$4:$B$375,0),67)+BN14</f>
        <v>0</v>
      </c>
      <c r="BQ14" s="702">
        <f>INDEX('1月'!$B$4:$BQ$375,MATCH('2月'!B14,'1月'!$B$4:$B$375,0),68)+BO14</f>
        <v>0</v>
      </c>
    </row>
    <row r="15" spans="2:70" s="4" customFormat="1" ht="50.1" customHeight="1">
      <c r="B15" s="201" t="str">
        <f>'1月'!$B$15</f>
        <v>松坂　百華</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4"/>
      <c r="BN15" s="102">
        <f t="shared" si="0"/>
        <v>0</v>
      </c>
      <c r="BO15" s="47">
        <f t="shared" si="1"/>
        <v>0</v>
      </c>
      <c r="BP15" s="631">
        <f>INDEX('1月'!$B$4:$BQ$375,MATCH('2月'!B15,'1月'!$B$4:$B$375,0),67)+BN15</f>
        <v>0</v>
      </c>
      <c r="BQ15" s="702">
        <f>INDEX('1月'!$B$4:$BQ$375,MATCH('2月'!B15,'1月'!$B$4:$B$375,0),68)+BO15</f>
        <v>0</v>
      </c>
    </row>
    <row r="16" spans="2:70" s="4" customFormat="1" ht="50.1" customHeight="1">
      <c r="B16" s="201" t="str">
        <f>'1月'!$B$16</f>
        <v>松原　英利</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4"/>
      <c r="BN16" s="102">
        <f t="shared" si="0"/>
        <v>0</v>
      </c>
      <c r="BO16" s="47">
        <f t="shared" si="1"/>
        <v>0</v>
      </c>
      <c r="BP16" s="631">
        <f>INDEX('1月'!$B$4:$BQ$375,MATCH('2月'!B16,'1月'!$B$4:$B$375,0),67)+BN16</f>
        <v>0</v>
      </c>
      <c r="BQ16" s="702">
        <f>INDEX('1月'!$B$4:$BQ$375,MATCH('2月'!B16,'1月'!$B$4:$B$375,0),68)+BO16</f>
        <v>0</v>
      </c>
    </row>
    <row r="17" spans="2:69" s="4" customFormat="1" ht="45" customHeight="1">
      <c r="B17" s="201" t="str">
        <f>'1月'!$B$17</f>
        <v>三浦　朱里</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4"/>
      <c r="BN17" s="102">
        <f t="shared" si="0"/>
        <v>0</v>
      </c>
      <c r="BO17" s="47">
        <f t="shared" si="1"/>
        <v>0</v>
      </c>
      <c r="BP17" s="631">
        <f>INDEX('1月'!$B$4:$BQ$375,MATCH('2月'!B17,'1月'!$B$4:$B$375,0),67)+BN17</f>
        <v>0</v>
      </c>
      <c r="BQ17" s="702">
        <f>INDEX('1月'!$B$4:$BQ$375,MATCH('2月'!B17,'1月'!$B$4:$B$375,0),68)+BO17</f>
        <v>0</v>
      </c>
    </row>
    <row r="18" spans="2:69" s="4" customFormat="1" ht="15.95" customHeight="1">
      <c r="B18" s="154">
        <f>'1月'!$B$18</f>
        <v>0</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4"/>
      <c r="BN18" s="102">
        <f t="shared" si="0"/>
        <v>0</v>
      </c>
      <c r="BO18" s="47">
        <f t="shared" si="1"/>
        <v>0</v>
      </c>
      <c r="BP18" s="631"/>
      <c r="BQ18" s="702"/>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4"/>
      <c r="BN19" s="102">
        <f t="shared" si="0"/>
        <v>0</v>
      </c>
      <c r="BO19" s="47">
        <f t="shared" si="1"/>
        <v>0</v>
      </c>
      <c r="BP19" s="631"/>
      <c r="BQ19" s="702"/>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4"/>
      <c r="BN20" s="102">
        <f t="shared" si="0"/>
        <v>0</v>
      </c>
      <c r="BO20" s="47">
        <f t="shared" si="1"/>
        <v>0</v>
      </c>
      <c r="BP20" s="631"/>
      <c r="BQ20" s="702"/>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4"/>
      <c r="BN21" s="102">
        <f t="shared" si="0"/>
        <v>0</v>
      </c>
      <c r="BO21" s="47">
        <f t="shared" si="1"/>
        <v>0</v>
      </c>
      <c r="BP21" s="631"/>
      <c r="BQ21" s="702"/>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9"/>
      <c r="AI22" s="20"/>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0"/>
      <c r="BN22" s="102">
        <f t="shared" si="0"/>
        <v>0</v>
      </c>
      <c r="BO22" s="47">
        <f t="shared" si="1"/>
        <v>0</v>
      </c>
      <c r="BP22" s="631"/>
      <c r="BQ22" s="702"/>
    </row>
    <row r="23" spans="2:69" s="4" customFormat="1" ht="50.1" customHeight="1" thickBot="1">
      <c r="B23" s="112" t="str">
        <f>'1月'!$B$23</f>
        <v>典礼部(600)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15"/>
      <c r="AH23" s="23"/>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4"/>
      <c r="BN23" s="102">
        <f t="shared" si="0"/>
        <v>0</v>
      </c>
      <c r="BO23" s="47">
        <f t="shared" si="1"/>
        <v>0</v>
      </c>
      <c r="BP23" s="631">
        <f>INDEX('1月'!$B$4:$BQ$375,MATCH('2月'!B23,'1月'!$B$4:$B$375,0),67)+BN23</f>
        <v>0</v>
      </c>
      <c r="BQ23" s="702">
        <f>INDEX('1月'!$B$4:$BQ$375,MATCH('2月'!B23,'1月'!$B$4:$B$375,0),68)+BO23</f>
        <v>0</v>
      </c>
    </row>
    <row r="24" spans="2:69" s="4" customFormat="1" ht="54" customHeight="1" thickBot="1">
      <c r="B24" s="119" t="s">
        <v>101</v>
      </c>
      <c r="C24" s="149"/>
      <c r="D24" s="28">
        <f t="shared" ref="D24:AI24" si="2">SUM(D4:D23)</f>
        <v>0</v>
      </c>
      <c r="E24" s="29">
        <f t="shared" si="2"/>
        <v>0</v>
      </c>
      <c r="F24" s="30">
        <f t="shared" si="2"/>
        <v>0</v>
      </c>
      <c r="G24" s="31">
        <f t="shared" si="2"/>
        <v>0</v>
      </c>
      <c r="H24" s="30">
        <f t="shared" si="2"/>
        <v>0</v>
      </c>
      <c r="I24" s="31">
        <f t="shared" si="2"/>
        <v>0</v>
      </c>
      <c r="J24" s="30">
        <f t="shared" si="2"/>
        <v>0</v>
      </c>
      <c r="K24" s="31">
        <f t="shared" si="2"/>
        <v>0</v>
      </c>
      <c r="L24" s="30">
        <f t="shared" si="2"/>
        <v>0</v>
      </c>
      <c r="M24" s="31">
        <f t="shared" si="2"/>
        <v>0</v>
      </c>
      <c r="N24" s="30">
        <f t="shared" si="2"/>
        <v>0</v>
      </c>
      <c r="O24" s="31">
        <f t="shared" si="2"/>
        <v>0</v>
      </c>
      <c r="P24" s="30">
        <f t="shared" si="2"/>
        <v>0</v>
      </c>
      <c r="Q24" s="31">
        <f t="shared" si="2"/>
        <v>0</v>
      </c>
      <c r="R24" s="30">
        <f t="shared" si="2"/>
        <v>0</v>
      </c>
      <c r="S24" s="31">
        <f t="shared" si="2"/>
        <v>0</v>
      </c>
      <c r="T24" s="30">
        <f t="shared" si="2"/>
        <v>0</v>
      </c>
      <c r="U24" s="31">
        <f t="shared" si="2"/>
        <v>0</v>
      </c>
      <c r="V24" s="30">
        <f t="shared" si="2"/>
        <v>0</v>
      </c>
      <c r="W24" s="31">
        <f t="shared" si="2"/>
        <v>0</v>
      </c>
      <c r="X24" s="30">
        <f t="shared" si="2"/>
        <v>0</v>
      </c>
      <c r="Y24" s="31">
        <f t="shared" si="2"/>
        <v>0</v>
      </c>
      <c r="Z24" s="30">
        <f t="shared" si="2"/>
        <v>0</v>
      </c>
      <c r="AA24" s="31">
        <f t="shared" si="2"/>
        <v>0</v>
      </c>
      <c r="AB24" s="30">
        <f t="shared" si="2"/>
        <v>0</v>
      </c>
      <c r="AC24" s="31">
        <f t="shared" si="2"/>
        <v>0</v>
      </c>
      <c r="AD24" s="30">
        <f t="shared" si="2"/>
        <v>0</v>
      </c>
      <c r="AE24" s="31">
        <f t="shared" si="2"/>
        <v>0</v>
      </c>
      <c r="AF24" s="30">
        <f t="shared" si="2"/>
        <v>0</v>
      </c>
      <c r="AG24" s="31">
        <f t="shared" si="2"/>
        <v>0</v>
      </c>
      <c r="AH24" s="28">
        <f t="shared" si="2"/>
        <v>0</v>
      </c>
      <c r="AI24" s="29">
        <f t="shared" si="2"/>
        <v>0</v>
      </c>
      <c r="AJ24" s="30">
        <f t="shared" ref="AJ24:BO24" si="3">SUM(AJ4:AJ23)</f>
        <v>0</v>
      </c>
      <c r="AK24" s="31">
        <f t="shared" si="3"/>
        <v>0</v>
      </c>
      <c r="AL24" s="30">
        <f t="shared" si="3"/>
        <v>0</v>
      </c>
      <c r="AM24" s="31">
        <f t="shared" si="3"/>
        <v>0</v>
      </c>
      <c r="AN24" s="30">
        <f t="shared" si="3"/>
        <v>0</v>
      </c>
      <c r="AO24" s="31">
        <f t="shared" si="3"/>
        <v>0</v>
      </c>
      <c r="AP24" s="30">
        <f t="shared" si="3"/>
        <v>0</v>
      </c>
      <c r="AQ24" s="31">
        <f t="shared" si="3"/>
        <v>0</v>
      </c>
      <c r="AR24" s="30">
        <f t="shared" si="3"/>
        <v>0</v>
      </c>
      <c r="AS24" s="31">
        <f t="shared" si="3"/>
        <v>0</v>
      </c>
      <c r="AT24" s="30">
        <f t="shared" si="3"/>
        <v>0</v>
      </c>
      <c r="AU24" s="31">
        <f t="shared" si="3"/>
        <v>0</v>
      </c>
      <c r="AV24" s="30">
        <f t="shared" si="3"/>
        <v>0</v>
      </c>
      <c r="AW24" s="31">
        <f t="shared" si="3"/>
        <v>0</v>
      </c>
      <c r="AX24" s="30">
        <f t="shared" si="3"/>
        <v>0</v>
      </c>
      <c r="AY24" s="31">
        <f t="shared" si="3"/>
        <v>0</v>
      </c>
      <c r="AZ24" s="30">
        <f t="shared" si="3"/>
        <v>0</v>
      </c>
      <c r="BA24" s="31">
        <f t="shared" si="3"/>
        <v>0</v>
      </c>
      <c r="BB24" s="30">
        <f t="shared" si="3"/>
        <v>0</v>
      </c>
      <c r="BC24" s="31">
        <f t="shared" si="3"/>
        <v>0</v>
      </c>
      <c r="BD24" s="30">
        <f t="shared" si="3"/>
        <v>0</v>
      </c>
      <c r="BE24" s="31">
        <f t="shared" si="3"/>
        <v>0</v>
      </c>
      <c r="BF24" s="30">
        <f t="shared" si="3"/>
        <v>0</v>
      </c>
      <c r="BG24" s="31">
        <f t="shared" si="3"/>
        <v>0</v>
      </c>
      <c r="BH24" s="30">
        <f t="shared" si="3"/>
        <v>0</v>
      </c>
      <c r="BI24" s="31">
        <f t="shared" si="3"/>
        <v>0</v>
      </c>
      <c r="BJ24" s="30">
        <f t="shared" si="3"/>
        <v>0</v>
      </c>
      <c r="BK24" s="31">
        <f t="shared" si="3"/>
        <v>0</v>
      </c>
      <c r="BL24" s="30">
        <f t="shared" si="3"/>
        <v>0</v>
      </c>
      <c r="BM24" s="31">
        <f t="shared" si="3"/>
        <v>0</v>
      </c>
      <c r="BN24" s="32">
        <f t="shared" si="3"/>
        <v>0</v>
      </c>
      <c r="BO24" s="33">
        <f t="shared" si="3"/>
        <v>0</v>
      </c>
      <c r="BP24" s="245">
        <f>SUM(BP4:BP23)</f>
        <v>1</v>
      </c>
      <c r="BQ24" s="246">
        <f>SUM(BQ4:BQ23)</f>
        <v>1</v>
      </c>
    </row>
    <row r="25" spans="2:69" ht="24" customHeight="1">
      <c r="B25" s="120"/>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row>
    <row r="26" spans="2:69" ht="28.5" customHeight="1" thickBo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43" t="s">
        <v>213</v>
      </c>
      <c r="C27" s="749">
        <f>COUNTIF(B30:B53,"*")</f>
        <v>17</v>
      </c>
      <c r="D27" s="751">
        <v>1</v>
      </c>
      <c r="E27" s="738"/>
      <c r="F27" s="737">
        <v>2</v>
      </c>
      <c r="G27" s="738"/>
      <c r="H27" s="737">
        <v>3</v>
      </c>
      <c r="I27" s="738"/>
      <c r="J27" s="737">
        <v>4</v>
      </c>
      <c r="K27" s="738"/>
      <c r="L27" s="737">
        <v>5</v>
      </c>
      <c r="M27" s="738"/>
      <c r="N27" s="737">
        <v>6</v>
      </c>
      <c r="O27" s="738"/>
      <c r="P27" s="737">
        <v>7</v>
      </c>
      <c r="Q27" s="738"/>
      <c r="R27" s="737">
        <v>8</v>
      </c>
      <c r="S27" s="738"/>
      <c r="T27" s="737">
        <v>9</v>
      </c>
      <c r="U27" s="738"/>
      <c r="V27" s="737">
        <v>10</v>
      </c>
      <c r="W27" s="738"/>
      <c r="X27" s="737">
        <v>11</v>
      </c>
      <c r="Y27" s="738"/>
      <c r="Z27" s="737">
        <v>12</v>
      </c>
      <c r="AA27" s="738"/>
      <c r="AB27" s="737">
        <v>13</v>
      </c>
      <c r="AC27" s="738"/>
      <c r="AD27" s="737">
        <v>14</v>
      </c>
      <c r="AE27" s="738"/>
      <c r="AF27" s="737">
        <v>15</v>
      </c>
      <c r="AG27" s="784"/>
      <c r="AH27" s="741">
        <v>16</v>
      </c>
      <c r="AI27" s="741"/>
      <c r="AJ27" s="741">
        <v>17</v>
      </c>
      <c r="AK27" s="741"/>
      <c r="AL27" s="741">
        <v>18</v>
      </c>
      <c r="AM27" s="741"/>
      <c r="AN27" s="741">
        <v>19</v>
      </c>
      <c r="AO27" s="741"/>
      <c r="AP27" s="741">
        <v>20</v>
      </c>
      <c r="AQ27" s="741"/>
      <c r="AR27" s="741">
        <v>21</v>
      </c>
      <c r="AS27" s="741"/>
      <c r="AT27" s="741">
        <v>22</v>
      </c>
      <c r="AU27" s="741"/>
      <c r="AV27" s="741">
        <v>23</v>
      </c>
      <c r="AW27" s="741"/>
      <c r="AX27" s="741">
        <v>24</v>
      </c>
      <c r="AY27" s="741"/>
      <c r="AZ27" s="741">
        <v>25</v>
      </c>
      <c r="BA27" s="741"/>
      <c r="BB27" s="741">
        <v>26</v>
      </c>
      <c r="BC27" s="741"/>
      <c r="BD27" s="741">
        <v>27</v>
      </c>
      <c r="BE27" s="741"/>
      <c r="BF27" s="741">
        <v>28</v>
      </c>
      <c r="BG27" s="741"/>
      <c r="BH27" s="741">
        <v>29</v>
      </c>
      <c r="BI27" s="741"/>
      <c r="BJ27" s="741">
        <v>30</v>
      </c>
      <c r="BK27" s="741"/>
      <c r="BL27" s="741">
        <v>31</v>
      </c>
      <c r="BM27" s="741"/>
      <c r="BN27" s="738" t="s">
        <v>251</v>
      </c>
      <c r="BO27" s="760"/>
      <c r="BP27" s="763" t="s">
        <v>354</v>
      </c>
      <c r="BQ27" s="788"/>
    </row>
    <row r="28" spans="2:69" ht="24.95" customHeight="1">
      <c r="B28" s="744"/>
      <c r="C28" s="747"/>
      <c r="D28" s="752" t="str">
        <f>D2</f>
        <v>土</v>
      </c>
      <c r="E28" s="740"/>
      <c r="F28" s="739" t="str">
        <f>F2</f>
        <v>日</v>
      </c>
      <c r="G28" s="740"/>
      <c r="H28" s="739" t="str">
        <f>H2</f>
        <v>月</v>
      </c>
      <c r="I28" s="740"/>
      <c r="J28" s="739" t="str">
        <f>J2</f>
        <v>火</v>
      </c>
      <c r="K28" s="740"/>
      <c r="L28" s="739" t="str">
        <f>L2</f>
        <v>水</v>
      </c>
      <c r="M28" s="740"/>
      <c r="N28" s="739" t="str">
        <f>N2</f>
        <v>木</v>
      </c>
      <c r="O28" s="740"/>
      <c r="P28" s="739" t="str">
        <f>P2</f>
        <v>金</v>
      </c>
      <c r="Q28" s="740"/>
      <c r="R28" s="739" t="str">
        <f>R2</f>
        <v>土</v>
      </c>
      <c r="S28" s="740"/>
      <c r="T28" s="739" t="str">
        <f>T2</f>
        <v>日</v>
      </c>
      <c r="U28" s="740"/>
      <c r="V28" s="739" t="str">
        <f>V2</f>
        <v>月</v>
      </c>
      <c r="W28" s="740"/>
      <c r="X28" s="739" t="str">
        <f>X2</f>
        <v>火</v>
      </c>
      <c r="Y28" s="740"/>
      <c r="Z28" s="739" t="str">
        <f>Z2</f>
        <v>水</v>
      </c>
      <c r="AA28" s="740"/>
      <c r="AB28" s="739" t="str">
        <f>AB2</f>
        <v>木</v>
      </c>
      <c r="AC28" s="740"/>
      <c r="AD28" s="739" t="str">
        <f>AD2</f>
        <v>金</v>
      </c>
      <c r="AE28" s="740"/>
      <c r="AF28" s="739" t="str">
        <f>AF2</f>
        <v>土</v>
      </c>
      <c r="AG28" s="740"/>
      <c r="AH28" s="786" t="str">
        <f>AH2</f>
        <v>日</v>
      </c>
      <c r="AI28" s="767"/>
      <c r="AJ28" s="768" t="str">
        <f>AJ2</f>
        <v>月</v>
      </c>
      <c r="AK28" s="769"/>
      <c r="AL28" s="768" t="str">
        <f>AL2</f>
        <v>火</v>
      </c>
      <c r="AM28" s="769"/>
      <c r="AN28" s="768" t="str">
        <f>AN2</f>
        <v>水</v>
      </c>
      <c r="AO28" s="769"/>
      <c r="AP28" s="768" t="str">
        <f>AP2</f>
        <v>木</v>
      </c>
      <c r="AQ28" s="769"/>
      <c r="AR28" s="768" t="str">
        <f>AR2</f>
        <v>金</v>
      </c>
      <c r="AS28" s="769"/>
      <c r="AT28" s="768" t="str">
        <f>AT2</f>
        <v>土</v>
      </c>
      <c r="AU28" s="769"/>
      <c r="AV28" s="768" t="str">
        <f>AV2</f>
        <v>日</v>
      </c>
      <c r="AW28" s="769"/>
      <c r="AX28" s="768" t="str">
        <f>AX2</f>
        <v>月</v>
      </c>
      <c r="AY28" s="769"/>
      <c r="AZ28" s="768" t="str">
        <f>AZ2</f>
        <v>火</v>
      </c>
      <c r="BA28" s="769"/>
      <c r="BB28" s="768" t="str">
        <f>BB2</f>
        <v>水</v>
      </c>
      <c r="BC28" s="769"/>
      <c r="BD28" s="768" t="str">
        <f>BD2</f>
        <v>木</v>
      </c>
      <c r="BE28" s="769"/>
      <c r="BF28" s="768" t="str">
        <f>BF2</f>
        <v>金</v>
      </c>
      <c r="BG28" s="769"/>
      <c r="BH28" s="768" t="str">
        <f>BH2</f>
        <v>土</v>
      </c>
      <c r="BI28" s="769"/>
      <c r="BJ28" s="768" t="str">
        <f>BJ2</f>
        <v>日</v>
      </c>
      <c r="BK28" s="769"/>
      <c r="BL28" s="768" t="str">
        <f>BL2</f>
        <v>月</v>
      </c>
      <c r="BM28" s="769"/>
      <c r="BN28" s="761"/>
      <c r="BO28" s="762"/>
      <c r="BP28" s="789"/>
      <c r="BQ28" s="790"/>
    </row>
    <row r="29" spans="2:69" ht="24.95" customHeight="1" thickBot="1">
      <c r="B29" s="748"/>
      <c r="C29" s="750"/>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4"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tr">
        <f>'1月'!$B$30</f>
        <v>伊藤　秀智</v>
      </c>
      <c r="C30" s="145"/>
      <c r="D30" s="18"/>
      <c r="E30" s="14"/>
      <c r="F30" s="18"/>
      <c r="G30" s="14"/>
      <c r="H30" s="18"/>
      <c r="I30" s="14"/>
      <c r="J30" s="18"/>
      <c r="K30" s="14"/>
      <c r="L30" s="18"/>
      <c r="M30" s="14"/>
      <c r="N30" s="18"/>
      <c r="O30" s="14"/>
      <c r="P30" s="18"/>
      <c r="Q30" s="14"/>
      <c r="R30" s="18"/>
      <c r="S30" s="14"/>
      <c r="T30" s="18"/>
      <c r="U30" s="14"/>
      <c r="V30" s="18"/>
      <c r="W30" s="14"/>
      <c r="X30" s="18"/>
      <c r="Y30" s="14"/>
      <c r="Z30" s="18"/>
      <c r="AA30" s="14"/>
      <c r="AB30" s="18"/>
      <c r="AC30" s="14"/>
      <c r="AD30" s="18"/>
      <c r="AE30" s="14"/>
      <c r="AF30" s="18"/>
      <c r="AG30" s="15"/>
      <c r="AH30" s="18"/>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79"/>
      <c r="BK30" s="10"/>
      <c r="BL30" s="11"/>
      <c r="BM30" s="10"/>
      <c r="BN30" s="102">
        <f>SUM(D30,F30,H30,J30,L30,N30,P30,R30,T30,V30,X30,Z30,AB30,AD30,AF30,AH30,AJ30,AL30,AN30,AP30,AR30,AT30,AV30,AX30,AZ30,BB30,BD30,BF30,BH30,BJ30,BL30)</f>
        <v>0</v>
      </c>
      <c r="BO30" s="47">
        <f>SUM(E30,G30,I30,K30,M30,O30,Q30,S30,U30,W30,Y30,AA30,AC30,AE30,AG30,AI30,AK30,AM30,AO30,AQ30,AS30,AU30,AW30,AY30,BA30,BC30,BE30,BG30,BI30,BK30,BM30)</f>
        <v>0</v>
      </c>
      <c r="BP30" s="631">
        <f>INDEX('1月'!$B$4:$BQ$375,MATCH('2月'!B30,'1月'!$B$4:$B$375,0),67)+BN30</f>
        <v>2</v>
      </c>
      <c r="BQ30" s="702">
        <f>INDEX('1月'!$B$4:$BQ$375,MATCH('2月'!B30,'1月'!$B$4:$B$375,0),68)+BO30</f>
        <v>4</v>
      </c>
    </row>
    <row r="31" spans="2:69" s="4" customFormat="1" ht="50.1" customHeight="1">
      <c r="B31" s="201" t="str">
        <f>'1月'!$B$31</f>
        <v>上村　郁絵</v>
      </c>
      <c r="C31" s="146"/>
      <c r="D31" s="13"/>
      <c r="E31" s="14"/>
      <c r="F31" s="13"/>
      <c r="G31" s="14"/>
      <c r="H31" s="13"/>
      <c r="I31" s="14"/>
      <c r="J31" s="13"/>
      <c r="K31" s="14"/>
      <c r="L31" s="13"/>
      <c r="M31" s="14"/>
      <c r="N31" s="13"/>
      <c r="O31" s="14"/>
      <c r="P31" s="13"/>
      <c r="Q31" s="14"/>
      <c r="R31" s="13"/>
      <c r="S31" s="14"/>
      <c r="T31" s="13"/>
      <c r="U31" s="14"/>
      <c r="V31" s="13"/>
      <c r="W31" s="14"/>
      <c r="X31" s="13"/>
      <c r="Y31" s="14"/>
      <c r="Z31" s="13"/>
      <c r="AA31" s="15"/>
      <c r="AB31" s="16"/>
      <c r="AC31" s="15"/>
      <c r="AD31" s="16"/>
      <c r="AE31" s="15"/>
      <c r="AF31" s="16"/>
      <c r="AG31" s="15"/>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102">
        <f t="shared" ref="BN31:BN53" si="4">SUM(D31,F31,H31,J31,L31,N31,P31,R31,T31,V31,X31,Z31,AB31,AD31,AF31,AH31,AJ31,AL31,AN31,AP31,AR31,AT31,AV31,AX31,AZ31,BB31,BD31,BF31,BH31,BJ31,BL31)</f>
        <v>0</v>
      </c>
      <c r="BO31" s="47">
        <f t="shared" ref="BO31:BO53" si="5">SUM(E31,G31,I31,K31,M31,O31,Q31,S31,U31,W31,Y31,AA31,AC31,AE31,AG31,AI31,AK31,AM31,AO31,AQ31,AS31,AU31,AW31,AY31,BA31,BC31,BE31,BG31,BI31,BK31,BM31)</f>
        <v>0</v>
      </c>
      <c r="BP31" s="631">
        <f>INDEX('1月'!$B$4:$BQ$375,MATCH('2月'!B31,'1月'!$B$4:$B$375,0),67)+BN31</f>
        <v>1</v>
      </c>
      <c r="BQ31" s="702">
        <f>INDEX('1月'!$B$4:$BQ$375,MATCH('2月'!B31,'1月'!$B$4:$B$375,0),68)+BO31</f>
        <v>3</v>
      </c>
    </row>
    <row r="32" spans="2:69" s="4" customFormat="1" ht="50.1" customHeight="1">
      <c r="B32" s="201" t="str">
        <f>'1月'!$B$32</f>
        <v>岡本　良一</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si="4"/>
        <v>0</v>
      </c>
      <c r="BO32" s="47">
        <f t="shared" si="5"/>
        <v>0</v>
      </c>
      <c r="BP32" s="631">
        <f>INDEX('1月'!$B$4:$BQ$375,MATCH('2月'!B32,'1月'!$B$4:$B$375,0),67)+BN32</f>
        <v>3</v>
      </c>
      <c r="BQ32" s="702">
        <f>INDEX('1月'!$B$4:$BQ$375,MATCH('2月'!B32,'1月'!$B$4:$B$375,0),68)+BO32</f>
        <v>3</v>
      </c>
    </row>
    <row r="33" spans="2:69" s="4" customFormat="1" ht="50.1" customHeight="1">
      <c r="B33" s="201" t="str">
        <f>'1月'!$B$33</f>
        <v>金子　千穂</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4"/>
        <v>0</v>
      </c>
      <c r="BO33" s="47">
        <f t="shared" si="5"/>
        <v>0</v>
      </c>
      <c r="BP33" s="631">
        <f>INDEX('1月'!$B$4:$BQ$375,MATCH('2月'!B33,'1月'!$B$4:$B$375,0),67)+BN33</f>
        <v>2</v>
      </c>
      <c r="BQ33" s="702">
        <f>INDEX('1月'!$B$4:$BQ$375,MATCH('2月'!B33,'1月'!$B$4:$B$375,0),68)+BO33</f>
        <v>2</v>
      </c>
    </row>
    <row r="34" spans="2:69" s="4" customFormat="1" ht="50.1" customHeight="1">
      <c r="B34" s="201" t="str">
        <f>'1月'!$B$34</f>
        <v>櫛引　康平</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4"/>
        <v>0</v>
      </c>
      <c r="BO34" s="47">
        <f t="shared" si="5"/>
        <v>0</v>
      </c>
      <c r="BP34" s="631">
        <f>INDEX('1月'!$B$4:$BQ$375,MATCH('2月'!B34,'1月'!$B$4:$B$375,0),67)+BN34</f>
        <v>0</v>
      </c>
      <c r="BQ34" s="702">
        <f>INDEX('1月'!$B$4:$BQ$375,MATCH('2月'!B34,'1月'!$B$4:$B$375,0),68)+BO34</f>
        <v>0</v>
      </c>
    </row>
    <row r="35" spans="2:69" s="4" customFormat="1" ht="50.1" customHeight="1">
      <c r="B35" s="201" t="str">
        <f>'1月'!$B$35</f>
        <v>工藤　あずさ</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4"/>
        <v>0</v>
      </c>
      <c r="BO35" s="47">
        <f t="shared" si="5"/>
        <v>0</v>
      </c>
      <c r="BP35" s="631">
        <f>INDEX('1月'!$B$4:$BQ$375,MATCH('2月'!B35,'1月'!$B$4:$B$375,0),67)+BN35</f>
        <v>0</v>
      </c>
      <c r="BQ35" s="702">
        <f>INDEX('1月'!$B$4:$BQ$375,MATCH('2月'!B35,'1月'!$B$4:$B$375,0),68)+BO35</f>
        <v>0</v>
      </c>
    </row>
    <row r="36" spans="2:69" s="4" customFormat="1" ht="50.1" customHeight="1">
      <c r="B36" s="201" t="str">
        <f>'1月'!$B$36</f>
        <v>熊谷　正浩</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4"/>
        <v>0</v>
      </c>
      <c r="BO36" s="47">
        <f t="shared" si="5"/>
        <v>0</v>
      </c>
      <c r="BP36" s="631">
        <f>INDEX('1月'!$B$4:$BQ$375,MATCH('2月'!B36,'1月'!$B$4:$B$375,0),67)+BN36</f>
        <v>0</v>
      </c>
      <c r="BQ36" s="702">
        <f>INDEX('1月'!$B$4:$BQ$375,MATCH('2月'!B36,'1月'!$B$4:$B$375,0),68)+BO36</f>
        <v>0</v>
      </c>
    </row>
    <row r="37" spans="2:69" s="4" customFormat="1" ht="50.1" customHeight="1">
      <c r="B37" s="201" t="str">
        <f>'1月'!$B$37</f>
        <v>小泉　洋之</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4"/>
        <v>0</v>
      </c>
      <c r="BO37" s="47">
        <f t="shared" si="5"/>
        <v>0</v>
      </c>
      <c r="BP37" s="631">
        <f>INDEX('1月'!$B$4:$BQ$375,MATCH('2月'!B37,'1月'!$B$4:$B$375,0),67)+BN37</f>
        <v>2</v>
      </c>
      <c r="BQ37" s="702">
        <f>INDEX('1月'!$B$4:$BQ$375,MATCH('2月'!B37,'1月'!$B$4:$B$375,0),68)+BO37</f>
        <v>3</v>
      </c>
    </row>
    <row r="38" spans="2:69" s="4" customFormat="1" ht="50.1" customHeight="1">
      <c r="B38" s="201" t="str">
        <f>'1月'!$B$38</f>
        <v>佐々木　あゆみ</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4"/>
        <v>0</v>
      </c>
      <c r="BO38" s="47">
        <f t="shared" si="5"/>
        <v>0</v>
      </c>
      <c r="BP38" s="631">
        <f>INDEX('1月'!$B$4:$BQ$375,MATCH('2月'!B38,'1月'!$B$4:$B$375,0),67)+BN38</f>
        <v>1</v>
      </c>
      <c r="BQ38" s="702">
        <f>INDEX('1月'!$B$4:$BQ$375,MATCH('2月'!B38,'1月'!$B$4:$B$375,0),68)+BO38</f>
        <v>1</v>
      </c>
    </row>
    <row r="39" spans="2:69" s="4" customFormat="1" ht="50.1" customHeight="1">
      <c r="B39" s="201" t="str">
        <f>'1月'!$B$39</f>
        <v>佐々木　智子</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4"/>
        <v>0</v>
      </c>
      <c r="BO39" s="47">
        <f t="shared" si="5"/>
        <v>0</v>
      </c>
      <c r="BP39" s="631">
        <f>INDEX('1月'!$B$4:$BQ$375,MATCH('2月'!B39,'1月'!$B$4:$B$375,0),67)+BN39</f>
        <v>0</v>
      </c>
      <c r="BQ39" s="702">
        <f>INDEX('1月'!$B$4:$BQ$375,MATCH('2月'!B39,'1月'!$B$4:$B$375,0),68)+BO39</f>
        <v>0</v>
      </c>
    </row>
    <row r="40" spans="2:69" s="4" customFormat="1" ht="50.1" customHeight="1">
      <c r="B40" s="201" t="str">
        <f>'1月'!$B$40</f>
        <v>澤村　純一</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4"/>
        <v>0</v>
      </c>
      <c r="BO40" s="47">
        <f t="shared" si="5"/>
        <v>0</v>
      </c>
      <c r="BP40" s="631">
        <f>INDEX('1月'!$B$4:$BQ$375,MATCH('2月'!B40,'1月'!$B$4:$B$375,0),67)+BN40</f>
        <v>0</v>
      </c>
      <c r="BQ40" s="702">
        <f>INDEX('1月'!$B$4:$BQ$375,MATCH('2月'!B40,'1月'!$B$4:$B$375,0),68)+BO40</f>
        <v>0</v>
      </c>
    </row>
    <row r="41" spans="2:69" s="4" customFormat="1" ht="50.1" customHeight="1">
      <c r="B41" s="201" t="str">
        <f>'1月'!$B$41</f>
        <v>杉渕　恵美</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4"/>
        <v>0</v>
      </c>
      <c r="BO41" s="47">
        <f t="shared" si="5"/>
        <v>0</v>
      </c>
      <c r="BP41" s="631">
        <f>INDEX('1月'!$B$4:$BQ$375,MATCH('2月'!B41,'1月'!$B$4:$B$375,0),67)+BN41</f>
        <v>0</v>
      </c>
      <c r="BQ41" s="702">
        <f>INDEX('1月'!$B$4:$BQ$375,MATCH('2月'!B41,'1月'!$B$4:$B$375,0),68)+BO41</f>
        <v>0</v>
      </c>
    </row>
    <row r="42" spans="2:69" s="4" customFormat="1" ht="50.1" customHeight="1">
      <c r="B42" s="202" t="str">
        <f>'1月'!$B$42</f>
        <v>田名部　丞</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4"/>
        <v>0</v>
      </c>
      <c r="BO42" s="47">
        <f t="shared" si="5"/>
        <v>0</v>
      </c>
      <c r="BP42" s="631">
        <f>INDEX('1月'!$B$4:$BQ$375,MATCH('2月'!B42,'1月'!$B$4:$B$375,0),67)+BN42</f>
        <v>1</v>
      </c>
      <c r="BQ42" s="702">
        <f>INDEX('1月'!$B$4:$BQ$375,MATCH('2月'!B42,'1月'!$B$4:$B$375,0),68)+BO42</f>
        <v>2</v>
      </c>
    </row>
    <row r="43" spans="2:69" s="4" customFormat="1" ht="50.1" customHeight="1">
      <c r="B43" s="201" t="str">
        <f>'1月'!$B$43</f>
        <v>田名部　昌義</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4"/>
        <v>0</v>
      </c>
      <c r="BO43" s="47">
        <f t="shared" si="5"/>
        <v>0</v>
      </c>
      <c r="BP43" s="631">
        <f>INDEX('1月'!$B$4:$BQ$375,MATCH('2月'!B43,'1月'!$B$4:$B$375,0),67)+BN43</f>
        <v>1</v>
      </c>
      <c r="BQ43" s="702">
        <f>INDEX('1月'!$B$4:$BQ$375,MATCH('2月'!B43,'1月'!$B$4:$B$375,0),68)+BO43</f>
        <v>2</v>
      </c>
    </row>
    <row r="44" spans="2:69" s="4" customFormat="1" ht="50.1" customHeight="1">
      <c r="B44" s="201" t="str">
        <f>'1月'!$B$44</f>
        <v>中里　一賢</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4"/>
        <v>0</v>
      </c>
      <c r="BO44" s="47">
        <f t="shared" si="5"/>
        <v>0</v>
      </c>
      <c r="BP44" s="631">
        <f>INDEX('1月'!$B$4:$BQ$375,MATCH('2月'!B44,'1月'!$B$4:$B$375,0),67)+BN44</f>
        <v>1</v>
      </c>
      <c r="BQ44" s="702">
        <f>INDEX('1月'!$B$4:$BQ$375,MATCH('2月'!B44,'1月'!$B$4:$B$375,0),68)+BO44</f>
        <v>2</v>
      </c>
    </row>
    <row r="45" spans="2:69" s="4" customFormat="1" ht="50.1" customHeight="1">
      <c r="B45" s="203" t="str">
        <f>'1月'!$B$45</f>
        <v>中山　明洋</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4"/>
        <v>0</v>
      </c>
      <c r="BO45" s="47">
        <f t="shared" si="5"/>
        <v>0</v>
      </c>
      <c r="BP45" s="631">
        <f>INDEX('1月'!$B$4:$BQ$375,MATCH('2月'!B45,'1月'!$B$4:$B$375,0),67)+BN45</f>
        <v>2</v>
      </c>
      <c r="BQ45" s="702">
        <f>INDEX('1月'!$B$4:$BQ$375,MATCH('2月'!B45,'1月'!$B$4:$B$375,0),68)+BO45</f>
        <v>3</v>
      </c>
    </row>
    <row r="46" spans="2:69" s="4" customFormat="1" ht="50.1" customHeight="1">
      <c r="B46" s="204" t="str">
        <f>'1月'!$B$46</f>
        <v>松井　龍平</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4"/>
        <v>0</v>
      </c>
      <c r="BO46" s="47">
        <f t="shared" si="5"/>
        <v>0</v>
      </c>
      <c r="BP46" s="631">
        <f>INDEX('1月'!$B$4:$BQ$375,MATCH('2月'!B46,'1月'!$B$4:$B$375,0),67)+BN46</f>
        <v>4</v>
      </c>
      <c r="BQ46" s="702">
        <f>INDEX('1月'!$B$4:$BQ$375,MATCH('2月'!B46,'1月'!$B$4:$B$375,0),68)+BO46</f>
        <v>5</v>
      </c>
    </row>
    <row r="47" spans="2:69" s="4" customFormat="1" ht="50.1" customHeight="1">
      <c r="B47" s="201">
        <f>'1月'!$B$47</f>
        <v>0</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4"/>
        <v>0</v>
      </c>
      <c r="BO47" s="47">
        <f t="shared" si="5"/>
        <v>0</v>
      </c>
      <c r="BP47" s="631"/>
      <c r="BQ47" s="559"/>
    </row>
    <row r="48" spans="2:69" s="4" customFormat="1" ht="15.95" customHeight="1">
      <c r="B48" s="154">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4"/>
        <v>0</v>
      </c>
      <c r="BO48" s="47">
        <f t="shared" si="5"/>
        <v>0</v>
      </c>
      <c r="BP48" s="631"/>
      <c r="BQ48" s="559"/>
    </row>
    <row r="49" spans="2:69" s="4" customFormat="1" ht="15.95" customHeight="1">
      <c r="B49" s="155">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4"/>
        <v>0</v>
      </c>
      <c r="BO49" s="47">
        <f t="shared" si="5"/>
        <v>0</v>
      </c>
      <c r="BP49" s="631"/>
      <c r="BQ49" s="559"/>
    </row>
    <row r="50" spans="2:69" s="4" customFormat="1" ht="15.95" customHeight="1">
      <c r="B50" s="154">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4"/>
        <v>0</v>
      </c>
      <c r="BO50" s="47">
        <f t="shared" si="5"/>
        <v>0</v>
      </c>
      <c r="BP50" s="631"/>
      <c r="BQ50" s="559"/>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4"/>
        <v>0</v>
      </c>
      <c r="BO51" s="47">
        <f t="shared" si="5"/>
        <v>0</v>
      </c>
      <c r="BP51" s="631"/>
      <c r="BQ51" s="559"/>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4"/>
        <v>0</v>
      </c>
      <c r="BO52" s="47">
        <f t="shared" si="5"/>
        <v>0</v>
      </c>
      <c r="BP52" s="631"/>
      <c r="BQ52" s="559"/>
    </row>
    <row r="53" spans="2:69" s="4" customFormat="1" ht="15.95" customHeight="1" thickBot="1">
      <c r="B53" s="112">
        <f>'1月'!$B$53</f>
        <v>0</v>
      </c>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16"/>
      <c r="AG53" s="15"/>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f t="shared" si="4"/>
        <v>0</v>
      </c>
      <c r="BO53" s="47">
        <f t="shared" si="5"/>
        <v>0</v>
      </c>
      <c r="BP53" s="631"/>
      <c r="BQ53" s="559"/>
    </row>
    <row r="54" spans="2:69" s="4" customFormat="1" ht="37.5" customHeight="1" thickBot="1">
      <c r="B54" s="119" t="s">
        <v>101</v>
      </c>
      <c r="C54" s="149"/>
      <c r="D54" s="28">
        <f t="shared" ref="D54:BM54" si="6">SUM(D30:D53)</f>
        <v>0</v>
      </c>
      <c r="E54" s="29">
        <f t="shared" si="6"/>
        <v>0</v>
      </c>
      <c r="F54" s="30">
        <f t="shared" si="6"/>
        <v>0</v>
      </c>
      <c r="G54" s="31">
        <f t="shared" si="6"/>
        <v>0</v>
      </c>
      <c r="H54" s="30">
        <f t="shared" si="6"/>
        <v>0</v>
      </c>
      <c r="I54" s="31">
        <f t="shared" si="6"/>
        <v>0</v>
      </c>
      <c r="J54" s="30">
        <f t="shared" si="6"/>
        <v>0</v>
      </c>
      <c r="K54" s="31">
        <f t="shared" si="6"/>
        <v>0</v>
      </c>
      <c r="L54" s="30">
        <f t="shared" si="6"/>
        <v>0</v>
      </c>
      <c r="M54" s="31">
        <f t="shared" si="6"/>
        <v>0</v>
      </c>
      <c r="N54" s="30">
        <f t="shared" si="6"/>
        <v>0</v>
      </c>
      <c r="O54" s="31">
        <f t="shared" si="6"/>
        <v>0</v>
      </c>
      <c r="P54" s="30">
        <f t="shared" si="6"/>
        <v>0</v>
      </c>
      <c r="Q54" s="31">
        <f t="shared" si="6"/>
        <v>0</v>
      </c>
      <c r="R54" s="30">
        <f t="shared" si="6"/>
        <v>0</v>
      </c>
      <c r="S54" s="31">
        <f t="shared" si="6"/>
        <v>0</v>
      </c>
      <c r="T54" s="30">
        <f t="shared" si="6"/>
        <v>0</v>
      </c>
      <c r="U54" s="31">
        <f t="shared" si="6"/>
        <v>0</v>
      </c>
      <c r="V54" s="30">
        <f t="shared" si="6"/>
        <v>0</v>
      </c>
      <c r="W54" s="31">
        <f t="shared" si="6"/>
        <v>0</v>
      </c>
      <c r="X54" s="30">
        <f t="shared" si="6"/>
        <v>0</v>
      </c>
      <c r="Y54" s="31">
        <f t="shared" si="6"/>
        <v>0</v>
      </c>
      <c r="Z54" s="30">
        <f t="shared" si="6"/>
        <v>0</v>
      </c>
      <c r="AA54" s="31">
        <f t="shared" si="6"/>
        <v>0</v>
      </c>
      <c r="AB54" s="30">
        <f t="shared" si="6"/>
        <v>0</v>
      </c>
      <c r="AC54" s="31">
        <f t="shared" si="6"/>
        <v>0</v>
      </c>
      <c r="AD54" s="30">
        <f t="shared" si="6"/>
        <v>0</v>
      </c>
      <c r="AE54" s="31">
        <f t="shared" si="6"/>
        <v>0</v>
      </c>
      <c r="AF54" s="30">
        <f t="shared" si="6"/>
        <v>0</v>
      </c>
      <c r="AG54" s="31">
        <f t="shared" si="6"/>
        <v>0</v>
      </c>
      <c r="AH54" s="28">
        <f t="shared" si="6"/>
        <v>0</v>
      </c>
      <c r="AI54" s="29">
        <f t="shared" si="6"/>
        <v>0</v>
      </c>
      <c r="AJ54" s="30">
        <f t="shared" si="6"/>
        <v>0</v>
      </c>
      <c r="AK54" s="31">
        <f t="shared" si="6"/>
        <v>0</v>
      </c>
      <c r="AL54" s="30">
        <f t="shared" si="6"/>
        <v>0</v>
      </c>
      <c r="AM54" s="31">
        <f t="shared" si="6"/>
        <v>0</v>
      </c>
      <c r="AN54" s="30">
        <f t="shared" si="6"/>
        <v>0</v>
      </c>
      <c r="AO54" s="31">
        <f t="shared" si="6"/>
        <v>0</v>
      </c>
      <c r="AP54" s="30">
        <f t="shared" si="6"/>
        <v>0</v>
      </c>
      <c r="AQ54" s="31">
        <f t="shared" si="6"/>
        <v>0</v>
      </c>
      <c r="AR54" s="30">
        <f t="shared" si="6"/>
        <v>0</v>
      </c>
      <c r="AS54" s="31">
        <f t="shared" si="6"/>
        <v>0</v>
      </c>
      <c r="AT54" s="30">
        <f t="shared" si="6"/>
        <v>0</v>
      </c>
      <c r="AU54" s="31">
        <f t="shared" si="6"/>
        <v>0</v>
      </c>
      <c r="AV54" s="30">
        <f t="shared" si="6"/>
        <v>0</v>
      </c>
      <c r="AW54" s="31">
        <f t="shared" si="6"/>
        <v>0</v>
      </c>
      <c r="AX54" s="30">
        <f t="shared" si="6"/>
        <v>0</v>
      </c>
      <c r="AY54" s="31">
        <f t="shared" si="6"/>
        <v>0</v>
      </c>
      <c r="AZ54" s="30">
        <f t="shared" si="6"/>
        <v>0</v>
      </c>
      <c r="BA54" s="31">
        <f t="shared" si="6"/>
        <v>0</v>
      </c>
      <c r="BB54" s="30">
        <f t="shared" si="6"/>
        <v>0</v>
      </c>
      <c r="BC54" s="31">
        <f t="shared" si="6"/>
        <v>0</v>
      </c>
      <c r="BD54" s="30">
        <f t="shared" si="6"/>
        <v>0</v>
      </c>
      <c r="BE54" s="31">
        <f t="shared" si="6"/>
        <v>0</v>
      </c>
      <c r="BF54" s="30">
        <f t="shared" si="6"/>
        <v>0</v>
      </c>
      <c r="BG54" s="31">
        <f t="shared" si="6"/>
        <v>0</v>
      </c>
      <c r="BH54" s="30">
        <f t="shared" si="6"/>
        <v>0</v>
      </c>
      <c r="BI54" s="31">
        <f t="shared" si="6"/>
        <v>0</v>
      </c>
      <c r="BJ54" s="30">
        <f t="shared" si="6"/>
        <v>0</v>
      </c>
      <c r="BK54" s="31">
        <f t="shared" si="6"/>
        <v>0</v>
      </c>
      <c r="BL54" s="30">
        <f t="shared" si="6"/>
        <v>0</v>
      </c>
      <c r="BM54" s="31">
        <f t="shared" si="6"/>
        <v>0</v>
      </c>
      <c r="BN54" s="32">
        <f>SUM(BN30:BN53)</f>
        <v>0</v>
      </c>
      <c r="BO54" s="33">
        <f>SUM(BO30:BO53)</f>
        <v>0</v>
      </c>
      <c r="BP54" s="245">
        <f>SUM(BP30:BP53)</f>
        <v>20</v>
      </c>
      <c r="BQ54" s="246">
        <f>SUM(BQ30:BQ53)</f>
        <v>30</v>
      </c>
    </row>
    <row r="55" spans="2:69" ht="28.5" customHeight="1">
      <c r="B55" s="120"/>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43" t="s">
        <v>171</v>
      </c>
      <c r="C57" s="749">
        <f>COUNTIF(B60:B65,"*")</f>
        <v>6</v>
      </c>
      <c r="D57" s="751">
        <v>1</v>
      </c>
      <c r="E57" s="738"/>
      <c r="F57" s="737">
        <v>2</v>
      </c>
      <c r="G57" s="738"/>
      <c r="H57" s="737">
        <v>3</v>
      </c>
      <c r="I57" s="738"/>
      <c r="J57" s="737">
        <v>4</v>
      </c>
      <c r="K57" s="738"/>
      <c r="L57" s="737">
        <v>5</v>
      </c>
      <c r="M57" s="738"/>
      <c r="N57" s="737">
        <v>6</v>
      </c>
      <c r="O57" s="738"/>
      <c r="P57" s="737">
        <v>7</v>
      </c>
      <c r="Q57" s="738"/>
      <c r="R57" s="737">
        <v>8</v>
      </c>
      <c r="S57" s="738"/>
      <c r="T57" s="737">
        <v>9</v>
      </c>
      <c r="U57" s="738"/>
      <c r="V57" s="737">
        <v>10</v>
      </c>
      <c r="W57" s="738"/>
      <c r="X57" s="737">
        <v>11</v>
      </c>
      <c r="Y57" s="738"/>
      <c r="Z57" s="737">
        <v>12</v>
      </c>
      <c r="AA57" s="738"/>
      <c r="AB57" s="737">
        <v>13</v>
      </c>
      <c r="AC57" s="738"/>
      <c r="AD57" s="737">
        <v>14</v>
      </c>
      <c r="AE57" s="738"/>
      <c r="AF57" s="737">
        <v>15</v>
      </c>
      <c r="AG57" s="784"/>
      <c r="AH57" s="751">
        <v>16</v>
      </c>
      <c r="AI57" s="738"/>
      <c r="AJ57" s="737">
        <v>17</v>
      </c>
      <c r="AK57" s="738"/>
      <c r="AL57" s="737">
        <v>18</v>
      </c>
      <c r="AM57" s="738"/>
      <c r="AN57" s="737">
        <v>19</v>
      </c>
      <c r="AO57" s="738"/>
      <c r="AP57" s="737">
        <v>20</v>
      </c>
      <c r="AQ57" s="738"/>
      <c r="AR57" s="737">
        <v>21</v>
      </c>
      <c r="AS57" s="738"/>
      <c r="AT57" s="737">
        <v>22</v>
      </c>
      <c r="AU57" s="738"/>
      <c r="AV57" s="737">
        <v>23</v>
      </c>
      <c r="AW57" s="738"/>
      <c r="AX57" s="737">
        <v>24</v>
      </c>
      <c r="AY57" s="738"/>
      <c r="AZ57" s="737">
        <v>25</v>
      </c>
      <c r="BA57" s="738"/>
      <c r="BB57" s="737">
        <v>26</v>
      </c>
      <c r="BC57" s="738"/>
      <c r="BD57" s="737">
        <v>27</v>
      </c>
      <c r="BE57" s="738"/>
      <c r="BF57" s="737">
        <v>28</v>
      </c>
      <c r="BG57" s="738"/>
      <c r="BH57" s="737">
        <v>29</v>
      </c>
      <c r="BI57" s="738"/>
      <c r="BJ57" s="737">
        <v>30</v>
      </c>
      <c r="BK57" s="738"/>
      <c r="BL57" s="741">
        <v>31</v>
      </c>
      <c r="BM57" s="741"/>
      <c r="BN57" s="738" t="s">
        <v>251</v>
      </c>
      <c r="BO57" s="760"/>
      <c r="BP57" s="763" t="s">
        <v>354</v>
      </c>
      <c r="BQ57" s="788"/>
    </row>
    <row r="58" spans="2:69" ht="24.95" customHeight="1">
      <c r="B58" s="744"/>
      <c r="C58" s="747"/>
      <c r="D58" s="752" t="str">
        <f>D2</f>
        <v>土</v>
      </c>
      <c r="E58" s="740"/>
      <c r="F58" s="739" t="str">
        <f>F2</f>
        <v>日</v>
      </c>
      <c r="G58" s="740"/>
      <c r="H58" s="739" t="str">
        <f>H2</f>
        <v>月</v>
      </c>
      <c r="I58" s="740"/>
      <c r="J58" s="739" t="str">
        <f>J2</f>
        <v>火</v>
      </c>
      <c r="K58" s="740"/>
      <c r="L58" s="739" t="str">
        <f>L2</f>
        <v>水</v>
      </c>
      <c r="M58" s="740"/>
      <c r="N58" s="739" t="str">
        <f>N2</f>
        <v>木</v>
      </c>
      <c r="O58" s="740"/>
      <c r="P58" s="739" t="str">
        <f>P2</f>
        <v>金</v>
      </c>
      <c r="Q58" s="740"/>
      <c r="R58" s="739" t="str">
        <f>R2</f>
        <v>土</v>
      </c>
      <c r="S58" s="740"/>
      <c r="T58" s="739" t="str">
        <f>T2</f>
        <v>日</v>
      </c>
      <c r="U58" s="740"/>
      <c r="V58" s="739" t="str">
        <f>V2</f>
        <v>月</v>
      </c>
      <c r="W58" s="740"/>
      <c r="X58" s="739" t="str">
        <f>X2</f>
        <v>火</v>
      </c>
      <c r="Y58" s="740"/>
      <c r="Z58" s="739" t="str">
        <f>Z2</f>
        <v>水</v>
      </c>
      <c r="AA58" s="740"/>
      <c r="AB58" s="739" t="str">
        <f>AB2</f>
        <v>木</v>
      </c>
      <c r="AC58" s="740"/>
      <c r="AD58" s="739" t="str">
        <f>AD2</f>
        <v>金</v>
      </c>
      <c r="AE58" s="740"/>
      <c r="AF58" s="739" t="str">
        <f>AF2</f>
        <v>土</v>
      </c>
      <c r="AG58" s="740"/>
      <c r="AH58" s="786" t="str">
        <f>AH2</f>
        <v>日</v>
      </c>
      <c r="AI58" s="767"/>
      <c r="AJ58" s="770" t="str">
        <f>AJ2</f>
        <v>月</v>
      </c>
      <c r="AK58" s="770"/>
      <c r="AL58" s="770" t="str">
        <f>AL2</f>
        <v>火</v>
      </c>
      <c r="AM58" s="770"/>
      <c r="AN58" s="770" t="str">
        <f>AN2</f>
        <v>水</v>
      </c>
      <c r="AO58" s="770"/>
      <c r="AP58" s="770" t="str">
        <f>AP2</f>
        <v>木</v>
      </c>
      <c r="AQ58" s="770"/>
      <c r="AR58" s="770" t="str">
        <f>AR2</f>
        <v>金</v>
      </c>
      <c r="AS58" s="770"/>
      <c r="AT58" s="770" t="str">
        <f>AT2</f>
        <v>土</v>
      </c>
      <c r="AU58" s="770"/>
      <c r="AV58" s="770" t="str">
        <f>AV2</f>
        <v>日</v>
      </c>
      <c r="AW58" s="770"/>
      <c r="AX58" s="770" t="str">
        <f>AX2</f>
        <v>月</v>
      </c>
      <c r="AY58" s="770"/>
      <c r="AZ58" s="770" t="str">
        <f>AZ2</f>
        <v>火</v>
      </c>
      <c r="BA58" s="770"/>
      <c r="BB58" s="770" t="str">
        <f>BB2</f>
        <v>水</v>
      </c>
      <c r="BC58" s="770"/>
      <c r="BD58" s="770" t="str">
        <f>BD2</f>
        <v>木</v>
      </c>
      <c r="BE58" s="770"/>
      <c r="BF58" s="770" t="str">
        <f>BF2</f>
        <v>金</v>
      </c>
      <c r="BG58" s="770"/>
      <c r="BH58" s="770" t="str">
        <f>BH2</f>
        <v>土</v>
      </c>
      <c r="BI58" s="770"/>
      <c r="BJ58" s="770" t="str">
        <f>BJ2</f>
        <v>日</v>
      </c>
      <c r="BK58" s="770"/>
      <c r="BL58" s="770" t="str">
        <f>BL2</f>
        <v>月</v>
      </c>
      <c r="BM58" s="770"/>
      <c r="BN58" s="761"/>
      <c r="BO58" s="762"/>
      <c r="BP58" s="789"/>
      <c r="BQ58" s="790"/>
    </row>
    <row r="59" spans="2:69" ht="24.75" customHeight="1" thickBot="1">
      <c r="B59" s="744"/>
      <c r="C59" s="747"/>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194" t="s">
        <v>72</v>
      </c>
      <c r="AG59" s="107" t="s">
        <v>73</v>
      </c>
      <c r="AH59" s="529" t="s">
        <v>72</v>
      </c>
      <c r="AI59" s="530" t="s">
        <v>73</v>
      </c>
      <c r="AJ59" s="531" t="s">
        <v>72</v>
      </c>
      <c r="AK59" s="530" t="s">
        <v>73</v>
      </c>
      <c r="AL59" s="531" t="s">
        <v>72</v>
      </c>
      <c r="AM59" s="530" t="s">
        <v>73</v>
      </c>
      <c r="AN59" s="529" t="s">
        <v>72</v>
      </c>
      <c r="AO59" s="530" t="s">
        <v>73</v>
      </c>
      <c r="AP59" s="529" t="s">
        <v>72</v>
      </c>
      <c r="AQ59" s="530" t="s">
        <v>73</v>
      </c>
      <c r="AR59" s="529" t="s">
        <v>72</v>
      </c>
      <c r="AS59" s="530" t="s">
        <v>73</v>
      </c>
      <c r="AT59" s="529" t="s">
        <v>72</v>
      </c>
      <c r="AU59" s="530" t="s">
        <v>73</v>
      </c>
      <c r="AV59" s="529" t="s">
        <v>72</v>
      </c>
      <c r="AW59" s="530" t="s">
        <v>73</v>
      </c>
      <c r="AX59" s="529" t="s">
        <v>72</v>
      </c>
      <c r="AY59" s="530" t="s">
        <v>73</v>
      </c>
      <c r="AZ59" s="529" t="s">
        <v>72</v>
      </c>
      <c r="BA59" s="530" t="s">
        <v>73</v>
      </c>
      <c r="BB59" s="529" t="s">
        <v>72</v>
      </c>
      <c r="BC59" s="530" t="s">
        <v>73</v>
      </c>
      <c r="BD59" s="529" t="s">
        <v>72</v>
      </c>
      <c r="BE59" s="532" t="s">
        <v>73</v>
      </c>
      <c r="BF59" s="533" t="s">
        <v>72</v>
      </c>
      <c r="BG59" s="532" t="s">
        <v>73</v>
      </c>
      <c r="BH59" s="533" t="s">
        <v>72</v>
      </c>
      <c r="BI59" s="532" t="s">
        <v>73</v>
      </c>
      <c r="BJ59" s="533" t="s">
        <v>72</v>
      </c>
      <c r="BK59" s="532" t="s">
        <v>73</v>
      </c>
      <c r="BL59" s="533" t="s">
        <v>72</v>
      </c>
      <c r="BM59" s="532" t="s">
        <v>73</v>
      </c>
      <c r="BN59" s="534" t="s">
        <v>72</v>
      </c>
      <c r="BO59" s="536" t="s">
        <v>73</v>
      </c>
      <c r="BP59" s="539" t="s">
        <v>253</v>
      </c>
      <c r="BQ59" s="536" t="s">
        <v>73</v>
      </c>
    </row>
    <row r="60" spans="2:69" ht="50.1" customHeight="1">
      <c r="B60" s="201" t="str">
        <f>'1月'!$B$60</f>
        <v>工藤　翔平</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c r="AE60" s="164"/>
      <c r="AF60" s="165"/>
      <c r="AG60" s="186"/>
      <c r="AH60" s="116"/>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102">
        <f t="shared" ref="BN60:BO65" si="7">SUM(D60,F60,H60,J60,L60,N60,P60,R60,T60,V60,X60,Z60,AB60,AD60,AF60,AH60,AJ60,AL60,AN60,AP60,AR60,AT60,AV60,AX60,AZ60,BB60,BD60,BF60,BH60,BJ60,BL60)</f>
        <v>0</v>
      </c>
      <c r="BO60" s="47">
        <f t="shared" si="7"/>
        <v>0</v>
      </c>
      <c r="BP60" s="631">
        <f>INDEX('1月'!$B$4:$BQ$375,MATCH('2月'!B60,'1月'!$B$4:$B$375,0),67)+BN60</f>
        <v>2</v>
      </c>
      <c r="BQ60" s="702">
        <f>INDEX('1月'!$B$4:$BQ$375,MATCH('2月'!B60,'1月'!$B$4:$B$375,0),68)+BO60</f>
        <v>2</v>
      </c>
    </row>
    <row r="61" spans="2:69" ht="50.1" customHeight="1">
      <c r="B61" s="204" t="str">
        <f>'1月'!$B$61</f>
        <v>今野　友生</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165"/>
      <c r="AG61" s="187"/>
      <c r="AH61" s="116"/>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102">
        <f t="shared" si="7"/>
        <v>0</v>
      </c>
      <c r="BO61" s="47">
        <f t="shared" si="7"/>
        <v>0</v>
      </c>
      <c r="BP61" s="631">
        <f>INDEX('1月'!$B$4:$BQ$375,MATCH('2月'!B61,'1月'!$B$4:$B$375,0),67)+BN61</f>
        <v>0</v>
      </c>
      <c r="BQ61" s="702">
        <f>INDEX('1月'!$B$4:$BQ$375,MATCH('2月'!B61,'1月'!$B$4:$B$375,0),68)+BO61</f>
        <v>0</v>
      </c>
    </row>
    <row r="62" spans="2:69" ht="50.1" customHeight="1">
      <c r="B62" s="225" t="str">
        <f>'1月'!$B$62</f>
        <v>佐藤　真夏</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165"/>
      <c r="AG62" s="188"/>
      <c r="AH62" s="116"/>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102">
        <f t="shared" si="7"/>
        <v>0</v>
      </c>
      <c r="BO62" s="47">
        <f t="shared" si="7"/>
        <v>0</v>
      </c>
      <c r="BP62" s="631">
        <f>INDEX('1月'!$B$4:$BQ$375,MATCH('2月'!B62,'1月'!$B$4:$B$375,0),67)+BN62</f>
        <v>0</v>
      </c>
      <c r="BQ62" s="702">
        <f>INDEX('1月'!$B$4:$BQ$375,MATCH('2月'!B62,'1月'!$B$4:$B$375,0),68)+BO62</f>
        <v>0</v>
      </c>
    </row>
    <row r="63" spans="2:69" ht="50.1" customHeight="1">
      <c r="B63" s="201" t="str">
        <f>'1月'!$B$63</f>
        <v>西村　裕美</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165"/>
      <c r="AG63" s="187"/>
      <c r="AH63" s="116"/>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102">
        <f t="shared" si="7"/>
        <v>0</v>
      </c>
      <c r="BO63" s="47">
        <f t="shared" si="7"/>
        <v>0</v>
      </c>
      <c r="BP63" s="631">
        <f>INDEX('1月'!$B$4:$BQ$375,MATCH('2月'!B63,'1月'!$B$4:$B$375,0),67)+BN63</f>
        <v>0</v>
      </c>
      <c r="BQ63" s="702">
        <f>INDEX('1月'!$B$4:$BQ$375,MATCH('2月'!B63,'1月'!$B$4:$B$375,0),68)+BO63</f>
        <v>0</v>
      </c>
    </row>
    <row r="64" spans="2:69" ht="50.1" customHeight="1">
      <c r="B64" s="201" t="str">
        <f>'1月'!$B$64</f>
        <v>野﨑　浩士</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165"/>
      <c r="AG64" s="190"/>
      <c r="AH64" s="116"/>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102">
        <f t="shared" si="7"/>
        <v>0</v>
      </c>
      <c r="BO64" s="47">
        <f t="shared" si="7"/>
        <v>0</v>
      </c>
      <c r="BP64" s="631">
        <f>INDEX('1月'!$B$4:$BQ$375,MATCH('2月'!B64,'1月'!$B$4:$B$375,0),67)+BN64</f>
        <v>0</v>
      </c>
      <c r="BQ64" s="702">
        <f>INDEX('1月'!$B$4:$BQ$375,MATCH('2月'!B64,'1月'!$B$4:$B$375,0),68)+BO64</f>
        <v>0</v>
      </c>
    </row>
    <row r="65" spans="2:69" s="4" customFormat="1" ht="49.5" customHeight="1" thickBot="1">
      <c r="B65" s="202" t="str">
        <f>'1月'!$B$65</f>
        <v>武藤　雅子</v>
      </c>
      <c r="C65" s="147"/>
      <c r="D65" s="38"/>
      <c r="E65" s="20"/>
      <c r="F65" s="38"/>
      <c r="G65" s="20"/>
      <c r="H65" s="38"/>
      <c r="I65" s="20"/>
      <c r="J65" s="38"/>
      <c r="K65" s="20"/>
      <c r="L65" s="38"/>
      <c r="M65" s="20"/>
      <c r="N65" s="38"/>
      <c r="O65" s="20"/>
      <c r="P65" s="38"/>
      <c r="Q65" s="20"/>
      <c r="R65" s="38"/>
      <c r="S65" s="20"/>
      <c r="T65" s="38"/>
      <c r="U65" s="20"/>
      <c r="V65" s="38"/>
      <c r="W65" s="20"/>
      <c r="X65" s="38"/>
      <c r="Y65" s="20"/>
      <c r="Z65" s="38"/>
      <c r="AA65" s="20"/>
      <c r="AB65" s="38"/>
      <c r="AC65" s="20"/>
      <c r="AD65" s="38"/>
      <c r="AE65" s="20"/>
      <c r="AF65" s="38"/>
      <c r="AG65" s="21"/>
      <c r="AH65" s="38"/>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102">
        <f t="shared" si="7"/>
        <v>0</v>
      </c>
      <c r="BO65" s="47">
        <f t="shared" si="7"/>
        <v>0</v>
      </c>
      <c r="BP65" s="631">
        <f>INDEX('1月'!$B$4:$BQ$375,MATCH('2月'!B65,'1月'!$B$4:$B$375,0),67)+BN65</f>
        <v>0</v>
      </c>
      <c r="BQ65" s="702">
        <f>INDEX('1月'!$B$4:$BQ$375,MATCH('2月'!B65,'1月'!$B$4:$B$375,0),68)+BO65</f>
        <v>0</v>
      </c>
    </row>
    <row r="66" spans="2:69" s="4" customFormat="1" ht="50.1" customHeight="1" thickBot="1">
      <c r="B66" s="119" t="s">
        <v>101</v>
      </c>
      <c r="C66" s="149"/>
      <c r="D66" s="39">
        <f t="shared" ref="D66:AG66" si="8">SUM(D60:D65)</f>
        <v>0</v>
      </c>
      <c r="E66" s="31">
        <f t="shared" si="8"/>
        <v>0</v>
      </c>
      <c r="F66" s="39">
        <f t="shared" si="8"/>
        <v>0</v>
      </c>
      <c r="G66" s="31">
        <f t="shared" si="8"/>
        <v>0</v>
      </c>
      <c r="H66" s="39">
        <f t="shared" si="8"/>
        <v>0</v>
      </c>
      <c r="I66" s="31">
        <f t="shared" si="8"/>
        <v>0</v>
      </c>
      <c r="J66" s="39">
        <f t="shared" si="8"/>
        <v>0</v>
      </c>
      <c r="K66" s="31">
        <f t="shared" si="8"/>
        <v>0</v>
      </c>
      <c r="L66" s="39">
        <f t="shared" si="8"/>
        <v>0</v>
      </c>
      <c r="M66" s="31">
        <f t="shared" si="8"/>
        <v>0</v>
      </c>
      <c r="N66" s="39">
        <f t="shared" si="8"/>
        <v>0</v>
      </c>
      <c r="O66" s="31">
        <f t="shared" si="8"/>
        <v>0</v>
      </c>
      <c r="P66" s="39">
        <f t="shared" si="8"/>
        <v>0</v>
      </c>
      <c r="Q66" s="31">
        <f t="shared" si="8"/>
        <v>0</v>
      </c>
      <c r="R66" s="39">
        <f t="shared" si="8"/>
        <v>0</v>
      </c>
      <c r="S66" s="31">
        <f t="shared" si="8"/>
        <v>0</v>
      </c>
      <c r="T66" s="39">
        <f t="shared" si="8"/>
        <v>0</v>
      </c>
      <c r="U66" s="31">
        <f t="shared" si="8"/>
        <v>0</v>
      </c>
      <c r="V66" s="39">
        <f t="shared" si="8"/>
        <v>0</v>
      </c>
      <c r="W66" s="31">
        <f t="shared" si="8"/>
        <v>0</v>
      </c>
      <c r="X66" s="39">
        <f t="shared" si="8"/>
        <v>0</v>
      </c>
      <c r="Y66" s="31">
        <f t="shared" si="8"/>
        <v>0</v>
      </c>
      <c r="Z66" s="39">
        <f t="shared" si="8"/>
        <v>0</v>
      </c>
      <c r="AA66" s="31">
        <f t="shared" si="8"/>
        <v>0</v>
      </c>
      <c r="AB66" s="39">
        <f t="shared" si="8"/>
        <v>0</v>
      </c>
      <c r="AC66" s="31">
        <f t="shared" si="8"/>
        <v>0</v>
      </c>
      <c r="AD66" s="39">
        <f t="shared" si="8"/>
        <v>0</v>
      </c>
      <c r="AE66" s="31">
        <f t="shared" si="8"/>
        <v>0</v>
      </c>
      <c r="AF66" s="39">
        <f t="shared" si="8"/>
        <v>0</v>
      </c>
      <c r="AG66" s="52">
        <f t="shared" si="8"/>
        <v>0</v>
      </c>
      <c r="AH66" s="39">
        <f t="shared" ref="AH66:BQ66" si="9">SUM(AH60:AH65)</f>
        <v>0</v>
      </c>
      <c r="AI66" s="31">
        <f t="shared" si="9"/>
        <v>0</v>
      </c>
      <c r="AJ66" s="39">
        <f t="shared" si="9"/>
        <v>0</v>
      </c>
      <c r="AK66" s="31">
        <f t="shared" si="9"/>
        <v>0</v>
      </c>
      <c r="AL66" s="39">
        <f t="shared" si="9"/>
        <v>0</v>
      </c>
      <c r="AM66" s="31">
        <f t="shared" si="9"/>
        <v>0</v>
      </c>
      <c r="AN66" s="39">
        <f t="shared" si="9"/>
        <v>0</v>
      </c>
      <c r="AO66" s="31">
        <f t="shared" si="9"/>
        <v>0</v>
      </c>
      <c r="AP66" s="39">
        <f t="shared" si="9"/>
        <v>0</v>
      </c>
      <c r="AQ66" s="31">
        <f t="shared" si="9"/>
        <v>0</v>
      </c>
      <c r="AR66" s="39">
        <f t="shared" si="9"/>
        <v>0</v>
      </c>
      <c r="AS66" s="31">
        <f t="shared" si="9"/>
        <v>0</v>
      </c>
      <c r="AT66" s="39">
        <f t="shared" si="9"/>
        <v>0</v>
      </c>
      <c r="AU66" s="31">
        <f t="shared" si="9"/>
        <v>0</v>
      </c>
      <c r="AV66" s="39">
        <f t="shared" si="9"/>
        <v>0</v>
      </c>
      <c r="AW66" s="31">
        <f t="shared" si="9"/>
        <v>0</v>
      </c>
      <c r="AX66" s="39">
        <f t="shared" si="9"/>
        <v>0</v>
      </c>
      <c r="AY66" s="31">
        <f t="shared" si="9"/>
        <v>0</v>
      </c>
      <c r="AZ66" s="39">
        <f t="shared" si="9"/>
        <v>0</v>
      </c>
      <c r="BA66" s="31">
        <f t="shared" si="9"/>
        <v>0</v>
      </c>
      <c r="BB66" s="39">
        <f t="shared" si="9"/>
        <v>0</v>
      </c>
      <c r="BC66" s="31">
        <f t="shared" si="9"/>
        <v>0</v>
      </c>
      <c r="BD66" s="39">
        <f t="shared" si="9"/>
        <v>0</v>
      </c>
      <c r="BE66" s="31">
        <f t="shared" si="9"/>
        <v>0</v>
      </c>
      <c r="BF66" s="39">
        <f t="shared" si="9"/>
        <v>0</v>
      </c>
      <c r="BG66" s="31">
        <f t="shared" si="9"/>
        <v>0</v>
      </c>
      <c r="BH66" s="39">
        <f t="shared" si="9"/>
        <v>0</v>
      </c>
      <c r="BI66" s="31">
        <f t="shared" si="9"/>
        <v>0</v>
      </c>
      <c r="BJ66" s="39">
        <f t="shared" si="9"/>
        <v>0</v>
      </c>
      <c r="BK66" s="41">
        <f t="shared" si="9"/>
        <v>0</v>
      </c>
      <c r="BL66" s="39">
        <f t="shared" si="9"/>
        <v>0</v>
      </c>
      <c r="BM66" s="41">
        <f t="shared" si="9"/>
        <v>0</v>
      </c>
      <c r="BN66" s="32">
        <f t="shared" si="9"/>
        <v>0</v>
      </c>
      <c r="BO66" s="40">
        <f t="shared" si="9"/>
        <v>0</v>
      </c>
      <c r="BP66" s="245">
        <f t="shared" si="9"/>
        <v>2</v>
      </c>
      <c r="BQ66" s="246">
        <f t="shared" si="9"/>
        <v>2</v>
      </c>
    </row>
    <row r="67" spans="2:69" ht="28.5" customHeight="1" thickBot="1">
      <c r="B67" s="120"/>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row>
    <row r="68" spans="2:69" ht="24.75" customHeight="1">
      <c r="B68" s="743" t="s">
        <v>80</v>
      </c>
      <c r="C68" s="749">
        <f>COUNTIF(B71:B74,"*")</f>
        <v>3</v>
      </c>
      <c r="D68" s="751">
        <v>1</v>
      </c>
      <c r="E68" s="738"/>
      <c r="F68" s="737">
        <v>2</v>
      </c>
      <c r="G68" s="738"/>
      <c r="H68" s="737">
        <v>3</v>
      </c>
      <c r="I68" s="738"/>
      <c r="J68" s="737">
        <v>4</v>
      </c>
      <c r="K68" s="738"/>
      <c r="L68" s="737">
        <v>5</v>
      </c>
      <c r="M68" s="738"/>
      <c r="N68" s="737">
        <v>6</v>
      </c>
      <c r="O68" s="738"/>
      <c r="P68" s="737">
        <v>7</v>
      </c>
      <c r="Q68" s="738"/>
      <c r="R68" s="737">
        <v>8</v>
      </c>
      <c r="S68" s="738"/>
      <c r="T68" s="737">
        <v>9</v>
      </c>
      <c r="U68" s="738"/>
      <c r="V68" s="737">
        <v>10</v>
      </c>
      <c r="W68" s="738"/>
      <c r="X68" s="737">
        <v>11</v>
      </c>
      <c r="Y68" s="738"/>
      <c r="Z68" s="737">
        <v>12</v>
      </c>
      <c r="AA68" s="738"/>
      <c r="AB68" s="737">
        <v>13</v>
      </c>
      <c r="AC68" s="738"/>
      <c r="AD68" s="737">
        <v>14</v>
      </c>
      <c r="AE68" s="738"/>
      <c r="AF68" s="737">
        <v>15</v>
      </c>
      <c r="AG68" s="784"/>
      <c r="AH68" s="751">
        <v>16</v>
      </c>
      <c r="AI68" s="738"/>
      <c r="AJ68" s="737">
        <v>17</v>
      </c>
      <c r="AK68" s="738"/>
      <c r="AL68" s="737">
        <v>18</v>
      </c>
      <c r="AM68" s="738"/>
      <c r="AN68" s="737">
        <v>19</v>
      </c>
      <c r="AO68" s="738"/>
      <c r="AP68" s="737">
        <v>20</v>
      </c>
      <c r="AQ68" s="738"/>
      <c r="AR68" s="737">
        <v>21</v>
      </c>
      <c r="AS68" s="738"/>
      <c r="AT68" s="737">
        <v>22</v>
      </c>
      <c r="AU68" s="738"/>
      <c r="AV68" s="737">
        <v>23</v>
      </c>
      <c r="AW68" s="738"/>
      <c r="AX68" s="737">
        <v>24</v>
      </c>
      <c r="AY68" s="738"/>
      <c r="AZ68" s="737">
        <v>25</v>
      </c>
      <c r="BA68" s="738"/>
      <c r="BB68" s="737">
        <v>26</v>
      </c>
      <c r="BC68" s="738"/>
      <c r="BD68" s="737">
        <v>27</v>
      </c>
      <c r="BE68" s="738"/>
      <c r="BF68" s="737">
        <v>28</v>
      </c>
      <c r="BG68" s="738"/>
      <c r="BH68" s="737">
        <v>29</v>
      </c>
      <c r="BI68" s="738"/>
      <c r="BJ68" s="737">
        <v>30</v>
      </c>
      <c r="BK68" s="738"/>
      <c r="BL68" s="741">
        <v>31</v>
      </c>
      <c r="BM68" s="741"/>
      <c r="BN68" s="738" t="s">
        <v>251</v>
      </c>
      <c r="BO68" s="760"/>
      <c r="BP68" s="763" t="s">
        <v>354</v>
      </c>
      <c r="BQ68" s="788"/>
    </row>
    <row r="69" spans="2:69" ht="24.75" customHeight="1">
      <c r="B69" s="744"/>
      <c r="C69" s="747"/>
      <c r="D69" s="752" t="str">
        <f>D2</f>
        <v>土</v>
      </c>
      <c r="E69" s="740"/>
      <c r="F69" s="739" t="str">
        <f>F2</f>
        <v>日</v>
      </c>
      <c r="G69" s="740"/>
      <c r="H69" s="739" t="str">
        <f>H2</f>
        <v>月</v>
      </c>
      <c r="I69" s="740"/>
      <c r="J69" s="739" t="str">
        <f>J2</f>
        <v>火</v>
      </c>
      <c r="K69" s="740"/>
      <c r="L69" s="739" t="str">
        <f>L2</f>
        <v>水</v>
      </c>
      <c r="M69" s="740"/>
      <c r="N69" s="739" t="str">
        <f>N2</f>
        <v>木</v>
      </c>
      <c r="O69" s="740"/>
      <c r="P69" s="739" t="str">
        <f>P2</f>
        <v>金</v>
      </c>
      <c r="Q69" s="740"/>
      <c r="R69" s="739" t="str">
        <f>R2</f>
        <v>土</v>
      </c>
      <c r="S69" s="740"/>
      <c r="T69" s="739" t="str">
        <f>T2</f>
        <v>日</v>
      </c>
      <c r="U69" s="740"/>
      <c r="V69" s="739" t="str">
        <f>V2</f>
        <v>月</v>
      </c>
      <c r="W69" s="740"/>
      <c r="X69" s="739" t="str">
        <f>X2</f>
        <v>火</v>
      </c>
      <c r="Y69" s="740"/>
      <c r="Z69" s="739" t="str">
        <f>Z2</f>
        <v>水</v>
      </c>
      <c r="AA69" s="740"/>
      <c r="AB69" s="739" t="str">
        <f>AB2</f>
        <v>木</v>
      </c>
      <c r="AC69" s="740"/>
      <c r="AD69" s="739" t="str">
        <f>AD2</f>
        <v>金</v>
      </c>
      <c r="AE69" s="740"/>
      <c r="AF69" s="739" t="str">
        <f>AF2</f>
        <v>土</v>
      </c>
      <c r="AG69" s="740"/>
      <c r="AH69" s="786" t="str">
        <f>AH2</f>
        <v>日</v>
      </c>
      <c r="AI69" s="767"/>
      <c r="AJ69" s="770" t="str">
        <f>AJ2</f>
        <v>月</v>
      </c>
      <c r="AK69" s="770"/>
      <c r="AL69" s="770" t="str">
        <f>AL2</f>
        <v>火</v>
      </c>
      <c r="AM69" s="770"/>
      <c r="AN69" s="770" t="str">
        <f>AN2</f>
        <v>水</v>
      </c>
      <c r="AO69" s="770"/>
      <c r="AP69" s="770" t="str">
        <f>AP2</f>
        <v>木</v>
      </c>
      <c r="AQ69" s="770"/>
      <c r="AR69" s="770" t="str">
        <f>AR2</f>
        <v>金</v>
      </c>
      <c r="AS69" s="770"/>
      <c r="AT69" s="770" t="str">
        <f>AT2</f>
        <v>土</v>
      </c>
      <c r="AU69" s="770"/>
      <c r="AV69" s="770" t="str">
        <f>AV2</f>
        <v>日</v>
      </c>
      <c r="AW69" s="770"/>
      <c r="AX69" s="770" t="str">
        <f>AX2</f>
        <v>月</v>
      </c>
      <c r="AY69" s="770"/>
      <c r="AZ69" s="770" t="str">
        <f>AZ2</f>
        <v>火</v>
      </c>
      <c r="BA69" s="770"/>
      <c r="BB69" s="770" t="str">
        <f>BB2</f>
        <v>水</v>
      </c>
      <c r="BC69" s="770"/>
      <c r="BD69" s="770" t="str">
        <f>BD2</f>
        <v>木</v>
      </c>
      <c r="BE69" s="770"/>
      <c r="BF69" s="770" t="str">
        <f>BF2</f>
        <v>金</v>
      </c>
      <c r="BG69" s="770"/>
      <c r="BH69" s="770" t="str">
        <f>BH2</f>
        <v>土</v>
      </c>
      <c r="BI69" s="770"/>
      <c r="BJ69" s="770" t="str">
        <f>BJ2</f>
        <v>日</v>
      </c>
      <c r="BK69" s="770"/>
      <c r="BL69" s="770" t="str">
        <f>BL2</f>
        <v>月</v>
      </c>
      <c r="BM69" s="770"/>
      <c r="BN69" s="761"/>
      <c r="BO69" s="762"/>
      <c r="BP69" s="789"/>
      <c r="BQ69" s="790"/>
    </row>
    <row r="70" spans="2:69" ht="24.95" customHeight="1" thickBot="1">
      <c r="B70" s="748"/>
      <c r="C70" s="750"/>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4"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50.1" customHeight="1" thickTop="1">
      <c r="B71" s="202" t="str">
        <f>'1月'!$B$71</f>
        <v>舘　博美</v>
      </c>
      <c r="C71" s="145"/>
      <c r="D71" s="35"/>
      <c r="E71" s="36"/>
      <c r="F71" s="35"/>
      <c r="G71" s="36"/>
      <c r="H71" s="35"/>
      <c r="I71" s="36"/>
      <c r="J71" s="35"/>
      <c r="K71" s="36"/>
      <c r="L71" s="35"/>
      <c r="M71" s="36"/>
      <c r="N71" s="35"/>
      <c r="O71" s="36"/>
      <c r="P71" s="35"/>
      <c r="Q71" s="36"/>
      <c r="R71" s="35"/>
      <c r="S71" s="36"/>
      <c r="T71" s="35"/>
      <c r="U71" s="36"/>
      <c r="V71" s="35"/>
      <c r="W71" s="36"/>
      <c r="X71" s="35"/>
      <c r="Y71" s="36"/>
      <c r="Z71" s="35"/>
      <c r="AA71" s="36"/>
      <c r="AB71" s="35"/>
      <c r="AC71" s="36"/>
      <c r="AD71" s="35"/>
      <c r="AE71" s="36"/>
      <c r="AF71" s="35"/>
      <c r="AG71" s="10"/>
      <c r="AH71" s="35"/>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179"/>
      <c r="BK71" s="10"/>
      <c r="BL71" s="178"/>
      <c r="BM71" s="178"/>
      <c r="BN71" s="102">
        <f t="shared" ref="BN71:BO74" si="10">SUM(D71,F71,H71,J71,L71,N71,P71,R71,T71,V71,X71,Z71,AB71,AD71,AF71,AH71,AJ71,AL71,AN71,AP71,AR71,AT71,AV71,AX71,AZ71,BB71,BD71,BF71,BH71,BJ71,BL71)</f>
        <v>0</v>
      </c>
      <c r="BO71" s="47">
        <f t="shared" si="10"/>
        <v>0</v>
      </c>
      <c r="BP71" s="631">
        <f>INDEX('1月'!$B$4:$BQ$375,MATCH('2月'!B71,'1月'!$B$4:$B$375,0),67)+BN71</f>
        <v>3</v>
      </c>
      <c r="BQ71" s="702">
        <f>INDEX('1月'!$B$4:$BQ$375,MATCH('2月'!B71,'1月'!$B$4:$B$375,0),68)+BO71</f>
        <v>6</v>
      </c>
    </row>
    <row r="72" spans="2:69" s="6" customFormat="1" ht="50.1" customHeight="1">
      <c r="B72" s="202" t="str">
        <f>'1月'!$B$72</f>
        <v>上野　喜幸</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37"/>
      <c r="AG72" s="15"/>
      <c r="AH72" s="3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102">
        <f t="shared" si="10"/>
        <v>0</v>
      </c>
      <c r="BO72" s="47">
        <f t="shared" si="10"/>
        <v>0</v>
      </c>
      <c r="BP72" s="631">
        <f>INDEX('1月'!$B$4:$BQ$375,MATCH('2月'!B72,'1月'!$B$4:$B$375,0),67)+BN72</f>
        <v>0</v>
      </c>
      <c r="BQ72" s="702">
        <f>INDEX('1月'!$B$4:$BQ$375,MATCH('2月'!B72,'1月'!$B$4:$B$375,0),68)+BO72</f>
        <v>0</v>
      </c>
    </row>
    <row r="73" spans="2:69" s="6" customFormat="1" ht="50.1" customHeight="1">
      <c r="B73" s="202" t="str">
        <f>'1月'!$B$73</f>
        <v>早川　政子</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si="10"/>
        <v>0</v>
      </c>
      <c r="BO73" s="47">
        <f t="shared" si="10"/>
        <v>0</v>
      </c>
      <c r="BP73" s="631">
        <f>INDEX('1月'!$B$4:$BQ$375,MATCH('2月'!B73,'1月'!$B$4:$B$375,0),67)+BN73</f>
        <v>0</v>
      </c>
      <c r="BQ73" s="702">
        <f>INDEX('1月'!$B$4:$BQ$375,MATCH('2月'!B73,'1月'!$B$4:$B$375,0),68)+BO73</f>
        <v>0</v>
      </c>
    </row>
    <row r="74" spans="2:69" ht="15.95" customHeight="1" thickBot="1">
      <c r="B74" s="202">
        <f>'1月'!$B$74</f>
        <v>0</v>
      </c>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38"/>
      <c r="AG74" s="21"/>
      <c r="AH74" s="38"/>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f t="shared" si="10"/>
        <v>0</v>
      </c>
      <c r="BO74" s="47">
        <f t="shared" si="10"/>
        <v>0</v>
      </c>
      <c r="BP74" s="631"/>
      <c r="BQ74" s="559"/>
    </row>
    <row r="75" spans="2:69" ht="36" customHeight="1" thickBot="1">
      <c r="B75" s="119" t="s">
        <v>101</v>
      </c>
      <c r="C75" s="151"/>
      <c r="D75" s="32">
        <f t="shared" ref="D75:BK75" si="11">SUM(D71:D74)</f>
        <v>0</v>
      </c>
      <c r="E75" s="31">
        <f t="shared" si="11"/>
        <v>0</v>
      </c>
      <c r="F75" s="39">
        <f t="shared" si="11"/>
        <v>0</v>
      </c>
      <c r="G75" s="31">
        <f t="shared" si="11"/>
        <v>0</v>
      </c>
      <c r="H75" s="39">
        <f t="shared" si="11"/>
        <v>0</v>
      </c>
      <c r="I75" s="31">
        <f t="shared" si="11"/>
        <v>0</v>
      </c>
      <c r="J75" s="39">
        <f t="shared" si="11"/>
        <v>0</v>
      </c>
      <c r="K75" s="31">
        <f t="shared" si="11"/>
        <v>0</v>
      </c>
      <c r="L75" s="39">
        <f t="shared" si="11"/>
        <v>0</v>
      </c>
      <c r="M75" s="31">
        <f t="shared" si="11"/>
        <v>0</v>
      </c>
      <c r="N75" s="39">
        <f t="shared" si="11"/>
        <v>0</v>
      </c>
      <c r="O75" s="31">
        <f t="shared" si="11"/>
        <v>0</v>
      </c>
      <c r="P75" s="39">
        <f t="shared" si="11"/>
        <v>0</v>
      </c>
      <c r="Q75" s="31">
        <f t="shared" si="11"/>
        <v>0</v>
      </c>
      <c r="R75" s="39">
        <f t="shared" si="11"/>
        <v>0</v>
      </c>
      <c r="S75" s="31">
        <f t="shared" si="11"/>
        <v>0</v>
      </c>
      <c r="T75" s="39">
        <f t="shared" si="11"/>
        <v>0</v>
      </c>
      <c r="U75" s="31">
        <f t="shared" si="11"/>
        <v>0</v>
      </c>
      <c r="V75" s="39">
        <f t="shared" si="11"/>
        <v>0</v>
      </c>
      <c r="W75" s="31">
        <f t="shared" si="11"/>
        <v>0</v>
      </c>
      <c r="X75" s="39">
        <f t="shared" si="11"/>
        <v>0</v>
      </c>
      <c r="Y75" s="31">
        <f t="shared" si="11"/>
        <v>0</v>
      </c>
      <c r="Z75" s="39">
        <f t="shared" si="11"/>
        <v>0</v>
      </c>
      <c r="AA75" s="31">
        <f t="shared" si="11"/>
        <v>0</v>
      </c>
      <c r="AB75" s="39">
        <f t="shared" si="11"/>
        <v>0</v>
      </c>
      <c r="AC75" s="31">
        <f t="shared" si="11"/>
        <v>0</v>
      </c>
      <c r="AD75" s="39">
        <f t="shared" si="11"/>
        <v>0</v>
      </c>
      <c r="AE75" s="31">
        <f t="shared" si="11"/>
        <v>0</v>
      </c>
      <c r="AF75" s="39">
        <f t="shared" si="11"/>
        <v>0</v>
      </c>
      <c r="AG75" s="41">
        <f t="shared" si="11"/>
        <v>0</v>
      </c>
      <c r="AH75" s="32">
        <f t="shared" si="11"/>
        <v>0</v>
      </c>
      <c r="AI75" s="31">
        <f t="shared" si="11"/>
        <v>0</v>
      </c>
      <c r="AJ75" s="39">
        <f t="shared" si="11"/>
        <v>0</v>
      </c>
      <c r="AK75" s="31">
        <f t="shared" si="11"/>
        <v>0</v>
      </c>
      <c r="AL75" s="39">
        <f t="shared" si="11"/>
        <v>0</v>
      </c>
      <c r="AM75" s="31">
        <f t="shared" si="11"/>
        <v>0</v>
      </c>
      <c r="AN75" s="39">
        <f t="shared" si="11"/>
        <v>0</v>
      </c>
      <c r="AO75" s="31">
        <f t="shared" si="11"/>
        <v>0</v>
      </c>
      <c r="AP75" s="39">
        <f t="shared" si="11"/>
        <v>0</v>
      </c>
      <c r="AQ75" s="31">
        <f t="shared" si="11"/>
        <v>0</v>
      </c>
      <c r="AR75" s="39">
        <f t="shared" si="11"/>
        <v>0</v>
      </c>
      <c r="AS75" s="31">
        <f t="shared" si="11"/>
        <v>0</v>
      </c>
      <c r="AT75" s="39">
        <f t="shared" si="11"/>
        <v>0</v>
      </c>
      <c r="AU75" s="31">
        <f t="shared" si="11"/>
        <v>0</v>
      </c>
      <c r="AV75" s="39">
        <f t="shared" si="11"/>
        <v>0</v>
      </c>
      <c r="AW75" s="31">
        <f t="shared" si="11"/>
        <v>0</v>
      </c>
      <c r="AX75" s="39">
        <f t="shared" si="11"/>
        <v>0</v>
      </c>
      <c r="AY75" s="31">
        <f t="shared" si="11"/>
        <v>0</v>
      </c>
      <c r="AZ75" s="39">
        <f t="shared" si="11"/>
        <v>0</v>
      </c>
      <c r="BA75" s="31">
        <f t="shared" si="11"/>
        <v>0</v>
      </c>
      <c r="BB75" s="39">
        <f t="shared" si="11"/>
        <v>0</v>
      </c>
      <c r="BC75" s="31">
        <f t="shared" si="11"/>
        <v>0</v>
      </c>
      <c r="BD75" s="39">
        <f t="shared" si="11"/>
        <v>0</v>
      </c>
      <c r="BE75" s="31">
        <f t="shared" si="11"/>
        <v>0</v>
      </c>
      <c r="BF75" s="39">
        <f t="shared" si="11"/>
        <v>0</v>
      </c>
      <c r="BG75" s="31">
        <f t="shared" si="11"/>
        <v>0</v>
      </c>
      <c r="BH75" s="39">
        <f t="shared" si="11"/>
        <v>0</v>
      </c>
      <c r="BI75" s="31">
        <f t="shared" si="11"/>
        <v>0</v>
      </c>
      <c r="BJ75" s="39">
        <f t="shared" si="11"/>
        <v>0</v>
      </c>
      <c r="BK75" s="41">
        <f t="shared" si="11"/>
        <v>0</v>
      </c>
      <c r="BL75" s="182">
        <f t="shared" ref="BL75:BQ75" si="12">SUM(BL71:BL74)</f>
        <v>0</v>
      </c>
      <c r="BM75" s="182">
        <f t="shared" si="12"/>
        <v>0</v>
      </c>
      <c r="BN75" s="32">
        <f t="shared" si="12"/>
        <v>0</v>
      </c>
      <c r="BO75" s="40">
        <f t="shared" si="12"/>
        <v>0</v>
      </c>
      <c r="BP75" s="245">
        <f t="shared" si="12"/>
        <v>3</v>
      </c>
      <c r="BQ75" s="246">
        <f t="shared" si="12"/>
        <v>6</v>
      </c>
    </row>
    <row r="76" spans="2:69" ht="27.75" customHeight="1" thickBot="1">
      <c r="B76" s="120"/>
      <c r="AG76" s="34"/>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43" t="s">
        <v>81</v>
      </c>
      <c r="C77" s="749">
        <f>COUNTIF(B80:B88,"*")</f>
        <v>7</v>
      </c>
      <c r="D77" s="751">
        <v>1</v>
      </c>
      <c r="E77" s="738"/>
      <c r="F77" s="737">
        <v>2</v>
      </c>
      <c r="G77" s="738"/>
      <c r="H77" s="737">
        <v>3</v>
      </c>
      <c r="I77" s="738"/>
      <c r="J77" s="737">
        <v>4</v>
      </c>
      <c r="K77" s="738"/>
      <c r="L77" s="737">
        <v>5</v>
      </c>
      <c r="M77" s="738"/>
      <c r="N77" s="737">
        <v>6</v>
      </c>
      <c r="O77" s="738"/>
      <c r="P77" s="737">
        <v>7</v>
      </c>
      <c r="Q77" s="738"/>
      <c r="R77" s="737">
        <v>8</v>
      </c>
      <c r="S77" s="738"/>
      <c r="T77" s="737">
        <v>9</v>
      </c>
      <c r="U77" s="738"/>
      <c r="V77" s="737">
        <v>10</v>
      </c>
      <c r="W77" s="738"/>
      <c r="X77" s="737">
        <v>11</v>
      </c>
      <c r="Y77" s="738"/>
      <c r="Z77" s="737">
        <v>12</v>
      </c>
      <c r="AA77" s="738"/>
      <c r="AB77" s="737">
        <v>13</v>
      </c>
      <c r="AC77" s="738"/>
      <c r="AD77" s="737">
        <v>14</v>
      </c>
      <c r="AE77" s="738"/>
      <c r="AF77" s="737">
        <v>15</v>
      </c>
      <c r="AG77" s="784"/>
      <c r="AH77" s="741">
        <v>16</v>
      </c>
      <c r="AI77" s="741"/>
      <c r="AJ77" s="741">
        <v>17</v>
      </c>
      <c r="AK77" s="741"/>
      <c r="AL77" s="741">
        <v>18</v>
      </c>
      <c r="AM77" s="741"/>
      <c r="AN77" s="741">
        <v>19</v>
      </c>
      <c r="AO77" s="741"/>
      <c r="AP77" s="741">
        <v>20</v>
      </c>
      <c r="AQ77" s="741"/>
      <c r="AR77" s="741">
        <v>21</v>
      </c>
      <c r="AS77" s="741"/>
      <c r="AT77" s="741">
        <v>22</v>
      </c>
      <c r="AU77" s="741"/>
      <c r="AV77" s="741">
        <v>23</v>
      </c>
      <c r="AW77" s="741"/>
      <c r="AX77" s="741">
        <v>24</v>
      </c>
      <c r="AY77" s="741"/>
      <c r="AZ77" s="741">
        <v>25</v>
      </c>
      <c r="BA77" s="741"/>
      <c r="BB77" s="741">
        <v>26</v>
      </c>
      <c r="BC77" s="741"/>
      <c r="BD77" s="741">
        <v>27</v>
      </c>
      <c r="BE77" s="741"/>
      <c r="BF77" s="741">
        <v>28</v>
      </c>
      <c r="BG77" s="741"/>
      <c r="BH77" s="741">
        <v>29</v>
      </c>
      <c r="BI77" s="741"/>
      <c r="BJ77" s="741">
        <v>30</v>
      </c>
      <c r="BK77" s="741"/>
      <c r="BL77" s="741">
        <v>31</v>
      </c>
      <c r="BM77" s="741"/>
      <c r="BN77" s="738" t="s">
        <v>251</v>
      </c>
      <c r="BO77" s="760"/>
      <c r="BP77" s="771" t="s">
        <v>353</v>
      </c>
      <c r="BQ77" s="772"/>
    </row>
    <row r="78" spans="2:69" ht="24.95" customHeight="1">
      <c r="B78" s="744"/>
      <c r="C78" s="747"/>
      <c r="D78" s="752" t="str">
        <f>D2</f>
        <v>土</v>
      </c>
      <c r="E78" s="740"/>
      <c r="F78" s="739" t="str">
        <f>F2</f>
        <v>日</v>
      </c>
      <c r="G78" s="740"/>
      <c r="H78" s="739" t="str">
        <f>H2</f>
        <v>月</v>
      </c>
      <c r="I78" s="740"/>
      <c r="J78" s="739" t="str">
        <f>J2</f>
        <v>火</v>
      </c>
      <c r="K78" s="740"/>
      <c r="L78" s="739" t="str">
        <f>L2</f>
        <v>水</v>
      </c>
      <c r="M78" s="740"/>
      <c r="N78" s="739" t="str">
        <f>N2</f>
        <v>木</v>
      </c>
      <c r="O78" s="740"/>
      <c r="P78" s="739" t="str">
        <f>P2</f>
        <v>金</v>
      </c>
      <c r="Q78" s="740"/>
      <c r="R78" s="739" t="str">
        <f>R2</f>
        <v>土</v>
      </c>
      <c r="S78" s="740"/>
      <c r="T78" s="739" t="str">
        <f>T2</f>
        <v>日</v>
      </c>
      <c r="U78" s="740"/>
      <c r="V78" s="739" t="str">
        <f>V2</f>
        <v>月</v>
      </c>
      <c r="W78" s="740"/>
      <c r="X78" s="739" t="str">
        <f>X2</f>
        <v>火</v>
      </c>
      <c r="Y78" s="740"/>
      <c r="Z78" s="739" t="str">
        <f>Z2</f>
        <v>水</v>
      </c>
      <c r="AA78" s="740"/>
      <c r="AB78" s="739" t="str">
        <f>AB2</f>
        <v>木</v>
      </c>
      <c r="AC78" s="740"/>
      <c r="AD78" s="739" t="str">
        <f>AD2</f>
        <v>金</v>
      </c>
      <c r="AE78" s="740"/>
      <c r="AF78" s="739" t="str">
        <f>AF2</f>
        <v>土</v>
      </c>
      <c r="AG78" s="740"/>
      <c r="AH78" s="786" t="str">
        <f>AH2</f>
        <v>日</v>
      </c>
      <c r="AI78" s="767"/>
      <c r="AJ78" s="770" t="str">
        <f>AJ2</f>
        <v>月</v>
      </c>
      <c r="AK78" s="770"/>
      <c r="AL78" s="770" t="str">
        <f>AL2</f>
        <v>火</v>
      </c>
      <c r="AM78" s="770"/>
      <c r="AN78" s="770" t="str">
        <f>AN2</f>
        <v>水</v>
      </c>
      <c r="AO78" s="770"/>
      <c r="AP78" s="770" t="str">
        <f>AP2</f>
        <v>木</v>
      </c>
      <c r="AQ78" s="770"/>
      <c r="AR78" s="770" t="str">
        <f>AR2</f>
        <v>金</v>
      </c>
      <c r="AS78" s="770"/>
      <c r="AT78" s="770" t="str">
        <f>AT2</f>
        <v>土</v>
      </c>
      <c r="AU78" s="770"/>
      <c r="AV78" s="770" t="str">
        <f>AV2</f>
        <v>日</v>
      </c>
      <c r="AW78" s="770"/>
      <c r="AX78" s="770" t="str">
        <f>AX2</f>
        <v>月</v>
      </c>
      <c r="AY78" s="770"/>
      <c r="AZ78" s="770" t="str">
        <f>AZ2</f>
        <v>火</v>
      </c>
      <c r="BA78" s="770"/>
      <c r="BB78" s="770" t="str">
        <f>BB2</f>
        <v>水</v>
      </c>
      <c r="BC78" s="770"/>
      <c r="BD78" s="770" t="str">
        <f>BD2</f>
        <v>木</v>
      </c>
      <c r="BE78" s="770"/>
      <c r="BF78" s="770" t="str">
        <f>BF2</f>
        <v>金</v>
      </c>
      <c r="BG78" s="770"/>
      <c r="BH78" s="770" t="str">
        <f>BH2</f>
        <v>土</v>
      </c>
      <c r="BI78" s="770"/>
      <c r="BJ78" s="770" t="str">
        <f>BJ2</f>
        <v>日</v>
      </c>
      <c r="BK78" s="770"/>
      <c r="BL78" s="770" t="str">
        <f>BL2</f>
        <v>月</v>
      </c>
      <c r="BM78" s="770"/>
      <c r="BN78" s="761"/>
      <c r="BO78" s="762"/>
      <c r="BP78" s="773"/>
      <c r="BQ78" s="774"/>
    </row>
    <row r="79" spans="2:69" ht="24.95" customHeight="1" thickBot="1">
      <c r="B79" s="748"/>
      <c r="C79" s="750"/>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4"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50.1" customHeight="1" thickTop="1">
      <c r="B80" s="201" t="str">
        <f>'1月'!$B$80</f>
        <v>上村　聰子</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37"/>
      <c r="AG80" s="15"/>
      <c r="AH80" s="3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102">
        <f>SUM(D80,F80,H80,J80,L80,N80,P80,R80,T80,V80,X80,Z80,AB80,AD80,AF80,AH80,AJ80,AL80,AN80,AP80,AR80,AT80,AV80,AX80,AZ80,BB80,BD80,BF80,BH80,BJ80,BL80)</f>
        <v>0</v>
      </c>
      <c r="BO80" s="47">
        <f>SUM(E80,G80,I80,K80,M80,O80,Q80,S80,U80,W80,Y80,AA80,AC80,AE80,AG80,AI80,AK80,AM80,AO80,AQ80,AS80,AU80,AW80,AY80,BA80,BC80,BE80,BG80,BI80,BK80,BM80)</f>
        <v>0</v>
      </c>
      <c r="BP80" s="631">
        <f>INDEX('1月'!$B$4:$BQ$375,MATCH('2月'!B80,'1月'!$B$4:$B$375,0),67)+BN80</f>
        <v>0</v>
      </c>
      <c r="BQ80" s="702">
        <f>INDEX('1月'!$B$4:$BQ$375,MATCH('2月'!B80,'1月'!$B$4:$B$375,0),68)+BO80</f>
        <v>0</v>
      </c>
    </row>
    <row r="81" spans="2:69" s="6" customFormat="1" ht="50.1" customHeight="1">
      <c r="B81" s="201" t="str">
        <f>'1月'!$B$81</f>
        <v>上村　巧弥</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BN88" si="13">SUM(D81,F81,H81,J81,L81,N81,P81,R81,T81,V81,X81,Z81,AB81,AD81,AF81,AH81,AJ81,AL81,AN81,AP81,AR81,AT81,AV81,AX81,AZ81,BB81,BD81,BF81,BH81,BJ81,BL81)</f>
        <v>0</v>
      </c>
      <c r="BO81" s="47">
        <f t="shared" ref="BO81:BO88" si="14">SUM(E81,G81,I81,K81,M81,O81,Q81,S81,U81,W81,Y81,AA81,AC81,AE81,AG81,AI81,AK81,AM81,AO81,AQ81,AS81,AU81,AW81,AY81,BA81,BC81,BE81,BG81,BI81,BK81,BM81)</f>
        <v>0</v>
      </c>
      <c r="BP81" s="631">
        <f>INDEX('1月'!$B$4:$BQ$375,MATCH('2月'!B81,'1月'!$B$4:$B$375,0),67)+BN81</f>
        <v>0</v>
      </c>
      <c r="BQ81" s="702">
        <f>INDEX('1月'!$B$4:$BQ$375,MATCH('2月'!B81,'1月'!$B$4:$B$375,0),68)+BO81</f>
        <v>0</v>
      </c>
    </row>
    <row r="82" spans="2:69" s="6" customFormat="1" ht="50.1" customHeight="1">
      <c r="B82" s="201" t="str">
        <f>'1月'!$B$82</f>
        <v>倉島　清子</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si="13"/>
        <v>0</v>
      </c>
      <c r="BO82" s="47">
        <f t="shared" si="14"/>
        <v>0</v>
      </c>
      <c r="BP82" s="631">
        <f>INDEX('1月'!$B$4:$BQ$375,MATCH('2月'!B82,'1月'!$B$4:$B$375,0),67)+BN82</f>
        <v>0</v>
      </c>
      <c r="BQ82" s="702">
        <f>INDEX('1月'!$B$4:$BQ$375,MATCH('2月'!B82,'1月'!$B$4:$B$375,0),68)+BO82</f>
        <v>0</v>
      </c>
    </row>
    <row r="83" spans="2:69" s="6" customFormat="1" ht="50.1" customHeight="1">
      <c r="B83" s="201" t="str">
        <f>'1月'!$B$83</f>
        <v>佐々木　史弥</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13"/>
        <v>0</v>
      </c>
      <c r="BO83" s="47">
        <f t="shared" si="14"/>
        <v>0</v>
      </c>
      <c r="BP83" s="631">
        <f>INDEX('1月'!$B$4:$BQ$375,MATCH('2月'!B83,'1月'!$B$4:$B$375,0),67)+BN83</f>
        <v>0</v>
      </c>
      <c r="BQ83" s="702">
        <f>INDEX('1月'!$B$4:$BQ$375,MATCH('2月'!B83,'1月'!$B$4:$B$375,0),68)+BO83</f>
        <v>0</v>
      </c>
    </row>
    <row r="84" spans="2:69" s="6" customFormat="1" ht="50.1" customHeight="1">
      <c r="B84" s="201" t="str">
        <f>'1月'!$B$84</f>
        <v>細越　加司子</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13"/>
        <v>0</v>
      </c>
      <c r="BO84" s="47">
        <f t="shared" si="14"/>
        <v>0</v>
      </c>
      <c r="BP84" s="631">
        <f>INDEX('1月'!$B$4:$BQ$375,MATCH('2月'!B84,'1月'!$B$4:$B$375,0),67)+BN84</f>
        <v>0</v>
      </c>
      <c r="BQ84" s="702">
        <f>INDEX('1月'!$B$4:$BQ$375,MATCH('2月'!B84,'1月'!$B$4:$B$375,0),68)+BO84</f>
        <v>0</v>
      </c>
    </row>
    <row r="85" spans="2:69" s="6" customFormat="1" ht="50.1" customHeight="1">
      <c r="B85" s="201" t="str">
        <f>'1月'!$B$85</f>
        <v>八重畑　美里</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13"/>
        <v>0</v>
      </c>
      <c r="BO85" s="47">
        <f t="shared" si="14"/>
        <v>0</v>
      </c>
      <c r="BP85" s="631">
        <f>INDEX('1月'!$B$4:$BQ$375,MATCH('2月'!B85,'1月'!$B$4:$B$375,0),67)+BN85</f>
        <v>0</v>
      </c>
      <c r="BQ85" s="702">
        <f>INDEX('1月'!$B$4:$BQ$375,MATCH('2月'!B85,'1月'!$B$4:$B$375,0),68)+BO85</f>
        <v>0</v>
      </c>
    </row>
    <row r="86" spans="2:69" s="6" customFormat="1" ht="50.1" customHeight="1">
      <c r="B86" s="201" t="str">
        <f>'1月'!$B$86</f>
        <v>山口　美幸</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13"/>
        <v>0</v>
      </c>
      <c r="BO86" s="47">
        <f t="shared" si="14"/>
        <v>0</v>
      </c>
      <c r="BP86" s="631">
        <f>INDEX('1月'!$B$4:$BQ$375,MATCH('2月'!B86,'1月'!$B$4:$B$375,0),67)+BN86</f>
        <v>2</v>
      </c>
      <c r="BQ86" s="702">
        <f>INDEX('1月'!$B$4:$BQ$375,MATCH('2月'!B86,'1月'!$B$4:$B$375,0),68)+BO86</f>
        <v>4</v>
      </c>
    </row>
    <row r="87" spans="2:69" s="6" customFormat="1" ht="45" customHeight="1">
      <c r="B87" s="201">
        <f>'1月'!$B$87</f>
        <v>0</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13"/>
        <v>0</v>
      </c>
      <c r="BO87" s="47">
        <f t="shared" si="14"/>
        <v>0</v>
      </c>
      <c r="BP87" s="631"/>
      <c r="BQ87" s="559"/>
    </row>
    <row r="88" spans="2:69" s="6" customFormat="1" ht="15.75" customHeight="1" thickBot="1">
      <c r="B88" s="156"/>
      <c r="C88" s="148"/>
      <c r="D88" s="193"/>
      <c r="E88" s="24"/>
      <c r="F88" s="193"/>
      <c r="G88" s="24"/>
      <c r="H88" s="193"/>
      <c r="I88" s="24"/>
      <c r="J88" s="193"/>
      <c r="K88" s="24"/>
      <c r="L88" s="193"/>
      <c r="M88" s="24"/>
      <c r="N88" s="193"/>
      <c r="O88" s="24"/>
      <c r="P88" s="193"/>
      <c r="Q88" s="24"/>
      <c r="R88" s="193"/>
      <c r="S88" s="24"/>
      <c r="T88" s="193"/>
      <c r="U88" s="24"/>
      <c r="V88" s="193"/>
      <c r="W88" s="24"/>
      <c r="X88" s="193"/>
      <c r="Y88" s="24"/>
      <c r="Z88" s="193"/>
      <c r="AA88" s="24"/>
      <c r="AB88" s="193"/>
      <c r="AC88" s="24"/>
      <c r="AD88" s="193"/>
      <c r="AE88" s="24"/>
      <c r="AF88" s="193"/>
      <c r="AG88" s="25"/>
      <c r="AH88" s="193"/>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102">
        <f t="shared" si="13"/>
        <v>0</v>
      </c>
      <c r="BO88" s="47">
        <f t="shared" si="14"/>
        <v>0</v>
      </c>
      <c r="BP88" s="631"/>
      <c r="BQ88" s="559"/>
    </row>
    <row r="89" spans="2:69" ht="36" customHeight="1" thickBot="1">
      <c r="B89" s="423" t="s">
        <v>462</v>
      </c>
      <c r="C89" s="149"/>
      <c r="D89" s="39">
        <f t="shared" ref="D89:BM89" si="15">SUM(D80:D88)</f>
        <v>0</v>
      </c>
      <c r="E89" s="31">
        <f t="shared" si="15"/>
        <v>0</v>
      </c>
      <c r="F89" s="39">
        <f t="shared" si="15"/>
        <v>0</v>
      </c>
      <c r="G89" s="31">
        <f t="shared" si="15"/>
        <v>0</v>
      </c>
      <c r="H89" s="39">
        <f t="shared" si="15"/>
        <v>0</v>
      </c>
      <c r="I89" s="31">
        <f t="shared" si="15"/>
        <v>0</v>
      </c>
      <c r="J89" s="39">
        <f t="shared" si="15"/>
        <v>0</v>
      </c>
      <c r="K89" s="31">
        <f t="shared" si="15"/>
        <v>0</v>
      </c>
      <c r="L89" s="39">
        <f t="shared" si="15"/>
        <v>0</v>
      </c>
      <c r="M89" s="31">
        <f t="shared" si="15"/>
        <v>0</v>
      </c>
      <c r="N89" s="39">
        <f t="shared" si="15"/>
        <v>0</v>
      </c>
      <c r="O89" s="31">
        <f t="shared" si="15"/>
        <v>0</v>
      </c>
      <c r="P89" s="39">
        <f t="shared" si="15"/>
        <v>0</v>
      </c>
      <c r="Q89" s="31">
        <f t="shared" si="15"/>
        <v>0</v>
      </c>
      <c r="R89" s="39">
        <f t="shared" si="15"/>
        <v>0</v>
      </c>
      <c r="S89" s="31">
        <f t="shared" si="15"/>
        <v>0</v>
      </c>
      <c r="T89" s="39">
        <f t="shared" si="15"/>
        <v>0</v>
      </c>
      <c r="U89" s="31">
        <f t="shared" si="15"/>
        <v>0</v>
      </c>
      <c r="V89" s="39">
        <f t="shared" si="15"/>
        <v>0</v>
      </c>
      <c r="W89" s="31">
        <f t="shared" si="15"/>
        <v>0</v>
      </c>
      <c r="X89" s="39">
        <f t="shared" si="15"/>
        <v>0</v>
      </c>
      <c r="Y89" s="31">
        <f t="shared" si="15"/>
        <v>0</v>
      </c>
      <c r="Z89" s="39">
        <f t="shared" si="15"/>
        <v>0</v>
      </c>
      <c r="AA89" s="31">
        <f t="shared" si="15"/>
        <v>0</v>
      </c>
      <c r="AB89" s="39">
        <f t="shared" si="15"/>
        <v>0</v>
      </c>
      <c r="AC89" s="31">
        <f t="shared" si="15"/>
        <v>0</v>
      </c>
      <c r="AD89" s="39">
        <f t="shared" si="15"/>
        <v>0</v>
      </c>
      <c r="AE89" s="31">
        <f t="shared" si="15"/>
        <v>0</v>
      </c>
      <c r="AF89" s="39">
        <f t="shared" si="15"/>
        <v>0</v>
      </c>
      <c r="AG89" s="41">
        <f t="shared" si="15"/>
        <v>0</v>
      </c>
      <c r="AH89" s="39">
        <f t="shared" si="15"/>
        <v>0</v>
      </c>
      <c r="AI89" s="31">
        <f t="shared" si="15"/>
        <v>0</v>
      </c>
      <c r="AJ89" s="39">
        <f t="shared" si="15"/>
        <v>0</v>
      </c>
      <c r="AK89" s="31">
        <f t="shared" si="15"/>
        <v>0</v>
      </c>
      <c r="AL89" s="39">
        <f t="shared" si="15"/>
        <v>0</v>
      </c>
      <c r="AM89" s="31">
        <f t="shared" si="15"/>
        <v>0</v>
      </c>
      <c r="AN89" s="39">
        <f t="shared" si="15"/>
        <v>0</v>
      </c>
      <c r="AO89" s="31">
        <f t="shared" si="15"/>
        <v>0</v>
      </c>
      <c r="AP89" s="39">
        <f t="shared" si="15"/>
        <v>0</v>
      </c>
      <c r="AQ89" s="31">
        <f t="shared" si="15"/>
        <v>0</v>
      </c>
      <c r="AR89" s="39">
        <f t="shared" si="15"/>
        <v>0</v>
      </c>
      <c r="AS89" s="31">
        <f t="shared" si="15"/>
        <v>0</v>
      </c>
      <c r="AT89" s="39">
        <f t="shared" si="15"/>
        <v>0</v>
      </c>
      <c r="AU89" s="31">
        <f t="shared" si="15"/>
        <v>0</v>
      </c>
      <c r="AV89" s="39">
        <f t="shared" si="15"/>
        <v>0</v>
      </c>
      <c r="AW89" s="31">
        <f t="shared" si="15"/>
        <v>0</v>
      </c>
      <c r="AX89" s="39">
        <f t="shared" si="15"/>
        <v>0</v>
      </c>
      <c r="AY89" s="31">
        <f t="shared" si="15"/>
        <v>0</v>
      </c>
      <c r="AZ89" s="39">
        <f t="shared" si="15"/>
        <v>0</v>
      </c>
      <c r="BA89" s="31">
        <f t="shared" si="15"/>
        <v>0</v>
      </c>
      <c r="BB89" s="39">
        <f t="shared" si="15"/>
        <v>0</v>
      </c>
      <c r="BC89" s="31">
        <f t="shared" si="15"/>
        <v>0</v>
      </c>
      <c r="BD89" s="39">
        <f t="shared" si="15"/>
        <v>0</v>
      </c>
      <c r="BE89" s="31">
        <f t="shared" si="15"/>
        <v>0</v>
      </c>
      <c r="BF89" s="39">
        <f t="shared" si="15"/>
        <v>0</v>
      </c>
      <c r="BG89" s="31">
        <f t="shared" si="15"/>
        <v>0</v>
      </c>
      <c r="BH89" s="39">
        <f t="shared" si="15"/>
        <v>0</v>
      </c>
      <c r="BI89" s="31">
        <f t="shared" si="15"/>
        <v>0</v>
      </c>
      <c r="BJ89" s="39">
        <f t="shared" si="15"/>
        <v>0</v>
      </c>
      <c r="BK89" s="41">
        <f t="shared" si="15"/>
        <v>0</v>
      </c>
      <c r="BL89" s="39">
        <f t="shared" si="15"/>
        <v>0</v>
      </c>
      <c r="BM89" s="41">
        <f t="shared" si="15"/>
        <v>0</v>
      </c>
      <c r="BN89" s="32">
        <f>SUM(BN80:BN88)</f>
        <v>0</v>
      </c>
      <c r="BO89" s="40">
        <f>SUM(BO80:BO88)</f>
        <v>0</v>
      </c>
      <c r="BP89" s="245">
        <f>SUM(BP80:BP88)</f>
        <v>2</v>
      </c>
      <c r="BQ89" s="246">
        <f>SUM(BQ80:BQ88)</f>
        <v>4</v>
      </c>
    </row>
    <row r="90" spans="2:69" ht="27.75" customHeight="1" thickBot="1">
      <c r="B90" s="120"/>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34"/>
      <c r="BL90" s="7"/>
      <c r="BM90" s="34"/>
      <c r="BN90" s="71"/>
      <c r="BO90" s="7"/>
      <c r="BP90" s="238"/>
      <c r="BQ90" s="239"/>
    </row>
    <row r="91" spans="2:69" ht="24.95" customHeight="1">
      <c r="B91" s="743" t="s">
        <v>82</v>
      </c>
      <c r="C91" s="749">
        <f>COUNTIF(B94:B95,"*")</f>
        <v>1</v>
      </c>
      <c r="D91" s="751">
        <v>1</v>
      </c>
      <c r="E91" s="738"/>
      <c r="F91" s="737">
        <v>2</v>
      </c>
      <c r="G91" s="738"/>
      <c r="H91" s="737">
        <v>3</v>
      </c>
      <c r="I91" s="738"/>
      <c r="J91" s="737">
        <v>4</v>
      </c>
      <c r="K91" s="738"/>
      <c r="L91" s="737">
        <v>5</v>
      </c>
      <c r="M91" s="738"/>
      <c r="N91" s="737">
        <v>6</v>
      </c>
      <c r="O91" s="738"/>
      <c r="P91" s="737">
        <v>7</v>
      </c>
      <c r="Q91" s="738"/>
      <c r="R91" s="737">
        <v>8</v>
      </c>
      <c r="S91" s="738"/>
      <c r="T91" s="737">
        <v>9</v>
      </c>
      <c r="U91" s="738"/>
      <c r="V91" s="737">
        <v>10</v>
      </c>
      <c r="W91" s="738"/>
      <c r="X91" s="737">
        <v>11</v>
      </c>
      <c r="Y91" s="738"/>
      <c r="Z91" s="737">
        <v>12</v>
      </c>
      <c r="AA91" s="738"/>
      <c r="AB91" s="737">
        <v>13</v>
      </c>
      <c r="AC91" s="738"/>
      <c r="AD91" s="737">
        <v>14</v>
      </c>
      <c r="AE91" s="738"/>
      <c r="AF91" s="737">
        <v>15</v>
      </c>
      <c r="AG91" s="784"/>
      <c r="AH91" s="741">
        <v>16</v>
      </c>
      <c r="AI91" s="741"/>
      <c r="AJ91" s="741">
        <v>17</v>
      </c>
      <c r="AK91" s="741"/>
      <c r="AL91" s="741">
        <v>18</v>
      </c>
      <c r="AM91" s="741"/>
      <c r="AN91" s="741">
        <v>19</v>
      </c>
      <c r="AO91" s="741"/>
      <c r="AP91" s="741">
        <v>20</v>
      </c>
      <c r="AQ91" s="741"/>
      <c r="AR91" s="741">
        <v>21</v>
      </c>
      <c r="AS91" s="741"/>
      <c r="AT91" s="741">
        <v>22</v>
      </c>
      <c r="AU91" s="741"/>
      <c r="AV91" s="741">
        <v>23</v>
      </c>
      <c r="AW91" s="741"/>
      <c r="AX91" s="741">
        <v>24</v>
      </c>
      <c r="AY91" s="741"/>
      <c r="AZ91" s="741">
        <v>25</v>
      </c>
      <c r="BA91" s="741"/>
      <c r="BB91" s="741">
        <v>26</v>
      </c>
      <c r="BC91" s="741"/>
      <c r="BD91" s="741">
        <v>27</v>
      </c>
      <c r="BE91" s="741"/>
      <c r="BF91" s="741">
        <v>28</v>
      </c>
      <c r="BG91" s="741"/>
      <c r="BH91" s="741">
        <v>29</v>
      </c>
      <c r="BI91" s="741"/>
      <c r="BJ91" s="741">
        <v>30</v>
      </c>
      <c r="BK91" s="741"/>
      <c r="BL91" s="741">
        <v>31</v>
      </c>
      <c r="BM91" s="741"/>
      <c r="BN91" s="738" t="s">
        <v>251</v>
      </c>
      <c r="BO91" s="760"/>
      <c r="BP91" s="771" t="s">
        <v>353</v>
      </c>
      <c r="BQ91" s="772"/>
    </row>
    <row r="92" spans="2:69" ht="24.75" customHeight="1">
      <c r="B92" s="744"/>
      <c r="C92" s="747"/>
      <c r="D92" s="752" t="str">
        <f>D2</f>
        <v>土</v>
      </c>
      <c r="E92" s="740"/>
      <c r="F92" s="739" t="str">
        <f>F2</f>
        <v>日</v>
      </c>
      <c r="G92" s="740"/>
      <c r="H92" s="739" t="str">
        <f>H2</f>
        <v>月</v>
      </c>
      <c r="I92" s="740"/>
      <c r="J92" s="739" t="str">
        <f>J2</f>
        <v>火</v>
      </c>
      <c r="K92" s="740"/>
      <c r="L92" s="739" t="str">
        <f>L2</f>
        <v>水</v>
      </c>
      <c r="M92" s="740"/>
      <c r="N92" s="739" t="str">
        <f>N2</f>
        <v>木</v>
      </c>
      <c r="O92" s="740"/>
      <c r="P92" s="739" t="str">
        <f>P2</f>
        <v>金</v>
      </c>
      <c r="Q92" s="740"/>
      <c r="R92" s="739" t="str">
        <f>R2</f>
        <v>土</v>
      </c>
      <c r="S92" s="740"/>
      <c r="T92" s="739" t="str">
        <f>T2</f>
        <v>日</v>
      </c>
      <c r="U92" s="740"/>
      <c r="V92" s="739" t="str">
        <f>V2</f>
        <v>月</v>
      </c>
      <c r="W92" s="740"/>
      <c r="X92" s="739" t="str">
        <f>X2</f>
        <v>火</v>
      </c>
      <c r="Y92" s="740"/>
      <c r="Z92" s="739" t="str">
        <f>Z2</f>
        <v>水</v>
      </c>
      <c r="AA92" s="740"/>
      <c r="AB92" s="739" t="str">
        <f>AB2</f>
        <v>木</v>
      </c>
      <c r="AC92" s="740"/>
      <c r="AD92" s="739" t="str">
        <f>AD2</f>
        <v>金</v>
      </c>
      <c r="AE92" s="740"/>
      <c r="AF92" s="739" t="str">
        <f>AF2</f>
        <v>土</v>
      </c>
      <c r="AG92" s="740"/>
      <c r="AH92" s="786" t="str">
        <f>AH2</f>
        <v>日</v>
      </c>
      <c r="AI92" s="767"/>
      <c r="AJ92" s="770" t="str">
        <f>AJ2</f>
        <v>月</v>
      </c>
      <c r="AK92" s="770"/>
      <c r="AL92" s="770" t="str">
        <f>AL2</f>
        <v>火</v>
      </c>
      <c r="AM92" s="770"/>
      <c r="AN92" s="770" t="str">
        <f>AN2</f>
        <v>水</v>
      </c>
      <c r="AO92" s="770"/>
      <c r="AP92" s="770" t="str">
        <f>AP2</f>
        <v>木</v>
      </c>
      <c r="AQ92" s="770"/>
      <c r="AR92" s="770" t="str">
        <f>AR2</f>
        <v>金</v>
      </c>
      <c r="AS92" s="770"/>
      <c r="AT92" s="770" t="str">
        <f>AT2</f>
        <v>土</v>
      </c>
      <c r="AU92" s="770"/>
      <c r="AV92" s="770" t="str">
        <f>AV2</f>
        <v>日</v>
      </c>
      <c r="AW92" s="770"/>
      <c r="AX92" s="770" t="str">
        <f>AX2</f>
        <v>月</v>
      </c>
      <c r="AY92" s="770"/>
      <c r="AZ92" s="770" t="str">
        <f>AZ2</f>
        <v>火</v>
      </c>
      <c r="BA92" s="770"/>
      <c r="BB92" s="770" t="str">
        <f>BB2</f>
        <v>水</v>
      </c>
      <c r="BC92" s="770"/>
      <c r="BD92" s="770" t="str">
        <f>BD2</f>
        <v>木</v>
      </c>
      <c r="BE92" s="770"/>
      <c r="BF92" s="770" t="str">
        <f>BF2</f>
        <v>金</v>
      </c>
      <c r="BG92" s="770"/>
      <c r="BH92" s="770" t="str">
        <f>BH2</f>
        <v>土</v>
      </c>
      <c r="BI92" s="770"/>
      <c r="BJ92" s="770" t="str">
        <f>BJ2</f>
        <v>日</v>
      </c>
      <c r="BK92" s="770"/>
      <c r="BL92" s="770" t="str">
        <f>BL2</f>
        <v>月</v>
      </c>
      <c r="BM92" s="770"/>
      <c r="BN92" s="761"/>
      <c r="BO92" s="762"/>
      <c r="BP92" s="773"/>
      <c r="BQ92" s="774"/>
    </row>
    <row r="93" spans="2:69" ht="24.95" customHeight="1" thickBot="1">
      <c r="B93" s="748"/>
      <c r="C93" s="750"/>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4"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tr">
        <f>'1月'!$B$94</f>
        <v>清水　ミチ子</v>
      </c>
      <c r="C94" s="145"/>
      <c r="D94" s="37"/>
      <c r="E94" s="14"/>
      <c r="F94" s="37"/>
      <c r="G94" s="14"/>
      <c r="H94" s="37"/>
      <c r="I94" s="14"/>
      <c r="J94" s="37"/>
      <c r="K94" s="14"/>
      <c r="L94" s="37"/>
      <c r="M94" s="14"/>
      <c r="N94" s="37"/>
      <c r="O94" s="14"/>
      <c r="P94" s="37"/>
      <c r="Q94" s="14"/>
      <c r="R94" s="37"/>
      <c r="S94" s="14"/>
      <c r="T94" s="37"/>
      <c r="U94" s="14"/>
      <c r="V94" s="37"/>
      <c r="W94" s="14"/>
      <c r="X94" s="37"/>
      <c r="Y94" s="14"/>
      <c r="Z94" s="37"/>
      <c r="AA94" s="14"/>
      <c r="AB94" s="37"/>
      <c r="AC94" s="14"/>
      <c r="AD94" s="37"/>
      <c r="AE94" s="14"/>
      <c r="AF94" s="37"/>
      <c r="AG94" s="15"/>
      <c r="AH94" s="3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179"/>
      <c r="BK94" s="10"/>
      <c r="BL94" s="179"/>
      <c r="BM94" s="10"/>
      <c r="BN94" s="102">
        <f t="shared" ref="BN94:BO96" si="16">SUM(D94,F94,H94,J94,L94,N94,P94,R94,T94,V94,X94,Z94,AB94,AD94,AF94,AH94,AJ94,AL94,AN94,AP94,AR94,AT94,AV94,AX94,AZ94,BB94,BD94,BF94,BH94,BJ94,BL94)</f>
        <v>0</v>
      </c>
      <c r="BO94" s="47">
        <f t="shared" si="16"/>
        <v>0</v>
      </c>
      <c r="BP94" s="631">
        <f>INDEX('1月'!$B$4:$BQ$375,MATCH('2月'!B94,'1月'!$B$4:$B$375,0),67)+BN94</f>
        <v>1</v>
      </c>
      <c r="BQ94" s="702">
        <f>INDEX('1月'!$B$4:$BQ$375,MATCH('2月'!B94,'1月'!$B$4:$B$375,0),68)+BO94</f>
        <v>1</v>
      </c>
    </row>
    <row r="95" spans="2:69" s="6" customFormat="1" ht="50.1" customHeight="1">
      <c r="B95" s="201">
        <f>'1月'!$B$95</f>
        <v>0</v>
      </c>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si="16"/>
        <v>0</v>
      </c>
      <c r="BO95" s="47">
        <f t="shared" si="16"/>
        <v>0</v>
      </c>
      <c r="BP95" s="631"/>
      <c r="BQ95" s="559"/>
    </row>
    <row r="96" spans="2:69" ht="15.95" customHeight="1" thickBot="1">
      <c r="B96" s="113">
        <f>'1月'!$B$96</f>
        <v>0</v>
      </c>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38"/>
      <c r="AG96" s="21"/>
      <c r="AH96" s="38"/>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102">
        <f t="shared" si="16"/>
        <v>0</v>
      </c>
      <c r="BO96" s="47">
        <f t="shared" si="16"/>
        <v>0</v>
      </c>
      <c r="BP96" s="631"/>
      <c r="BQ96" s="559"/>
    </row>
    <row r="97" spans="2:69" ht="36" customHeight="1" thickBot="1">
      <c r="B97" s="119" t="s">
        <v>101</v>
      </c>
      <c r="C97" s="149"/>
      <c r="D97" s="39">
        <f t="shared" ref="D97:BK97" si="17">SUM(D94:D95)</f>
        <v>0</v>
      </c>
      <c r="E97" s="31">
        <f t="shared" si="17"/>
        <v>0</v>
      </c>
      <c r="F97" s="39">
        <f t="shared" si="17"/>
        <v>0</v>
      </c>
      <c r="G97" s="31">
        <f t="shared" si="17"/>
        <v>0</v>
      </c>
      <c r="H97" s="39">
        <f>SUM(H94:H95)</f>
        <v>0</v>
      </c>
      <c r="I97" s="31">
        <f t="shared" si="17"/>
        <v>0</v>
      </c>
      <c r="J97" s="39">
        <f t="shared" si="17"/>
        <v>0</v>
      </c>
      <c r="K97" s="31">
        <f t="shared" si="17"/>
        <v>0</v>
      </c>
      <c r="L97" s="39">
        <f t="shared" si="17"/>
        <v>0</v>
      </c>
      <c r="M97" s="31">
        <f t="shared" si="17"/>
        <v>0</v>
      </c>
      <c r="N97" s="39">
        <f t="shared" si="17"/>
        <v>0</v>
      </c>
      <c r="O97" s="31">
        <f t="shared" si="17"/>
        <v>0</v>
      </c>
      <c r="P97" s="39">
        <f t="shared" si="17"/>
        <v>0</v>
      </c>
      <c r="Q97" s="31">
        <f t="shared" si="17"/>
        <v>0</v>
      </c>
      <c r="R97" s="39">
        <f t="shared" si="17"/>
        <v>0</v>
      </c>
      <c r="S97" s="31">
        <f t="shared" si="17"/>
        <v>0</v>
      </c>
      <c r="T97" s="39">
        <f t="shared" si="17"/>
        <v>0</v>
      </c>
      <c r="U97" s="31">
        <f t="shared" si="17"/>
        <v>0</v>
      </c>
      <c r="V97" s="39">
        <f t="shared" si="17"/>
        <v>0</v>
      </c>
      <c r="W97" s="31">
        <f t="shared" si="17"/>
        <v>0</v>
      </c>
      <c r="X97" s="39">
        <f t="shared" si="17"/>
        <v>0</v>
      </c>
      <c r="Y97" s="31">
        <f t="shared" si="17"/>
        <v>0</v>
      </c>
      <c r="Z97" s="39">
        <f t="shared" si="17"/>
        <v>0</v>
      </c>
      <c r="AA97" s="31">
        <f t="shared" si="17"/>
        <v>0</v>
      </c>
      <c r="AB97" s="39">
        <f t="shared" si="17"/>
        <v>0</v>
      </c>
      <c r="AC97" s="31">
        <f t="shared" si="17"/>
        <v>0</v>
      </c>
      <c r="AD97" s="39">
        <f t="shared" si="17"/>
        <v>0</v>
      </c>
      <c r="AE97" s="31">
        <f t="shared" si="17"/>
        <v>0</v>
      </c>
      <c r="AF97" s="39">
        <f t="shared" si="17"/>
        <v>0</v>
      </c>
      <c r="AG97" s="41">
        <f t="shared" si="17"/>
        <v>0</v>
      </c>
      <c r="AH97" s="39">
        <f t="shared" si="17"/>
        <v>0</v>
      </c>
      <c r="AI97" s="31">
        <f t="shared" si="17"/>
        <v>0</v>
      </c>
      <c r="AJ97" s="39">
        <f t="shared" si="17"/>
        <v>0</v>
      </c>
      <c r="AK97" s="31">
        <f t="shared" si="17"/>
        <v>0</v>
      </c>
      <c r="AL97" s="39">
        <f>SUM(AL94:AL95)</f>
        <v>0</v>
      </c>
      <c r="AM97" s="31">
        <f t="shared" si="17"/>
        <v>0</v>
      </c>
      <c r="AN97" s="39">
        <f t="shared" si="17"/>
        <v>0</v>
      </c>
      <c r="AO97" s="31">
        <f t="shared" si="17"/>
        <v>0</v>
      </c>
      <c r="AP97" s="39">
        <f t="shared" si="17"/>
        <v>0</v>
      </c>
      <c r="AQ97" s="31">
        <f t="shared" si="17"/>
        <v>0</v>
      </c>
      <c r="AR97" s="39">
        <f t="shared" si="17"/>
        <v>0</v>
      </c>
      <c r="AS97" s="31">
        <f t="shared" si="17"/>
        <v>0</v>
      </c>
      <c r="AT97" s="39">
        <f t="shared" si="17"/>
        <v>0</v>
      </c>
      <c r="AU97" s="31">
        <f t="shared" si="17"/>
        <v>0</v>
      </c>
      <c r="AV97" s="39">
        <f t="shared" si="17"/>
        <v>0</v>
      </c>
      <c r="AW97" s="31">
        <f t="shared" si="17"/>
        <v>0</v>
      </c>
      <c r="AX97" s="39">
        <f t="shared" si="17"/>
        <v>0</v>
      </c>
      <c r="AY97" s="31">
        <f t="shared" si="17"/>
        <v>0</v>
      </c>
      <c r="AZ97" s="39">
        <f>SUM(AZ94:AZ95)</f>
        <v>0</v>
      </c>
      <c r="BA97" s="31">
        <f t="shared" si="17"/>
        <v>0</v>
      </c>
      <c r="BB97" s="39">
        <f t="shared" si="17"/>
        <v>0</v>
      </c>
      <c r="BC97" s="31">
        <f t="shared" si="17"/>
        <v>0</v>
      </c>
      <c r="BD97" s="39">
        <f t="shared" si="17"/>
        <v>0</v>
      </c>
      <c r="BE97" s="31">
        <f t="shared" si="17"/>
        <v>0</v>
      </c>
      <c r="BF97" s="39">
        <f t="shared" si="17"/>
        <v>0</v>
      </c>
      <c r="BG97" s="31">
        <f t="shared" si="17"/>
        <v>0</v>
      </c>
      <c r="BH97" s="39">
        <f t="shared" si="17"/>
        <v>0</v>
      </c>
      <c r="BI97" s="31">
        <f t="shared" si="17"/>
        <v>0</v>
      </c>
      <c r="BJ97" s="39">
        <f t="shared" si="17"/>
        <v>0</v>
      </c>
      <c r="BK97" s="41">
        <f t="shared" si="17"/>
        <v>0</v>
      </c>
      <c r="BL97" s="39">
        <f>SUM(BL94:BL95)</f>
        <v>0</v>
      </c>
      <c r="BM97" s="41">
        <f>SUM(BM94:BM95)</f>
        <v>0</v>
      </c>
      <c r="BN97" s="43">
        <f>SUM(BN94:BN96)</f>
        <v>0</v>
      </c>
      <c r="BO97" s="40">
        <f>SUM(BO94:BO96)</f>
        <v>0</v>
      </c>
      <c r="BP97" s="245">
        <f>SUM(BP94:BP96)</f>
        <v>1</v>
      </c>
      <c r="BQ97" s="246">
        <f>SUM(BQ94:BQ96)</f>
        <v>1</v>
      </c>
    </row>
    <row r="98" spans="2:69" ht="24.95" customHeight="1">
      <c r="B98" s="120"/>
      <c r="AG98" s="34"/>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43" t="s">
        <v>83</v>
      </c>
      <c r="C100" s="749">
        <f>COUNTIF(B103:B107,"*")</f>
        <v>4</v>
      </c>
      <c r="D100" s="751">
        <v>1</v>
      </c>
      <c r="E100" s="738"/>
      <c r="F100" s="737">
        <v>2</v>
      </c>
      <c r="G100" s="738"/>
      <c r="H100" s="737">
        <v>3</v>
      </c>
      <c r="I100" s="738"/>
      <c r="J100" s="737">
        <v>4</v>
      </c>
      <c r="K100" s="738"/>
      <c r="L100" s="737">
        <v>5</v>
      </c>
      <c r="M100" s="738"/>
      <c r="N100" s="737">
        <v>6</v>
      </c>
      <c r="O100" s="738"/>
      <c r="P100" s="737">
        <v>7</v>
      </c>
      <c r="Q100" s="738"/>
      <c r="R100" s="737">
        <v>8</v>
      </c>
      <c r="S100" s="738"/>
      <c r="T100" s="737">
        <v>9</v>
      </c>
      <c r="U100" s="738"/>
      <c r="V100" s="737">
        <v>10</v>
      </c>
      <c r="W100" s="738"/>
      <c r="X100" s="737">
        <v>11</v>
      </c>
      <c r="Y100" s="738"/>
      <c r="Z100" s="737">
        <v>12</v>
      </c>
      <c r="AA100" s="738"/>
      <c r="AB100" s="737">
        <v>13</v>
      </c>
      <c r="AC100" s="738"/>
      <c r="AD100" s="737">
        <v>14</v>
      </c>
      <c r="AE100" s="738"/>
      <c r="AF100" s="737">
        <v>15</v>
      </c>
      <c r="AG100" s="784"/>
      <c r="AH100" s="741">
        <v>16</v>
      </c>
      <c r="AI100" s="741"/>
      <c r="AJ100" s="741">
        <v>17</v>
      </c>
      <c r="AK100" s="741"/>
      <c r="AL100" s="741">
        <v>18</v>
      </c>
      <c r="AM100" s="741"/>
      <c r="AN100" s="741">
        <v>19</v>
      </c>
      <c r="AO100" s="741"/>
      <c r="AP100" s="741">
        <v>20</v>
      </c>
      <c r="AQ100" s="741"/>
      <c r="AR100" s="741">
        <v>21</v>
      </c>
      <c r="AS100" s="741"/>
      <c r="AT100" s="741">
        <v>22</v>
      </c>
      <c r="AU100" s="741"/>
      <c r="AV100" s="741">
        <v>23</v>
      </c>
      <c r="AW100" s="741"/>
      <c r="AX100" s="741">
        <v>24</v>
      </c>
      <c r="AY100" s="741"/>
      <c r="AZ100" s="741">
        <v>25</v>
      </c>
      <c r="BA100" s="741"/>
      <c r="BB100" s="741">
        <v>26</v>
      </c>
      <c r="BC100" s="741"/>
      <c r="BD100" s="741">
        <v>27</v>
      </c>
      <c r="BE100" s="741"/>
      <c r="BF100" s="741">
        <v>28</v>
      </c>
      <c r="BG100" s="741"/>
      <c r="BH100" s="741">
        <v>29</v>
      </c>
      <c r="BI100" s="741"/>
      <c r="BJ100" s="741">
        <v>30</v>
      </c>
      <c r="BK100" s="741"/>
      <c r="BL100" s="741">
        <v>31</v>
      </c>
      <c r="BM100" s="741"/>
      <c r="BN100" s="738" t="s">
        <v>251</v>
      </c>
      <c r="BO100" s="760"/>
      <c r="BP100" s="771" t="s">
        <v>353</v>
      </c>
      <c r="BQ100" s="772"/>
    </row>
    <row r="101" spans="2:69" ht="24.95" customHeight="1">
      <c r="B101" s="744"/>
      <c r="C101" s="747"/>
      <c r="D101" s="752" t="str">
        <f>D2</f>
        <v>土</v>
      </c>
      <c r="E101" s="740"/>
      <c r="F101" s="739" t="str">
        <f>F2</f>
        <v>日</v>
      </c>
      <c r="G101" s="740"/>
      <c r="H101" s="739" t="str">
        <f>H2</f>
        <v>月</v>
      </c>
      <c r="I101" s="740"/>
      <c r="J101" s="739" t="str">
        <f>J2</f>
        <v>火</v>
      </c>
      <c r="K101" s="740"/>
      <c r="L101" s="739" t="str">
        <f>L2</f>
        <v>水</v>
      </c>
      <c r="M101" s="740"/>
      <c r="N101" s="739" t="str">
        <f>N2</f>
        <v>木</v>
      </c>
      <c r="O101" s="740"/>
      <c r="P101" s="739" t="str">
        <f>P2</f>
        <v>金</v>
      </c>
      <c r="Q101" s="740"/>
      <c r="R101" s="739" t="str">
        <f>R2</f>
        <v>土</v>
      </c>
      <c r="S101" s="740"/>
      <c r="T101" s="739" t="str">
        <f>T2</f>
        <v>日</v>
      </c>
      <c r="U101" s="740"/>
      <c r="V101" s="739" t="str">
        <f>V2</f>
        <v>月</v>
      </c>
      <c r="W101" s="740"/>
      <c r="X101" s="739" t="str">
        <f>X2</f>
        <v>火</v>
      </c>
      <c r="Y101" s="740"/>
      <c r="Z101" s="739" t="str">
        <f>Z2</f>
        <v>水</v>
      </c>
      <c r="AA101" s="740"/>
      <c r="AB101" s="739" t="str">
        <f>AB2</f>
        <v>木</v>
      </c>
      <c r="AC101" s="740"/>
      <c r="AD101" s="739" t="str">
        <f>AD2</f>
        <v>金</v>
      </c>
      <c r="AE101" s="740"/>
      <c r="AF101" s="739" t="str">
        <f>AF2</f>
        <v>土</v>
      </c>
      <c r="AG101" s="740"/>
      <c r="AH101" s="786" t="str">
        <f>AH2</f>
        <v>日</v>
      </c>
      <c r="AI101" s="767"/>
      <c r="AJ101" s="770" t="str">
        <f>AJ2</f>
        <v>月</v>
      </c>
      <c r="AK101" s="770"/>
      <c r="AL101" s="770" t="str">
        <f>AL2</f>
        <v>火</v>
      </c>
      <c r="AM101" s="770"/>
      <c r="AN101" s="770" t="str">
        <f>AN2</f>
        <v>水</v>
      </c>
      <c r="AO101" s="770"/>
      <c r="AP101" s="770" t="str">
        <f>AP2</f>
        <v>木</v>
      </c>
      <c r="AQ101" s="770"/>
      <c r="AR101" s="770" t="str">
        <f>AR2</f>
        <v>金</v>
      </c>
      <c r="AS101" s="770"/>
      <c r="AT101" s="770" t="str">
        <f>AT2</f>
        <v>土</v>
      </c>
      <c r="AU101" s="770"/>
      <c r="AV101" s="770" t="str">
        <f>AV2</f>
        <v>日</v>
      </c>
      <c r="AW101" s="770"/>
      <c r="AX101" s="770" t="str">
        <f>AX2</f>
        <v>月</v>
      </c>
      <c r="AY101" s="770"/>
      <c r="AZ101" s="770" t="str">
        <f>AZ2</f>
        <v>火</v>
      </c>
      <c r="BA101" s="770"/>
      <c r="BB101" s="770" t="str">
        <f>BB2</f>
        <v>水</v>
      </c>
      <c r="BC101" s="770"/>
      <c r="BD101" s="770" t="str">
        <f>BD2</f>
        <v>木</v>
      </c>
      <c r="BE101" s="770"/>
      <c r="BF101" s="770" t="str">
        <f>BF2</f>
        <v>金</v>
      </c>
      <c r="BG101" s="770"/>
      <c r="BH101" s="770" t="str">
        <f>BH2</f>
        <v>土</v>
      </c>
      <c r="BI101" s="770"/>
      <c r="BJ101" s="770" t="str">
        <f>BJ2</f>
        <v>日</v>
      </c>
      <c r="BK101" s="770"/>
      <c r="BL101" s="770" t="str">
        <f>BL2</f>
        <v>月</v>
      </c>
      <c r="BM101" s="770"/>
      <c r="BN101" s="761"/>
      <c r="BO101" s="762"/>
      <c r="BP101" s="773"/>
      <c r="BQ101" s="774"/>
    </row>
    <row r="102" spans="2:69" ht="24.95" customHeight="1" thickBot="1">
      <c r="B102" s="748"/>
      <c r="C102" s="750"/>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4"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0.1" customHeight="1" thickTop="1">
      <c r="B103" s="205" t="str">
        <f>'1月'!$B$103</f>
        <v>木村　貴子</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10"/>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179"/>
      <c r="BK103" s="10"/>
      <c r="BL103" s="11"/>
      <c r="BM103" s="10"/>
      <c r="BN103" s="102">
        <f t="shared" ref="BN103:BO107" si="18">SUM(D103,F103,H103,J103,L103,N103,P103,R103,T103,V103,X103,Z103,AB103,AD103,AF103,AH103,AJ103,AL103,AN103,AP103,AR103,AT103,AV103,AX103,AZ103,BB103,BD103,BF103,BH103,BJ103,BL103)</f>
        <v>0</v>
      </c>
      <c r="BO103" s="47">
        <f t="shared" si="18"/>
        <v>0</v>
      </c>
      <c r="BP103" s="631">
        <f>INDEX('1月'!$B$4:$BQ$375,MATCH('2月'!B103,'1月'!$B$4:$B$375,0),67)+BN103</f>
        <v>0</v>
      </c>
      <c r="BQ103" s="702">
        <f>INDEX('1月'!$B$4:$BQ$375,MATCH('2月'!B103,'1月'!$B$4:$B$375,0),68)+BO103</f>
        <v>0</v>
      </c>
    </row>
    <row r="104" spans="2:69" s="6" customFormat="1" ht="50.1" customHeight="1">
      <c r="B104" s="201" t="str">
        <f>'1月'!$B$104</f>
        <v>澤田　敏秋</v>
      </c>
      <c r="C104" s="146"/>
      <c r="D104" s="18"/>
      <c r="E104" s="14"/>
      <c r="F104" s="18"/>
      <c r="G104" s="14"/>
      <c r="H104" s="18"/>
      <c r="I104" s="14"/>
      <c r="J104" s="18"/>
      <c r="K104" s="14"/>
      <c r="L104" s="18"/>
      <c r="M104" s="14"/>
      <c r="N104" s="18"/>
      <c r="O104" s="14"/>
      <c r="P104" s="18"/>
      <c r="Q104" s="14"/>
      <c r="R104" s="18"/>
      <c r="S104" s="14"/>
      <c r="T104" s="18"/>
      <c r="U104" s="14"/>
      <c r="V104" s="18"/>
      <c r="W104" s="14"/>
      <c r="X104" s="18"/>
      <c r="Y104" s="14"/>
      <c r="Z104" s="18"/>
      <c r="AA104" s="14"/>
      <c r="AB104" s="18"/>
      <c r="AC104" s="14"/>
      <c r="AD104" s="18"/>
      <c r="AE104" s="14"/>
      <c r="AF104" s="18"/>
      <c r="AG104" s="15"/>
      <c r="AH104" s="18"/>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37"/>
      <c r="BK104" s="15"/>
      <c r="BL104" s="16"/>
      <c r="BM104" s="15"/>
      <c r="BN104" s="102">
        <f t="shared" si="18"/>
        <v>0</v>
      </c>
      <c r="BO104" s="47">
        <f t="shared" si="18"/>
        <v>0</v>
      </c>
      <c r="BP104" s="631">
        <f>INDEX('1月'!$B$4:$BQ$375,MATCH('2月'!B104,'1月'!$B$4:$B$375,0),67)+BN104</f>
        <v>2</v>
      </c>
      <c r="BQ104" s="702">
        <f>INDEX('1月'!$B$4:$BQ$375,MATCH('2月'!B104,'1月'!$B$4:$B$375,0),68)+BO104</f>
        <v>2</v>
      </c>
    </row>
    <row r="105" spans="2:69" s="6" customFormat="1" ht="50.1" customHeight="1">
      <c r="B105" s="201" t="str">
        <f>'1月'!$B$105</f>
        <v>畠山　真美</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37"/>
      <c r="BK105" s="15"/>
      <c r="BL105" s="16"/>
      <c r="BM105" s="15"/>
      <c r="BN105" s="102">
        <f t="shared" si="18"/>
        <v>0</v>
      </c>
      <c r="BO105" s="47">
        <f t="shared" si="18"/>
        <v>0</v>
      </c>
      <c r="BP105" s="631">
        <f>INDEX('1月'!$B$4:$BQ$375,MATCH('2月'!B105,'1月'!$B$4:$B$375,0),67)+BN105</f>
        <v>0</v>
      </c>
      <c r="BQ105" s="702">
        <f>INDEX('1月'!$B$4:$BQ$375,MATCH('2月'!B105,'1月'!$B$4:$B$375,0),68)+BO105</f>
        <v>0</v>
      </c>
    </row>
    <row r="106" spans="2:69" s="6" customFormat="1" ht="50.1" customHeight="1">
      <c r="B106" s="201" t="str">
        <f>'1月'!$B$106</f>
        <v>山下　三鶴</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37"/>
      <c r="BK106" s="15"/>
      <c r="BL106" s="16"/>
      <c r="BM106" s="15"/>
      <c r="BN106" s="102">
        <f t="shared" si="18"/>
        <v>0</v>
      </c>
      <c r="BO106" s="47">
        <f t="shared" si="18"/>
        <v>0</v>
      </c>
      <c r="BP106" s="631">
        <f>INDEX('1月'!$B$4:$BQ$375,MATCH('2月'!B106,'1月'!$B$4:$B$375,0),67)+BN106</f>
        <v>0</v>
      </c>
      <c r="BQ106" s="702">
        <f>INDEX('1月'!$B$4:$BQ$375,MATCH('2月'!B106,'1月'!$B$4:$B$375,0),68)+BO106</f>
        <v>0</v>
      </c>
    </row>
    <row r="107" spans="2:69" s="4" customFormat="1" ht="15.95" customHeight="1" thickBot="1">
      <c r="B107" s="156">
        <f>'1月'!$B$107</f>
        <v>0</v>
      </c>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5"/>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193"/>
      <c r="BK107" s="25"/>
      <c r="BL107" s="26"/>
      <c r="BM107" s="25"/>
      <c r="BN107" s="102">
        <f t="shared" si="18"/>
        <v>0</v>
      </c>
      <c r="BO107" s="47">
        <f t="shared" si="18"/>
        <v>0</v>
      </c>
      <c r="BP107" s="631"/>
      <c r="BQ107" s="559"/>
    </row>
    <row r="108" spans="2:69" s="6" customFormat="1" ht="45" customHeight="1" thickBot="1">
      <c r="B108" s="119" t="s">
        <v>101</v>
      </c>
      <c r="C108" s="149"/>
      <c r="D108" s="29">
        <f t="shared" ref="D108:AE108" si="19">SUM(D103:D107)</f>
        <v>0</v>
      </c>
      <c r="E108" s="31">
        <f t="shared" si="19"/>
        <v>0</v>
      </c>
      <c r="F108" s="29">
        <f t="shared" si="19"/>
        <v>0</v>
      </c>
      <c r="G108" s="31">
        <f t="shared" si="19"/>
        <v>0</v>
      </c>
      <c r="H108" s="29">
        <f t="shared" si="19"/>
        <v>0</v>
      </c>
      <c r="I108" s="31">
        <f t="shared" si="19"/>
        <v>0</v>
      </c>
      <c r="J108" s="29">
        <f t="shared" si="19"/>
        <v>0</v>
      </c>
      <c r="K108" s="31">
        <f t="shared" si="19"/>
        <v>0</v>
      </c>
      <c r="L108" s="29">
        <f t="shared" si="19"/>
        <v>0</v>
      </c>
      <c r="M108" s="31">
        <f t="shared" si="19"/>
        <v>0</v>
      </c>
      <c r="N108" s="29">
        <f t="shared" si="19"/>
        <v>0</v>
      </c>
      <c r="O108" s="31">
        <f t="shared" si="19"/>
        <v>0</v>
      </c>
      <c r="P108" s="29">
        <f t="shared" si="19"/>
        <v>0</v>
      </c>
      <c r="Q108" s="31">
        <f t="shared" si="19"/>
        <v>0</v>
      </c>
      <c r="R108" s="29">
        <f t="shared" si="19"/>
        <v>0</v>
      </c>
      <c r="S108" s="31">
        <f t="shared" si="19"/>
        <v>0</v>
      </c>
      <c r="T108" s="29">
        <f t="shared" si="19"/>
        <v>0</v>
      </c>
      <c r="U108" s="31">
        <f t="shared" si="19"/>
        <v>0</v>
      </c>
      <c r="V108" s="29">
        <f t="shared" si="19"/>
        <v>0</v>
      </c>
      <c r="W108" s="31">
        <f t="shared" si="19"/>
        <v>0</v>
      </c>
      <c r="X108" s="29">
        <f t="shared" si="19"/>
        <v>0</v>
      </c>
      <c r="Y108" s="31">
        <f t="shared" si="19"/>
        <v>0</v>
      </c>
      <c r="Z108" s="29">
        <f t="shared" si="19"/>
        <v>0</v>
      </c>
      <c r="AA108" s="31">
        <f t="shared" si="19"/>
        <v>0</v>
      </c>
      <c r="AB108" s="29">
        <f t="shared" si="19"/>
        <v>0</v>
      </c>
      <c r="AC108" s="31">
        <f t="shared" si="19"/>
        <v>0</v>
      </c>
      <c r="AD108" s="29">
        <f t="shared" si="19"/>
        <v>0</v>
      </c>
      <c r="AE108" s="31">
        <f t="shared" si="19"/>
        <v>0</v>
      </c>
      <c r="AF108" s="39">
        <f>SUM(AF103:AF107)</f>
        <v>0</v>
      </c>
      <c r="AG108" s="41">
        <f>SUM(AG103:AG107)</f>
        <v>0</v>
      </c>
      <c r="AH108" s="29">
        <f t="shared" ref="AH108:BL108" si="20">SUM(AH103:AH107)</f>
        <v>0</v>
      </c>
      <c r="AI108" s="31">
        <f t="shared" si="20"/>
        <v>0</v>
      </c>
      <c r="AJ108" s="29">
        <f t="shared" si="20"/>
        <v>0</v>
      </c>
      <c r="AK108" s="31">
        <f t="shared" si="20"/>
        <v>0</v>
      </c>
      <c r="AL108" s="29">
        <f t="shared" si="20"/>
        <v>0</v>
      </c>
      <c r="AM108" s="31">
        <f t="shared" si="20"/>
        <v>0</v>
      </c>
      <c r="AN108" s="29">
        <f t="shared" si="20"/>
        <v>0</v>
      </c>
      <c r="AO108" s="31">
        <f t="shared" si="20"/>
        <v>0</v>
      </c>
      <c r="AP108" s="29">
        <f t="shared" si="20"/>
        <v>0</v>
      </c>
      <c r="AQ108" s="31">
        <f t="shared" si="20"/>
        <v>0</v>
      </c>
      <c r="AR108" s="29">
        <f t="shared" si="20"/>
        <v>0</v>
      </c>
      <c r="AS108" s="31">
        <f t="shared" si="20"/>
        <v>0</v>
      </c>
      <c r="AT108" s="29">
        <f t="shared" si="20"/>
        <v>0</v>
      </c>
      <c r="AU108" s="31">
        <f t="shared" si="20"/>
        <v>0</v>
      </c>
      <c r="AV108" s="29">
        <f t="shared" si="20"/>
        <v>0</v>
      </c>
      <c r="AW108" s="31">
        <f t="shared" si="20"/>
        <v>0</v>
      </c>
      <c r="AX108" s="29">
        <f t="shared" si="20"/>
        <v>0</v>
      </c>
      <c r="AY108" s="31">
        <f t="shared" si="20"/>
        <v>0</v>
      </c>
      <c r="AZ108" s="29">
        <f t="shared" si="20"/>
        <v>0</v>
      </c>
      <c r="BA108" s="31">
        <f t="shared" si="20"/>
        <v>0</v>
      </c>
      <c r="BB108" s="29">
        <f t="shared" si="20"/>
        <v>0</v>
      </c>
      <c r="BC108" s="31">
        <f t="shared" si="20"/>
        <v>0</v>
      </c>
      <c r="BD108" s="29">
        <f t="shared" si="20"/>
        <v>0</v>
      </c>
      <c r="BE108" s="31">
        <f t="shared" si="20"/>
        <v>0</v>
      </c>
      <c r="BF108" s="29">
        <f t="shared" si="20"/>
        <v>0</v>
      </c>
      <c r="BG108" s="31">
        <f t="shared" si="20"/>
        <v>0</v>
      </c>
      <c r="BH108" s="29">
        <f t="shared" si="20"/>
        <v>0</v>
      </c>
      <c r="BI108" s="31">
        <f t="shared" si="20"/>
        <v>0</v>
      </c>
      <c r="BJ108" s="39">
        <f t="shared" si="20"/>
        <v>0</v>
      </c>
      <c r="BK108" s="31">
        <f t="shared" si="20"/>
        <v>0</v>
      </c>
      <c r="BL108" s="41">
        <f t="shared" si="20"/>
        <v>0</v>
      </c>
      <c r="BM108" s="31">
        <f>SUM(BM103:BM107)</f>
        <v>0</v>
      </c>
      <c r="BN108" s="32">
        <f>SUM(BN103:BN107)</f>
        <v>0</v>
      </c>
      <c r="BO108" s="40">
        <f>SUM(BO103:BO107)</f>
        <v>0</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43" t="s">
        <v>84</v>
      </c>
      <c r="C111" s="749">
        <f>COUNTIF(B114:B124,"*")</f>
        <v>11</v>
      </c>
      <c r="D111" s="751">
        <v>1</v>
      </c>
      <c r="E111" s="738"/>
      <c r="F111" s="737">
        <v>2</v>
      </c>
      <c r="G111" s="738"/>
      <c r="H111" s="737">
        <v>3</v>
      </c>
      <c r="I111" s="738"/>
      <c r="J111" s="737">
        <v>4</v>
      </c>
      <c r="K111" s="738"/>
      <c r="L111" s="737">
        <v>5</v>
      </c>
      <c r="M111" s="738"/>
      <c r="N111" s="737">
        <v>6</v>
      </c>
      <c r="O111" s="738"/>
      <c r="P111" s="737">
        <v>7</v>
      </c>
      <c r="Q111" s="738"/>
      <c r="R111" s="737">
        <v>8</v>
      </c>
      <c r="S111" s="738"/>
      <c r="T111" s="737">
        <v>9</v>
      </c>
      <c r="U111" s="738"/>
      <c r="V111" s="737">
        <v>10</v>
      </c>
      <c r="W111" s="738"/>
      <c r="X111" s="737">
        <v>11</v>
      </c>
      <c r="Y111" s="738"/>
      <c r="Z111" s="737">
        <v>12</v>
      </c>
      <c r="AA111" s="738"/>
      <c r="AB111" s="737">
        <v>13</v>
      </c>
      <c r="AC111" s="738"/>
      <c r="AD111" s="737">
        <v>14</v>
      </c>
      <c r="AE111" s="738"/>
      <c r="AF111" s="737">
        <v>15</v>
      </c>
      <c r="AG111" s="784"/>
      <c r="AH111" s="741">
        <v>16</v>
      </c>
      <c r="AI111" s="741"/>
      <c r="AJ111" s="741">
        <v>17</v>
      </c>
      <c r="AK111" s="741"/>
      <c r="AL111" s="741">
        <v>18</v>
      </c>
      <c r="AM111" s="741"/>
      <c r="AN111" s="741">
        <v>19</v>
      </c>
      <c r="AO111" s="741"/>
      <c r="AP111" s="741">
        <v>20</v>
      </c>
      <c r="AQ111" s="741"/>
      <c r="AR111" s="741">
        <v>21</v>
      </c>
      <c r="AS111" s="741"/>
      <c r="AT111" s="741">
        <v>22</v>
      </c>
      <c r="AU111" s="741"/>
      <c r="AV111" s="741">
        <v>23</v>
      </c>
      <c r="AW111" s="741"/>
      <c r="AX111" s="741">
        <v>24</v>
      </c>
      <c r="AY111" s="741"/>
      <c r="AZ111" s="741">
        <v>25</v>
      </c>
      <c r="BA111" s="741"/>
      <c r="BB111" s="741">
        <v>26</v>
      </c>
      <c r="BC111" s="741"/>
      <c r="BD111" s="741">
        <v>27</v>
      </c>
      <c r="BE111" s="741"/>
      <c r="BF111" s="741">
        <v>28</v>
      </c>
      <c r="BG111" s="741"/>
      <c r="BH111" s="741">
        <v>29</v>
      </c>
      <c r="BI111" s="741"/>
      <c r="BJ111" s="741">
        <v>30</v>
      </c>
      <c r="BK111" s="741"/>
      <c r="BL111" s="741">
        <v>31</v>
      </c>
      <c r="BM111" s="741"/>
      <c r="BN111" s="738" t="s">
        <v>251</v>
      </c>
      <c r="BO111" s="760"/>
      <c r="BP111" s="771" t="s">
        <v>353</v>
      </c>
      <c r="BQ111" s="772"/>
    </row>
    <row r="112" spans="2:69" ht="24.95" customHeight="1">
      <c r="B112" s="744"/>
      <c r="C112" s="747"/>
      <c r="D112" s="752" t="str">
        <f>D2</f>
        <v>土</v>
      </c>
      <c r="E112" s="740"/>
      <c r="F112" s="739" t="str">
        <f>F2</f>
        <v>日</v>
      </c>
      <c r="G112" s="740"/>
      <c r="H112" s="739" t="str">
        <f>H2</f>
        <v>月</v>
      </c>
      <c r="I112" s="740"/>
      <c r="J112" s="739" t="str">
        <f>J2</f>
        <v>火</v>
      </c>
      <c r="K112" s="740"/>
      <c r="L112" s="739" t="str">
        <f>L2</f>
        <v>水</v>
      </c>
      <c r="M112" s="740"/>
      <c r="N112" s="739" t="str">
        <f>N2</f>
        <v>木</v>
      </c>
      <c r="O112" s="740"/>
      <c r="P112" s="739" t="str">
        <f>P2</f>
        <v>金</v>
      </c>
      <c r="Q112" s="740"/>
      <c r="R112" s="739" t="str">
        <f>R2</f>
        <v>土</v>
      </c>
      <c r="S112" s="740"/>
      <c r="T112" s="739" t="str">
        <f>T2</f>
        <v>日</v>
      </c>
      <c r="U112" s="740"/>
      <c r="V112" s="739" t="str">
        <f>V2</f>
        <v>月</v>
      </c>
      <c r="W112" s="740"/>
      <c r="X112" s="739" t="str">
        <f>X2</f>
        <v>火</v>
      </c>
      <c r="Y112" s="740"/>
      <c r="Z112" s="739" t="str">
        <f>Z2</f>
        <v>水</v>
      </c>
      <c r="AA112" s="740"/>
      <c r="AB112" s="739" t="str">
        <f>AB2</f>
        <v>木</v>
      </c>
      <c r="AC112" s="740"/>
      <c r="AD112" s="739" t="str">
        <f>AD2</f>
        <v>金</v>
      </c>
      <c r="AE112" s="740"/>
      <c r="AF112" s="739" t="str">
        <f>AF2</f>
        <v>土</v>
      </c>
      <c r="AG112" s="740"/>
      <c r="AH112" s="786" t="str">
        <f>AH2</f>
        <v>日</v>
      </c>
      <c r="AI112" s="767"/>
      <c r="AJ112" s="770" t="str">
        <f>AJ2</f>
        <v>月</v>
      </c>
      <c r="AK112" s="770"/>
      <c r="AL112" s="770" t="str">
        <f>AL2</f>
        <v>火</v>
      </c>
      <c r="AM112" s="770"/>
      <c r="AN112" s="770" t="str">
        <f>AN2</f>
        <v>水</v>
      </c>
      <c r="AO112" s="770"/>
      <c r="AP112" s="770" t="str">
        <f>AP2</f>
        <v>木</v>
      </c>
      <c r="AQ112" s="770"/>
      <c r="AR112" s="770" t="str">
        <f>AR2</f>
        <v>金</v>
      </c>
      <c r="AS112" s="770"/>
      <c r="AT112" s="770" t="str">
        <f>AT2</f>
        <v>土</v>
      </c>
      <c r="AU112" s="770"/>
      <c r="AV112" s="770" t="str">
        <f>AV2</f>
        <v>日</v>
      </c>
      <c r="AW112" s="770"/>
      <c r="AX112" s="770" t="str">
        <f>AX2</f>
        <v>月</v>
      </c>
      <c r="AY112" s="770"/>
      <c r="AZ112" s="770" t="str">
        <f>AZ2</f>
        <v>火</v>
      </c>
      <c r="BA112" s="770"/>
      <c r="BB112" s="770" t="str">
        <f>BB2</f>
        <v>水</v>
      </c>
      <c r="BC112" s="770"/>
      <c r="BD112" s="770" t="str">
        <f>BD2</f>
        <v>木</v>
      </c>
      <c r="BE112" s="770"/>
      <c r="BF112" s="770" t="str">
        <f>BF2</f>
        <v>金</v>
      </c>
      <c r="BG112" s="770"/>
      <c r="BH112" s="770" t="str">
        <f>BH2</f>
        <v>土</v>
      </c>
      <c r="BI112" s="770"/>
      <c r="BJ112" s="770" t="str">
        <f>BJ2</f>
        <v>日</v>
      </c>
      <c r="BK112" s="770"/>
      <c r="BL112" s="770" t="str">
        <f>BL2</f>
        <v>月</v>
      </c>
      <c r="BM112" s="770"/>
      <c r="BN112" s="761"/>
      <c r="BO112" s="762"/>
      <c r="BP112" s="773"/>
      <c r="BQ112" s="774"/>
    </row>
    <row r="113" spans="2:69" ht="24.95" customHeight="1" thickBot="1">
      <c r="B113" s="748"/>
      <c r="C113" s="750"/>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4"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tr">
        <f>'1月'!$B$114</f>
        <v>梅津　昭勝</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10"/>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179"/>
      <c r="BK114" s="10"/>
      <c r="BL114" s="179"/>
      <c r="BM114" s="9"/>
      <c r="BN114" s="102">
        <f>SUM(D114,F114,H114,J114,L114,N114,P114,R114,T114,V114,X114,Z114,AB114,AD114,AF114,AH114,AJ114,AL114,AN114,AP114,AR114,AT114,AV114,AX114,AZ114,BB114,BD114,BF114,BH114,BJ114,BL114)</f>
        <v>0</v>
      </c>
      <c r="BO114" s="47">
        <f>SUM(E114,G114,I114,K114,M114,O114,Q114,S114,U114,W114,Y114,AA114,AC114,AE114,AG114,AI114,AK114,AM114,AO114,AQ114,AS114,AU114,AW114,AY114,BA114,BC114,BE114,BG114,BI114,BK114,BM114)</f>
        <v>0</v>
      </c>
      <c r="BP114" s="631">
        <f>INDEX('1月'!$B$4:$BQ$375,MATCH('2月'!B114,'1月'!$B$4:$B$375,0),67)+BN114</f>
        <v>0</v>
      </c>
      <c r="BQ114" s="702">
        <f>INDEX('1月'!$B$4:$BQ$375,MATCH('2月'!B114,'1月'!$B$4:$B$375,0),68)+BO114</f>
        <v>0</v>
      </c>
    </row>
    <row r="115" spans="2:69" s="6" customFormat="1" ht="50.1" customHeight="1">
      <c r="B115" s="201" t="str">
        <f>'1月'!$B$115</f>
        <v>石橋　直子</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18"/>
      <c r="AG115" s="15"/>
      <c r="AH115" s="18"/>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37"/>
      <c r="BK115" s="15"/>
      <c r="BL115" s="37"/>
      <c r="BM115" s="14"/>
      <c r="BN115" s="102">
        <f t="shared" ref="BN115:BN125" si="21">SUM(D115,F115,H115,J115,L115,N115,P115,R115,T115,V115,X115,Z115,AB115,AD115,AF115,AH115,AJ115,AL115,AN115,AP115,AR115,AT115,AV115,AX115,AZ115,BB115,BD115,BF115,BH115,BJ115,BL115)</f>
        <v>0</v>
      </c>
      <c r="BO115" s="47">
        <f t="shared" ref="BO115:BO125" si="22">SUM(E115,G115,I115,K115,M115,O115,Q115,S115,U115,W115,Y115,AA115,AC115,AE115,AG115,AI115,AK115,AM115,AO115,AQ115,AS115,AU115,AW115,AY115,BA115,BC115,BE115,BG115,BI115,BK115,BM115)</f>
        <v>0</v>
      </c>
      <c r="BP115" s="631">
        <f>INDEX('1月'!$B$4:$BQ$375,MATCH('2月'!B115,'1月'!$B$4:$B$375,0),67)+BN115</f>
        <v>0</v>
      </c>
      <c r="BQ115" s="702">
        <f>INDEX('1月'!$B$4:$BQ$375,MATCH('2月'!B115,'1月'!$B$4:$B$375,0),68)+BO115</f>
        <v>0</v>
      </c>
    </row>
    <row r="116" spans="2:69" s="6" customFormat="1" ht="50.1" customHeight="1">
      <c r="B116" s="201" t="str">
        <f>'1月'!$B$116</f>
        <v>熊谷　剛</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37"/>
      <c r="BK116" s="15"/>
      <c r="BL116" s="37"/>
      <c r="BM116" s="14"/>
      <c r="BN116" s="102">
        <f t="shared" si="21"/>
        <v>0</v>
      </c>
      <c r="BO116" s="47">
        <f t="shared" si="22"/>
        <v>0</v>
      </c>
      <c r="BP116" s="631">
        <f>INDEX('1月'!$B$4:$BQ$375,MATCH('2月'!B116,'1月'!$B$4:$B$375,0),67)+BN116</f>
        <v>0</v>
      </c>
      <c r="BQ116" s="702">
        <f>INDEX('1月'!$B$4:$BQ$375,MATCH('2月'!B116,'1月'!$B$4:$B$375,0),68)+BO116</f>
        <v>0</v>
      </c>
    </row>
    <row r="117" spans="2:69" s="6" customFormat="1" ht="50.1" customHeight="1">
      <c r="B117" s="201" t="str">
        <f>'1月'!$B$117</f>
        <v>小西　裕子</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37"/>
      <c r="BK117" s="15"/>
      <c r="BL117" s="37"/>
      <c r="BM117" s="14"/>
      <c r="BN117" s="102">
        <f t="shared" si="21"/>
        <v>0</v>
      </c>
      <c r="BO117" s="47">
        <f t="shared" si="22"/>
        <v>0</v>
      </c>
      <c r="BP117" s="631">
        <f>INDEX('1月'!$B$4:$BQ$375,MATCH('2月'!B117,'1月'!$B$4:$B$375,0),67)+BN117</f>
        <v>0</v>
      </c>
      <c r="BQ117" s="702">
        <f>INDEX('1月'!$B$4:$BQ$375,MATCH('2月'!B117,'1月'!$B$4:$B$375,0),68)+BO117</f>
        <v>0</v>
      </c>
    </row>
    <row r="118" spans="2:69" s="6" customFormat="1" ht="50.1" customHeight="1">
      <c r="B118" s="201" t="str">
        <f>'1月'!$B$118</f>
        <v>豊川　真紀</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37"/>
      <c r="BK118" s="15"/>
      <c r="BL118" s="37"/>
      <c r="BM118" s="14"/>
      <c r="BN118" s="102">
        <f t="shared" si="21"/>
        <v>0</v>
      </c>
      <c r="BO118" s="47">
        <f t="shared" si="22"/>
        <v>0</v>
      </c>
      <c r="BP118" s="631">
        <f>INDEX('1月'!$B$4:$BQ$375,MATCH('2月'!B118,'1月'!$B$4:$B$375,0),67)+BN118</f>
        <v>0</v>
      </c>
      <c r="BQ118" s="702">
        <f>INDEX('1月'!$B$4:$BQ$375,MATCH('2月'!B118,'1月'!$B$4:$B$375,0),68)+BO118</f>
        <v>0</v>
      </c>
    </row>
    <row r="119" spans="2:69" s="6" customFormat="1" ht="50.1" customHeight="1">
      <c r="B119" s="202" t="str">
        <f>'1月'!$B$119</f>
        <v>野辺地　佳代子</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37"/>
      <c r="BK119" s="15"/>
      <c r="BL119" s="37"/>
      <c r="BM119" s="14"/>
      <c r="BN119" s="102">
        <f t="shared" si="21"/>
        <v>0</v>
      </c>
      <c r="BO119" s="47">
        <f t="shared" si="22"/>
        <v>0</v>
      </c>
      <c r="BP119" s="631">
        <f>INDEX('1月'!$B$4:$BQ$375,MATCH('2月'!B119,'1月'!$B$4:$B$375,0),67)+BN119</f>
        <v>0</v>
      </c>
      <c r="BQ119" s="702">
        <f>INDEX('1月'!$B$4:$BQ$375,MATCH('2月'!B119,'1月'!$B$4:$B$375,0),68)+BO119</f>
        <v>0</v>
      </c>
    </row>
    <row r="120" spans="2:69" s="6" customFormat="1" ht="50.1" customHeight="1">
      <c r="B120" s="201" t="str">
        <f>'1月'!$B$120</f>
        <v>渡辺　真由美</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37"/>
      <c r="BK120" s="15"/>
      <c r="BL120" s="37"/>
      <c r="BM120" s="14"/>
      <c r="BN120" s="102">
        <f t="shared" si="21"/>
        <v>0</v>
      </c>
      <c r="BO120" s="47">
        <f t="shared" si="22"/>
        <v>0</v>
      </c>
      <c r="BP120" s="631">
        <f>INDEX('1月'!$B$4:$BQ$375,MATCH('2月'!B120,'1月'!$B$4:$B$375,0),67)+BN120</f>
        <v>0</v>
      </c>
      <c r="BQ120" s="702">
        <f>INDEX('1月'!$B$4:$BQ$375,MATCH('2月'!B120,'1月'!$B$4:$B$375,0),68)+BO120</f>
        <v>0</v>
      </c>
    </row>
    <row r="121" spans="2:69" s="6" customFormat="1" ht="50.1" customHeight="1">
      <c r="B121" s="201" t="str">
        <f>'1月'!$B$121</f>
        <v>中山　知佳</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37"/>
      <c r="BK121" s="15"/>
      <c r="BL121" s="37"/>
      <c r="BM121" s="14"/>
      <c r="BN121" s="102">
        <f t="shared" si="21"/>
        <v>0</v>
      </c>
      <c r="BO121" s="47">
        <f t="shared" si="22"/>
        <v>0</v>
      </c>
      <c r="BP121" s="631">
        <f>INDEX('1月'!$B$4:$BQ$375,MATCH('2月'!B121,'1月'!$B$4:$B$375,0),67)+BN121</f>
        <v>0</v>
      </c>
      <c r="BQ121" s="702">
        <f>INDEX('1月'!$B$4:$BQ$375,MATCH('2月'!B121,'1月'!$B$4:$B$375,0),68)+BO121</f>
        <v>0</v>
      </c>
    </row>
    <row r="122" spans="2:69" s="4" customFormat="1" ht="50.1" customHeight="1">
      <c r="B122" s="202" t="str">
        <f>'1月'!$B$122</f>
        <v>庭田　留美子</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37"/>
      <c r="BK122" s="15"/>
      <c r="BL122" s="37"/>
      <c r="BM122" s="14"/>
      <c r="BN122" s="102">
        <f t="shared" si="21"/>
        <v>0</v>
      </c>
      <c r="BO122" s="47">
        <f t="shared" si="22"/>
        <v>0</v>
      </c>
      <c r="BP122" s="631">
        <f>INDEX('1月'!$B$4:$BQ$375,MATCH('2月'!B122,'1月'!$B$4:$B$375,0),67)+BN122</f>
        <v>2</v>
      </c>
      <c r="BQ122" s="702">
        <f>INDEX('1月'!$B$4:$BQ$375,MATCH('2月'!B122,'1月'!$B$4:$B$375,0),68)+BO122</f>
        <v>4</v>
      </c>
    </row>
    <row r="123" spans="2:69" s="4" customFormat="1" ht="50.1" customHeight="1">
      <c r="B123" s="201" t="str">
        <f>'1月'!$B$123</f>
        <v>古里　剛</v>
      </c>
      <c r="C123" s="147"/>
      <c r="D123" s="18"/>
      <c r="E123" s="14"/>
      <c r="F123" s="50"/>
      <c r="G123" s="20"/>
      <c r="H123" s="50"/>
      <c r="I123" s="20"/>
      <c r="J123" s="50"/>
      <c r="K123" s="20"/>
      <c r="L123" s="50"/>
      <c r="M123" s="20"/>
      <c r="N123" s="50"/>
      <c r="O123" s="20"/>
      <c r="P123" s="50"/>
      <c r="Q123" s="20"/>
      <c r="R123" s="50"/>
      <c r="S123" s="20"/>
      <c r="T123" s="50"/>
      <c r="U123" s="20"/>
      <c r="V123" s="50"/>
      <c r="W123" s="20"/>
      <c r="X123" s="50"/>
      <c r="Y123" s="20"/>
      <c r="Z123" s="50"/>
      <c r="AA123" s="20"/>
      <c r="AB123" s="50"/>
      <c r="AC123" s="20"/>
      <c r="AD123" s="50"/>
      <c r="AE123" s="20"/>
      <c r="AF123" s="50"/>
      <c r="AG123" s="21"/>
      <c r="AH123" s="50"/>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38"/>
      <c r="BK123" s="21"/>
      <c r="BL123" s="38"/>
      <c r="BM123" s="20"/>
      <c r="BN123" s="102">
        <f t="shared" si="21"/>
        <v>0</v>
      </c>
      <c r="BO123" s="47">
        <f t="shared" si="22"/>
        <v>0</v>
      </c>
      <c r="BP123" s="631">
        <f>INDEX('1月'!$B$4:$BQ$375,MATCH('2月'!B123,'1月'!$B$4:$B$375,0),67)+BN123</f>
        <v>4</v>
      </c>
      <c r="BQ123" s="702">
        <f>INDEX('1月'!$B$4:$BQ$375,MATCH('2月'!B123,'1月'!$B$4:$B$375,0),68)+BO123</f>
        <v>4</v>
      </c>
    </row>
    <row r="124" spans="2:69" s="4" customFormat="1" ht="50.1" customHeight="1">
      <c r="B124" s="201" t="str">
        <f>'1月'!$B$124</f>
        <v>橋本　薫</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38"/>
      <c r="BK124" s="21"/>
      <c r="BL124" s="38"/>
      <c r="BM124" s="20"/>
      <c r="BN124" s="102">
        <f t="shared" si="21"/>
        <v>0</v>
      </c>
      <c r="BO124" s="47">
        <f t="shared" si="22"/>
        <v>0</v>
      </c>
      <c r="BP124" s="631">
        <f>INDEX('1月'!$B$4:$BQ$375,MATCH('2月'!B124,'1月'!$B$4:$B$375,0),67)+BN124</f>
        <v>0</v>
      </c>
      <c r="BQ124" s="702">
        <f>INDEX('1月'!$B$4:$BQ$375,MATCH('2月'!B124,'1月'!$B$4:$B$375,0),68)+BO124</f>
        <v>0</v>
      </c>
    </row>
    <row r="125" spans="2:69" s="4" customFormat="1" ht="50.1" customHeight="1" thickBot="1">
      <c r="B125" s="201" t="str">
        <f>'1月'!$B$125</f>
        <v>近藤　綾乃</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5"/>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193"/>
      <c r="BK125" s="25"/>
      <c r="BL125" s="193"/>
      <c r="BM125" s="24"/>
      <c r="BN125" s="102">
        <f t="shared" si="21"/>
        <v>0</v>
      </c>
      <c r="BO125" s="47">
        <f t="shared" si="22"/>
        <v>0</v>
      </c>
      <c r="BP125" s="631">
        <f>INDEX('1月'!$B$4:$BQ$375,MATCH('2月'!B125,'1月'!$B$4:$B$375,0),67)+BN125</f>
        <v>0</v>
      </c>
      <c r="BQ125" s="702">
        <f>INDEX('1月'!$B$4:$BQ$375,MATCH('2月'!B125,'1月'!$B$4:$B$375,0),68)+BO125</f>
        <v>0</v>
      </c>
    </row>
    <row r="126" spans="2:69" s="6" customFormat="1" ht="45" customHeight="1" thickBot="1">
      <c r="B126" s="119" t="s">
        <v>101</v>
      </c>
      <c r="C126" s="149"/>
      <c r="D126" s="29">
        <f t="shared" ref="D126:AG126" si="23">SUM(D114:D125)</f>
        <v>0</v>
      </c>
      <c r="E126" s="31">
        <f t="shared" si="23"/>
        <v>0</v>
      </c>
      <c r="F126" s="29">
        <f t="shared" si="23"/>
        <v>0</v>
      </c>
      <c r="G126" s="31">
        <f t="shared" si="23"/>
        <v>0</v>
      </c>
      <c r="H126" s="29">
        <f t="shared" si="23"/>
        <v>0</v>
      </c>
      <c r="I126" s="31">
        <f t="shared" si="23"/>
        <v>0</v>
      </c>
      <c r="J126" s="29">
        <f t="shared" si="23"/>
        <v>0</v>
      </c>
      <c r="K126" s="31">
        <f t="shared" si="23"/>
        <v>0</v>
      </c>
      <c r="L126" s="29">
        <f t="shared" si="23"/>
        <v>0</v>
      </c>
      <c r="M126" s="31">
        <f t="shared" si="23"/>
        <v>0</v>
      </c>
      <c r="N126" s="29">
        <f t="shared" si="23"/>
        <v>0</v>
      </c>
      <c r="O126" s="31">
        <f t="shared" si="23"/>
        <v>0</v>
      </c>
      <c r="P126" s="29">
        <f t="shared" si="23"/>
        <v>0</v>
      </c>
      <c r="Q126" s="31">
        <f t="shared" si="23"/>
        <v>0</v>
      </c>
      <c r="R126" s="29">
        <f t="shared" si="23"/>
        <v>0</v>
      </c>
      <c r="S126" s="31">
        <f t="shared" si="23"/>
        <v>0</v>
      </c>
      <c r="T126" s="29">
        <f t="shared" si="23"/>
        <v>0</v>
      </c>
      <c r="U126" s="31">
        <f t="shared" si="23"/>
        <v>0</v>
      </c>
      <c r="V126" s="29">
        <f t="shared" si="23"/>
        <v>0</v>
      </c>
      <c r="W126" s="31">
        <f t="shared" si="23"/>
        <v>0</v>
      </c>
      <c r="X126" s="29">
        <f t="shared" si="23"/>
        <v>0</v>
      </c>
      <c r="Y126" s="31">
        <f t="shared" si="23"/>
        <v>0</v>
      </c>
      <c r="Z126" s="29">
        <f t="shared" si="23"/>
        <v>0</v>
      </c>
      <c r="AA126" s="31">
        <f t="shared" si="23"/>
        <v>0</v>
      </c>
      <c r="AB126" s="29">
        <f t="shared" si="23"/>
        <v>0</v>
      </c>
      <c r="AC126" s="31">
        <f t="shared" si="23"/>
        <v>0</v>
      </c>
      <c r="AD126" s="29">
        <f t="shared" si="23"/>
        <v>0</v>
      </c>
      <c r="AE126" s="31">
        <f t="shared" si="23"/>
        <v>0</v>
      </c>
      <c r="AF126" s="29">
        <f t="shared" si="23"/>
        <v>0</v>
      </c>
      <c r="AG126" s="41">
        <f t="shared" si="23"/>
        <v>0</v>
      </c>
      <c r="AH126" s="29">
        <f>SUM(AH114:AH123)</f>
        <v>0</v>
      </c>
      <c r="AI126" s="31">
        <f>SUM(AI114:AI123)</f>
        <v>0</v>
      </c>
      <c r="AJ126" s="29">
        <f t="shared" ref="AJ126:BQ126" si="24">SUM(AJ114:AJ125)</f>
        <v>0</v>
      </c>
      <c r="AK126" s="31">
        <f t="shared" si="24"/>
        <v>0</v>
      </c>
      <c r="AL126" s="29">
        <f t="shared" si="24"/>
        <v>0</v>
      </c>
      <c r="AM126" s="31">
        <f t="shared" si="24"/>
        <v>0</v>
      </c>
      <c r="AN126" s="29">
        <f t="shared" si="24"/>
        <v>0</v>
      </c>
      <c r="AO126" s="31">
        <f t="shared" si="24"/>
        <v>0</v>
      </c>
      <c r="AP126" s="29">
        <f t="shared" si="24"/>
        <v>0</v>
      </c>
      <c r="AQ126" s="31">
        <f t="shared" si="24"/>
        <v>0</v>
      </c>
      <c r="AR126" s="29">
        <f t="shared" si="24"/>
        <v>0</v>
      </c>
      <c r="AS126" s="31">
        <f t="shared" si="24"/>
        <v>0</v>
      </c>
      <c r="AT126" s="29">
        <f t="shared" si="24"/>
        <v>0</v>
      </c>
      <c r="AU126" s="31">
        <f t="shared" si="24"/>
        <v>0</v>
      </c>
      <c r="AV126" s="29">
        <f t="shared" si="24"/>
        <v>0</v>
      </c>
      <c r="AW126" s="31">
        <f t="shared" si="24"/>
        <v>0</v>
      </c>
      <c r="AX126" s="29">
        <f t="shared" si="24"/>
        <v>0</v>
      </c>
      <c r="AY126" s="31">
        <f t="shared" si="24"/>
        <v>0</v>
      </c>
      <c r="AZ126" s="29">
        <f t="shared" si="24"/>
        <v>0</v>
      </c>
      <c r="BA126" s="31">
        <f t="shared" si="24"/>
        <v>0</v>
      </c>
      <c r="BB126" s="29">
        <f t="shared" si="24"/>
        <v>0</v>
      </c>
      <c r="BC126" s="31">
        <f t="shared" si="24"/>
        <v>0</v>
      </c>
      <c r="BD126" s="29">
        <f t="shared" si="24"/>
        <v>0</v>
      </c>
      <c r="BE126" s="31">
        <f t="shared" si="24"/>
        <v>0</v>
      </c>
      <c r="BF126" s="29">
        <f t="shared" si="24"/>
        <v>0</v>
      </c>
      <c r="BG126" s="31">
        <f t="shared" si="24"/>
        <v>0</v>
      </c>
      <c r="BH126" s="29">
        <f t="shared" si="24"/>
        <v>0</v>
      </c>
      <c r="BI126" s="31">
        <f t="shared" si="24"/>
        <v>0</v>
      </c>
      <c r="BJ126" s="39">
        <f t="shared" si="24"/>
        <v>0</v>
      </c>
      <c r="BK126" s="41">
        <f t="shared" si="24"/>
        <v>0</v>
      </c>
      <c r="BL126" s="39">
        <f t="shared" si="24"/>
        <v>0</v>
      </c>
      <c r="BM126" s="31">
        <f t="shared" si="24"/>
        <v>0</v>
      </c>
      <c r="BN126" s="32">
        <f t="shared" si="24"/>
        <v>0</v>
      </c>
      <c r="BO126" s="40">
        <f t="shared" si="24"/>
        <v>0</v>
      </c>
      <c r="BP126" s="245">
        <f t="shared" si="24"/>
        <v>6</v>
      </c>
      <c r="BQ126" s="246">
        <f t="shared" si="24"/>
        <v>8</v>
      </c>
    </row>
    <row r="127" spans="2:69" ht="24.95" customHeight="1">
      <c r="B127" s="120"/>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43" t="s">
        <v>85</v>
      </c>
      <c r="C129" s="749">
        <f>COUNTIF(B133:B141,"*")</f>
        <v>8</v>
      </c>
      <c r="D129" s="751">
        <v>1</v>
      </c>
      <c r="E129" s="738"/>
      <c r="F129" s="737">
        <v>2</v>
      </c>
      <c r="G129" s="738"/>
      <c r="H129" s="737">
        <v>3</v>
      </c>
      <c r="I129" s="738"/>
      <c r="J129" s="737">
        <v>4</v>
      </c>
      <c r="K129" s="738"/>
      <c r="L129" s="737">
        <v>5</v>
      </c>
      <c r="M129" s="738"/>
      <c r="N129" s="737">
        <v>6</v>
      </c>
      <c r="O129" s="738"/>
      <c r="P129" s="737">
        <v>7</v>
      </c>
      <c r="Q129" s="738"/>
      <c r="R129" s="737">
        <v>8</v>
      </c>
      <c r="S129" s="738"/>
      <c r="T129" s="737">
        <v>9</v>
      </c>
      <c r="U129" s="738"/>
      <c r="V129" s="737">
        <v>10</v>
      </c>
      <c r="W129" s="738"/>
      <c r="X129" s="737">
        <v>11</v>
      </c>
      <c r="Y129" s="738"/>
      <c r="Z129" s="737">
        <v>12</v>
      </c>
      <c r="AA129" s="738"/>
      <c r="AB129" s="737">
        <v>13</v>
      </c>
      <c r="AC129" s="738"/>
      <c r="AD129" s="737">
        <v>14</v>
      </c>
      <c r="AE129" s="738"/>
      <c r="AF129" s="737">
        <v>15</v>
      </c>
      <c r="AG129" s="784"/>
      <c r="AH129" s="741">
        <v>16</v>
      </c>
      <c r="AI129" s="741"/>
      <c r="AJ129" s="741">
        <v>17</v>
      </c>
      <c r="AK129" s="741"/>
      <c r="AL129" s="741">
        <v>18</v>
      </c>
      <c r="AM129" s="741"/>
      <c r="AN129" s="741">
        <v>19</v>
      </c>
      <c r="AO129" s="741"/>
      <c r="AP129" s="741">
        <v>20</v>
      </c>
      <c r="AQ129" s="741"/>
      <c r="AR129" s="741">
        <v>21</v>
      </c>
      <c r="AS129" s="741"/>
      <c r="AT129" s="741">
        <v>22</v>
      </c>
      <c r="AU129" s="741"/>
      <c r="AV129" s="741">
        <v>23</v>
      </c>
      <c r="AW129" s="741"/>
      <c r="AX129" s="741">
        <v>24</v>
      </c>
      <c r="AY129" s="741"/>
      <c r="AZ129" s="741">
        <v>25</v>
      </c>
      <c r="BA129" s="741"/>
      <c r="BB129" s="741">
        <v>26</v>
      </c>
      <c r="BC129" s="741"/>
      <c r="BD129" s="741">
        <v>27</v>
      </c>
      <c r="BE129" s="741"/>
      <c r="BF129" s="741">
        <v>28</v>
      </c>
      <c r="BG129" s="741"/>
      <c r="BH129" s="741">
        <v>29</v>
      </c>
      <c r="BI129" s="741"/>
      <c r="BJ129" s="741">
        <v>30</v>
      </c>
      <c r="BK129" s="741"/>
      <c r="BL129" s="741">
        <v>31</v>
      </c>
      <c r="BM129" s="741"/>
      <c r="BN129" s="738" t="s">
        <v>251</v>
      </c>
      <c r="BO129" s="760"/>
      <c r="BP129" s="771" t="s">
        <v>353</v>
      </c>
      <c r="BQ129" s="772"/>
    </row>
    <row r="130" spans="2:69" ht="24.95" customHeight="1">
      <c r="B130" s="744"/>
      <c r="C130" s="747"/>
      <c r="D130" s="752" t="str">
        <f>D2</f>
        <v>土</v>
      </c>
      <c r="E130" s="740"/>
      <c r="F130" s="739" t="str">
        <f>F2</f>
        <v>日</v>
      </c>
      <c r="G130" s="740"/>
      <c r="H130" s="739" t="str">
        <f>H2</f>
        <v>月</v>
      </c>
      <c r="I130" s="740"/>
      <c r="J130" s="739" t="str">
        <f>J2</f>
        <v>火</v>
      </c>
      <c r="K130" s="740"/>
      <c r="L130" s="739" t="str">
        <f>L2</f>
        <v>水</v>
      </c>
      <c r="M130" s="740"/>
      <c r="N130" s="739" t="str">
        <f>N2</f>
        <v>木</v>
      </c>
      <c r="O130" s="740"/>
      <c r="P130" s="739" t="str">
        <f>P2</f>
        <v>金</v>
      </c>
      <c r="Q130" s="740"/>
      <c r="R130" s="739" t="str">
        <f>R2</f>
        <v>土</v>
      </c>
      <c r="S130" s="740"/>
      <c r="T130" s="739" t="str">
        <f>T2</f>
        <v>日</v>
      </c>
      <c r="U130" s="740"/>
      <c r="V130" s="739" t="str">
        <f>V2</f>
        <v>月</v>
      </c>
      <c r="W130" s="740"/>
      <c r="X130" s="739" t="str">
        <f>X2</f>
        <v>火</v>
      </c>
      <c r="Y130" s="740"/>
      <c r="Z130" s="739" t="str">
        <f>Z2</f>
        <v>水</v>
      </c>
      <c r="AA130" s="740"/>
      <c r="AB130" s="739" t="str">
        <f>AB2</f>
        <v>木</v>
      </c>
      <c r="AC130" s="740"/>
      <c r="AD130" s="739" t="str">
        <f>AD2</f>
        <v>金</v>
      </c>
      <c r="AE130" s="740"/>
      <c r="AF130" s="739" t="str">
        <f>AF2</f>
        <v>土</v>
      </c>
      <c r="AG130" s="740"/>
      <c r="AH130" s="786" t="str">
        <f>AH2</f>
        <v>日</v>
      </c>
      <c r="AI130" s="767"/>
      <c r="AJ130" s="770" t="str">
        <f>AJ2</f>
        <v>月</v>
      </c>
      <c r="AK130" s="770"/>
      <c r="AL130" s="770" t="str">
        <f>AL2</f>
        <v>火</v>
      </c>
      <c r="AM130" s="770"/>
      <c r="AN130" s="770" t="str">
        <f>AN2</f>
        <v>水</v>
      </c>
      <c r="AO130" s="770"/>
      <c r="AP130" s="770" t="str">
        <f>AP2</f>
        <v>木</v>
      </c>
      <c r="AQ130" s="770"/>
      <c r="AR130" s="770" t="str">
        <f>AR2</f>
        <v>金</v>
      </c>
      <c r="AS130" s="770"/>
      <c r="AT130" s="770" t="str">
        <f>AT2</f>
        <v>土</v>
      </c>
      <c r="AU130" s="770"/>
      <c r="AV130" s="770" t="str">
        <f>AV2</f>
        <v>日</v>
      </c>
      <c r="AW130" s="770"/>
      <c r="AX130" s="770" t="str">
        <f>AX2</f>
        <v>月</v>
      </c>
      <c r="AY130" s="770"/>
      <c r="AZ130" s="770" t="str">
        <f>AZ2</f>
        <v>火</v>
      </c>
      <c r="BA130" s="770"/>
      <c r="BB130" s="770" t="str">
        <f>BB2</f>
        <v>水</v>
      </c>
      <c r="BC130" s="770"/>
      <c r="BD130" s="770" t="str">
        <f>BD2</f>
        <v>木</v>
      </c>
      <c r="BE130" s="770"/>
      <c r="BF130" s="770" t="str">
        <f>BF2</f>
        <v>金</v>
      </c>
      <c r="BG130" s="770"/>
      <c r="BH130" s="770" t="str">
        <f>BH2</f>
        <v>土</v>
      </c>
      <c r="BI130" s="770"/>
      <c r="BJ130" s="770" t="str">
        <f>BJ2</f>
        <v>日</v>
      </c>
      <c r="BK130" s="770"/>
      <c r="BL130" s="770" t="str">
        <f>BL2</f>
        <v>月</v>
      </c>
      <c r="BM130" s="770"/>
      <c r="BN130" s="761"/>
      <c r="BO130" s="762"/>
      <c r="BP130" s="773"/>
      <c r="BQ130" s="774"/>
    </row>
    <row r="131" spans="2:69" ht="24.95" customHeight="1" thickBot="1">
      <c r="B131" s="748"/>
      <c r="C131" s="750"/>
      <c r="D131" s="92" t="s">
        <v>72</v>
      </c>
      <c r="E131" s="93" t="s">
        <v>73</v>
      </c>
      <c r="F131" s="97" t="s">
        <v>72</v>
      </c>
      <c r="G131" s="93" t="s">
        <v>73</v>
      </c>
      <c r="H131" s="97" t="s">
        <v>72</v>
      </c>
      <c r="I131" s="93" t="s">
        <v>73</v>
      </c>
      <c r="J131" s="92" t="s">
        <v>72</v>
      </c>
      <c r="K131" s="93" t="s">
        <v>73</v>
      </c>
      <c r="L131" s="92" t="s">
        <v>72</v>
      </c>
      <c r="M131" s="93" t="s">
        <v>73</v>
      </c>
      <c r="N131" s="92" t="s">
        <v>72</v>
      </c>
      <c r="O131" s="93" t="s">
        <v>73</v>
      </c>
      <c r="P131" s="92" t="s">
        <v>72</v>
      </c>
      <c r="Q131" s="93" t="s">
        <v>73</v>
      </c>
      <c r="R131" s="92" t="s">
        <v>72</v>
      </c>
      <c r="S131" s="93" t="s">
        <v>73</v>
      </c>
      <c r="T131" s="92" t="s">
        <v>72</v>
      </c>
      <c r="U131" s="93" t="s">
        <v>73</v>
      </c>
      <c r="V131" s="92" t="s">
        <v>72</v>
      </c>
      <c r="W131" s="93" t="s">
        <v>73</v>
      </c>
      <c r="X131" s="92" t="s">
        <v>72</v>
      </c>
      <c r="Y131" s="93" t="s">
        <v>73</v>
      </c>
      <c r="Z131" s="92" t="s">
        <v>72</v>
      </c>
      <c r="AA131" s="94" t="s">
        <v>73</v>
      </c>
      <c r="AB131" s="159" t="s">
        <v>72</v>
      </c>
      <c r="AC131" s="94" t="s">
        <v>73</v>
      </c>
      <c r="AD131" s="159" t="s">
        <v>72</v>
      </c>
      <c r="AE131" s="94" t="s">
        <v>73</v>
      </c>
      <c r="AF131" s="159" t="s">
        <v>72</v>
      </c>
      <c r="AG131" s="94" t="s">
        <v>73</v>
      </c>
      <c r="AH131" s="92" t="s">
        <v>72</v>
      </c>
      <c r="AI131" s="93" t="s">
        <v>73</v>
      </c>
      <c r="AJ131" s="97" t="s">
        <v>72</v>
      </c>
      <c r="AK131" s="93" t="s">
        <v>73</v>
      </c>
      <c r="AL131" s="97" t="s">
        <v>72</v>
      </c>
      <c r="AM131" s="93" t="s">
        <v>73</v>
      </c>
      <c r="AN131" s="92" t="s">
        <v>72</v>
      </c>
      <c r="AO131" s="93" t="s">
        <v>73</v>
      </c>
      <c r="AP131" s="92" t="s">
        <v>72</v>
      </c>
      <c r="AQ131" s="93" t="s">
        <v>73</v>
      </c>
      <c r="AR131" s="92" t="s">
        <v>72</v>
      </c>
      <c r="AS131" s="93" t="s">
        <v>73</v>
      </c>
      <c r="AT131" s="92" t="s">
        <v>72</v>
      </c>
      <c r="AU131" s="93" t="s">
        <v>73</v>
      </c>
      <c r="AV131" s="92" t="s">
        <v>72</v>
      </c>
      <c r="AW131" s="93" t="s">
        <v>73</v>
      </c>
      <c r="AX131" s="92" t="s">
        <v>72</v>
      </c>
      <c r="AY131" s="93" t="s">
        <v>73</v>
      </c>
      <c r="AZ131" s="92" t="s">
        <v>72</v>
      </c>
      <c r="BA131" s="93" t="s">
        <v>73</v>
      </c>
      <c r="BB131" s="92" t="s">
        <v>72</v>
      </c>
      <c r="BC131" s="93" t="s">
        <v>73</v>
      </c>
      <c r="BD131" s="92" t="s">
        <v>72</v>
      </c>
      <c r="BE131" s="94" t="s">
        <v>73</v>
      </c>
      <c r="BF131" s="159" t="s">
        <v>72</v>
      </c>
      <c r="BG131" s="94" t="s">
        <v>73</v>
      </c>
      <c r="BH131" s="159" t="s">
        <v>72</v>
      </c>
      <c r="BI131" s="94" t="s">
        <v>73</v>
      </c>
      <c r="BJ131" s="159" t="s">
        <v>72</v>
      </c>
      <c r="BK131" s="94" t="s">
        <v>73</v>
      </c>
      <c r="BL131" s="159" t="s">
        <v>72</v>
      </c>
      <c r="BM131" s="94" t="s">
        <v>73</v>
      </c>
      <c r="BN131" s="95" t="s">
        <v>72</v>
      </c>
      <c r="BO131" s="96" t="s">
        <v>73</v>
      </c>
      <c r="BP131" s="236" t="s">
        <v>252</v>
      </c>
      <c r="BQ131" s="237" t="s">
        <v>254</v>
      </c>
    </row>
    <row r="132" spans="2:69" ht="49.5" customHeight="1" thickTop="1">
      <c r="B132" s="701" t="str">
        <f>'1月'!$B$138</f>
        <v>古谷　裕美</v>
      </c>
      <c r="C132" s="153"/>
      <c r="E132" s="86"/>
      <c r="G132" s="86"/>
      <c r="I132" s="86"/>
      <c r="K132" s="86"/>
      <c r="M132" s="86"/>
      <c r="O132" s="86"/>
      <c r="Q132" s="86"/>
      <c r="S132" s="86"/>
      <c r="U132" s="86"/>
      <c r="W132" s="86"/>
      <c r="Y132" s="86"/>
      <c r="AA132" s="87"/>
      <c r="AC132" s="87"/>
      <c r="AE132" s="87"/>
      <c r="AG132" s="87"/>
      <c r="AI132" s="86"/>
      <c r="AK132" s="86"/>
      <c r="AL132" s="7"/>
      <c r="AM132" s="86"/>
      <c r="AN132" s="7"/>
      <c r="AO132" s="86"/>
      <c r="AP132" s="7"/>
      <c r="AQ132" s="86"/>
      <c r="AR132" s="7"/>
      <c r="AS132" s="86"/>
      <c r="AT132" s="7"/>
      <c r="AU132" s="86"/>
      <c r="AV132" s="7"/>
      <c r="AW132" s="86"/>
      <c r="AX132" s="7"/>
      <c r="AY132" s="86"/>
      <c r="AZ132" s="7"/>
      <c r="BA132" s="86"/>
      <c r="BB132" s="7"/>
      <c r="BC132" s="86"/>
      <c r="BD132" s="7"/>
      <c r="BE132" s="87"/>
      <c r="BF132" s="7"/>
      <c r="BG132" s="87"/>
      <c r="BH132" s="7"/>
      <c r="BI132" s="87"/>
      <c r="BJ132" s="322"/>
      <c r="BK132" s="87"/>
      <c r="BL132" s="704"/>
      <c r="BM132" s="197"/>
      <c r="BN132" s="629">
        <f>SUM(D132,F132,H132,J132,L132,N132,P132,R132,T132,V132,X132,Z132,AB132,AD132,AF132,AH132,AJ132,AL132,AN132,AP132,AR132,AT132,AV132,AX132,AZ132,BB132,BD132,BF132,BH132,BJ132,BL132)</f>
        <v>0</v>
      </c>
      <c r="BO132" s="630">
        <f>SUM(E132,G132,I132,K132,M132,O132,Q132,S132,U132,W132,Y132,AA132,AC132,AE132,AG132,AI132,AK132,AM132,AO132,AQ132,AS132,AU132,AW132,AY132,BA132,BC132,BE132,BG132,BI132,BK132,BM132)</f>
        <v>0</v>
      </c>
      <c r="BP132" s="631">
        <f>INDEX('1月'!$B$4:$BQ$375,MATCH('2月'!B132,'1月'!$B$4:$B$375,0),67)+BN132</f>
        <v>0</v>
      </c>
      <c r="BQ132" s="702">
        <f>INDEX('1月'!$B$4:$BQ$375,MATCH('2月'!B132,'1月'!$B$4:$B$375,0),68)+BO132</f>
        <v>0</v>
      </c>
    </row>
    <row r="133" spans="2:69" s="6" customFormat="1" ht="50.1" customHeight="1">
      <c r="B133" s="565" t="str">
        <f>'1月'!$B$132</f>
        <v>工藤　虹都</v>
      </c>
      <c r="C133" s="703"/>
      <c r="D133" s="555"/>
      <c r="E133" s="556"/>
      <c r="F133" s="555"/>
      <c r="G133" s="556"/>
      <c r="H133" s="555"/>
      <c r="I133" s="556"/>
      <c r="J133" s="555"/>
      <c r="K133" s="556"/>
      <c r="L133" s="555"/>
      <c r="M133" s="556"/>
      <c r="N133" s="555"/>
      <c r="O133" s="556"/>
      <c r="P133" s="555"/>
      <c r="Q133" s="556"/>
      <c r="R133" s="555"/>
      <c r="S133" s="556"/>
      <c r="T133" s="555"/>
      <c r="U133" s="556"/>
      <c r="V133" s="555"/>
      <c r="W133" s="556"/>
      <c r="X133" s="555"/>
      <c r="Y133" s="556"/>
      <c r="Z133" s="555"/>
      <c r="AA133" s="556"/>
      <c r="AB133" s="555"/>
      <c r="AC133" s="556"/>
      <c r="AD133" s="555"/>
      <c r="AE133" s="556"/>
      <c r="AF133" s="555"/>
      <c r="AG133" s="557"/>
      <c r="AH133" s="555"/>
      <c r="AI133" s="556"/>
      <c r="AJ133" s="555"/>
      <c r="AK133" s="556"/>
      <c r="AL133" s="555"/>
      <c r="AM133" s="556"/>
      <c r="AN133" s="555"/>
      <c r="AO133" s="556"/>
      <c r="AP133" s="555"/>
      <c r="AQ133" s="556"/>
      <c r="AR133" s="555"/>
      <c r="AS133" s="556"/>
      <c r="AT133" s="555"/>
      <c r="AU133" s="556"/>
      <c r="AV133" s="555"/>
      <c r="AW133" s="556"/>
      <c r="AX133" s="555"/>
      <c r="AY133" s="556"/>
      <c r="AZ133" s="555"/>
      <c r="BA133" s="556"/>
      <c r="BB133" s="555"/>
      <c r="BC133" s="556"/>
      <c r="BD133" s="555"/>
      <c r="BE133" s="556"/>
      <c r="BF133" s="555"/>
      <c r="BG133" s="556"/>
      <c r="BH133" s="555"/>
      <c r="BI133" s="556"/>
      <c r="BJ133" s="546"/>
      <c r="BK133" s="557"/>
      <c r="BL133" s="546"/>
      <c r="BM133" s="556"/>
      <c r="BN133" s="561"/>
      <c r="BO133" s="559"/>
      <c r="BP133" s="631">
        <f>INDEX('1月'!$B$4:$BQ$375,MATCH('2月'!B133,'1月'!$B$4:$B$375,0),67)+BN133</f>
        <v>0</v>
      </c>
      <c r="BQ133" s="702">
        <f>INDEX('1月'!$B$4:$BQ$375,MATCH('2月'!B133,'1月'!$B$4:$B$375,0),68)+BO133</f>
        <v>0</v>
      </c>
    </row>
    <row r="134" spans="2:69" s="6" customFormat="1" ht="50.1" customHeight="1">
      <c r="B134" s="201" t="str">
        <f>'1月'!$B$139</f>
        <v>松橋　明日香</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15"/>
      <c r="AH134" s="18"/>
      <c r="AI134" s="14"/>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37"/>
      <c r="BK134" s="15"/>
      <c r="BL134" s="78"/>
      <c r="BM134" s="51"/>
      <c r="BN134" s="102">
        <f t="shared" ref="BN134:BO140" si="25">SUM(D134,F134,H134,J134,L134,N134,P134,R134,T134,V134,X134,Z134,AB134,AD134,AF134,AH134,AJ134,AL134,AN134,AP134,AR134,AT134,AV134,AX134,AZ134,BB134,BD134,BF134,BH134,BJ134,BL134)</f>
        <v>0</v>
      </c>
      <c r="BO134" s="47">
        <f t="shared" si="25"/>
        <v>0</v>
      </c>
      <c r="BP134" s="631">
        <f>INDEX('1月'!$B$4:$BQ$375,MATCH('2月'!B134,'1月'!$B$4:$B$375,0),67)+BN134</f>
        <v>0</v>
      </c>
      <c r="BQ134" s="702">
        <f>INDEX('1月'!$B$4:$BQ$375,MATCH('2月'!B134,'1月'!$B$4:$B$375,0),68)+BO134</f>
        <v>0</v>
      </c>
    </row>
    <row r="135" spans="2:69" s="6" customFormat="1" ht="50.1" customHeight="1">
      <c r="B135" s="201" t="str">
        <f>'1月'!$B$135</f>
        <v>川井　博和</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21"/>
      <c r="AH135" s="50"/>
      <c r="AI135" s="20"/>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38"/>
      <c r="BK135" s="21"/>
      <c r="BL135" s="38"/>
      <c r="BM135" s="20"/>
      <c r="BN135" s="102">
        <f t="shared" si="25"/>
        <v>0</v>
      </c>
      <c r="BO135" s="47">
        <f t="shared" si="25"/>
        <v>0</v>
      </c>
      <c r="BP135" s="631">
        <f>INDEX('1月'!$B$4:$BQ$375,MATCH('2月'!B135,'1月'!$B$4:$B$375,0),67)+BN135</f>
        <v>0</v>
      </c>
      <c r="BQ135" s="702">
        <f>INDEX('1月'!$B$4:$BQ$375,MATCH('2月'!B135,'1月'!$B$4:$B$375,0),68)+BO135</f>
        <v>0</v>
      </c>
    </row>
    <row r="136" spans="2:69" s="6" customFormat="1" ht="50.1" customHeight="1">
      <c r="B136" s="201" t="str">
        <f>'1月'!$B$133</f>
        <v>大久保　理恵</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15"/>
      <c r="AH136" s="18"/>
      <c r="AI136" s="14"/>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37"/>
      <c r="BK136" s="15"/>
      <c r="BL136" s="37"/>
      <c r="BM136" s="14"/>
      <c r="BN136" s="102">
        <f t="shared" si="25"/>
        <v>0</v>
      </c>
      <c r="BO136" s="47">
        <f t="shared" si="25"/>
        <v>0</v>
      </c>
      <c r="BP136" s="631">
        <f>INDEX('1月'!$B$4:$BQ$375,MATCH('2月'!B136,'1月'!$B$4:$B$375,0),67)+BN136</f>
        <v>0</v>
      </c>
      <c r="BQ136" s="702">
        <f>INDEX('1月'!$B$4:$BQ$375,MATCH('2月'!B136,'1月'!$B$4:$B$375,0),68)+BO136</f>
        <v>0</v>
      </c>
    </row>
    <row r="137" spans="2:69" s="6" customFormat="1" ht="50.1" customHeight="1">
      <c r="B137" s="201" t="str">
        <f>'1月'!$B$134</f>
        <v>大坂　真知子</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37"/>
      <c r="BK137" s="15"/>
      <c r="BL137" s="16"/>
      <c r="BM137" s="14"/>
      <c r="BN137" s="102">
        <f t="shared" si="25"/>
        <v>0</v>
      </c>
      <c r="BO137" s="47">
        <f t="shared" si="25"/>
        <v>0</v>
      </c>
      <c r="BP137" s="631">
        <f>INDEX('1月'!$B$4:$BQ$375,MATCH('2月'!B137,'1月'!$B$4:$B$375,0),67)+BN137</f>
        <v>0</v>
      </c>
      <c r="BQ137" s="702">
        <f>INDEX('1月'!$B$4:$BQ$375,MATCH('2月'!B137,'1月'!$B$4:$B$375,0),68)+BO137</f>
        <v>0</v>
      </c>
    </row>
    <row r="138" spans="2:69" s="6" customFormat="1" ht="50.1" customHeight="1">
      <c r="B138" s="202" t="str">
        <f>'1月'!$B$136</f>
        <v>中村　盛宥</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37"/>
      <c r="BK138" s="15"/>
      <c r="BL138" s="37"/>
      <c r="BM138" s="14"/>
      <c r="BN138" s="102">
        <f t="shared" si="25"/>
        <v>0</v>
      </c>
      <c r="BO138" s="47">
        <f t="shared" si="25"/>
        <v>0</v>
      </c>
      <c r="BP138" s="631">
        <f>INDEX('1月'!$B$4:$BQ$375,MATCH('2月'!B138,'1月'!$B$4:$B$375,0),67)+BN138</f>
        <v>0</v>
      </c>
      <c r="BQ138" s="702">
        <f>INDEX('1月'!$B$4:$BQ$375,MATCH('2月'!B138,'1月'!$B$4:$B$375,0),68)+BO138</f>
        <v>0</v>
      </c>
    </row>
    <row r="139" spans="2:69" s="6" customFormat="1" ht="50.1" customHeight="1">
      <c r="B139" s="202" t="str">
        <f>'1月'!$B$140</f>
        <v>八木田　那幸</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37"/>
      <c r="BK139" s="15"/>
      <c r="BL139" s="78"/>
      <c r="BM139" s="51"/>
      <c r="BN139" s="102">
        <f t="shared" si="25"/>
        <v>0</v>
      </c>
      <c r="BO139" s="47">
        <f t="shared" si="25"/>
        <v>0</v>
      </c>
      <c r="BP139" s="631">
        <f>INDEX('1月'!$B$4:$BQ$375,MATCH('2月'!B139,'1月'!$B$4:$B$375,0),67)+BN139</f>
        <v>0</v>
      </c>
      <c r="BQ139" s="702">
        <f>INDEX('1月'!$B$4:$BQ$375,MATCH('2月'!B139,'1月'!$B$4:$B$375,0),68)+BO139</f>
        <v>0</v>
      </c>
    </row>
    <row r="140" spans="2:69" s="6" customFormat="1" ht="50.1" customHeight="1">
      <c r="B140" s="201" t="str">
        <f>'1月'!$B$137</f>
        <v>平野　元基</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37"/>
      <c r="BK140" s="15"/>
      <c r="BL140" s="78"/>
      <c r="BM140" s="51"/>
      <c r="BN140" s="102">
        <f t="shared" si="25"/>
        <v>0</v>
      </c>
      <c r="BO140" s="47">
        <f t="shared" si="25"/>
        <v>0</v>
      </c>
      <c r="BP140" s="631">
        <f>INDEX('1月'!$B$4:$BQ$375,MATCH('2月'!B140,'1月'!$B$4:$B$375,0),67)+BN140</f>
        <v>0</v>
      </c>
      <c r="BQ140" s="702">
        <f>INDEX('1月'!$B$4:$BQ$375,MATCH('2月'!B140,'1月'!$B$4:$B$375,0),68)+BO140</f>
        <v>0</v>
      </c>
    </row>
    <row r="141" spans="2:69" s="6" customFormat="1" ht="15.95" customHeight="1" thickBot="1">
      <c r="B141" s="201"/>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37"/>
      <c r="BK141" s="15"/>
      <c r="BL141" s="37"/>
      <c r="BM141" s="14"/>
      <c r="BN141" s="102">
        <f>SUM(D141,F141,H141,J141,L141,N141,P141,R141,T141,V141,X141,Z141,AB141,AD141,AF141,AH141,AJ141,AL141,AN141,AP141,AR141,AT141,AV141,AX141,AZ141,BB141,BD141,BF141,BH141,BJ141,BL141)</f>
        <v>0</v>
      </c>
      <c r="BO141" s="47">
        <f>SUM(E141,G141,I141,K141,M141,O141,Q141,S141,U141,W141,Y141,AA141,AC141,AE141,AG141,AI141,AK141,AM141,AO141,AQ141,AS141,AU141,AW141,AY141,BA141,BC141,BE141,BG141,BI141,BK141,BM141)</f>
        <v>0</v>
      </c>
      <c r="BP141" s="631"/>
      <c r="BQ141" s="559"/>
    </row>
    <row r="142" spans="2:69" s="6" customFormat="1" ht="45" customHeight="1" thickBot="1">
      <c r="B142" s="119" t="s">
        <v>101</v>
      </c>
      <c r="C142" s="149"/>
      <c r="D142" s="29">
        <f t="shared" ref="D142:BK142" si="26">SUM(D133:D141)</f>
        <v>0</v>
      </c>
      <c r="E142" s="31">
        <f t="shared" si="26"/>
        <v>0</v>
      </c>
      <c r="F142" s="29">
        <f t="shared" si="26"/>
        <v>0</v>
      </c>
      <c r="G142" s="31">
        <f t="shared" si="26"/>
        <v>0</v>
      </c>
      <c r="H142" s="29">
        <f t="shared" si="26"/>
        <v>0</v>
      </c>
      <c r="I142" s="31">
        <f t="shared" si="26"/>
        <v>0</v>
      </c>
      <c r="J142" s="29">
        <f t="shared" si="26"/>
        <v>0</v>
      </c>
      <c r="K142" s="31">
        <f t="shared" si="26"/>
        <v>0</v>
      </c>
      <c r="L142" s="29">
        <f t="shared" si="26"/>
        <v>0</v>
      </c>
      <c r="M142" s="31">
        <f t="shared" si="26"/>
        <v>0</v>
      </c>
      <c r="N142" s="29">
        <f t="shared" si="26"/>
        <v>0</v>
      </c>
      <c r="O142" s="31">
        <f t="shared" si="26"/>
        <v>0</v>
      </c>
      <c r="P142" s="29">
        <f t="shared" si="26"/>
        <v>0</v>
      </c>
      <c r="Q142" s="31">
        <f t="shared" si="26"/>
        <v>0</v>
      </c>
      <c r="R142" s="29">
        <f t="shared" si="26"/>
        <v>0</v>
      </c>
      <c r="S142" s="31">
        <f t="shared" si="26"/>
        <v>0</v>
      </c>
      <c r="T142" s="29">
        <f t="shared" si="26"/>
        <v>0</v>
      </c>
      <c r="U142" s="31">
        <f t="shared" si="26"/>
        <v>0</v>
      </c>
      <c r="V142" s="29">
        <f t="shared" si="26"/>
        <v>0</v>
      </c>
      <c r="W142" s="31">
        <f t="shared" si="26"/>
        <v>0</v>
      </c>
      <c r="X142" s="29">
        <f t="shared" si="26"/>
        <v>0</v>
      </c>
      <c r="Y142" s="31">
        <f t="shared" si="26"/>
        <v>0</v>
      </c>
      <c r="Z142" s="29">
        <f t="shared" si="26"/>
        <v>0</v>
      </c>
      <c r="AA142" s="31">
        <f t="shared" si="26"/>
        <v>0</v>
      </c>
      <c r="AB142" s="29">
        <f t="shared" si="26"/>
        <v>0</v>
      </c>
      <c r="AC142" s="31">
        <f t="shared" si="26"/>
        <v>0</v>
      </c>
      <c r="AD142" s="29">
        <f t="shared" si="26"/>
        <v>0</v>
      </c>
      <c r="AE142" s="31">
        <f t="shared" si="26"/>
        <v>0</v>
      </c>
      <c r="AF142" s="29">
        <f t="shared" si="26"/>
        <v>0</v>
      </c>
      <c r="AG142" s="40">
        <f t="shared" si="26"/>
        <v>0</v>
      </c>
      <c r="AH142" s="29">
        <f t="shared" si="26"/>
        <v>0</v>
      </c>
      <c r="AI142" s="31">
        <f t="shared" si="26"/>
        <v>0</v>
      </c>
      <c r="AJ142" s="29">
        <f t="shared" si="26"/>
        <v>0</v>
      </c>
      <c r="AK142" s="31">
        <f t="shared" si="26"/>
        <v>0</v>
      </c>
      <c r="AL142" s="29">
        <f t="shared" si="26"/>
        <v>0</v>
      </c>
      <c r="AM142" s="31">
        <f t="shared" si="26"/>
        <v>0</v>
      </c>
      <c r="AN142" s="29">
        <f t="shared" si="26"/>
        <v>0</v>
      </c>
      <c r="AO142" s="31">
        <f t="shared" si="26"/>
        <v>0</v>
      </c>
      <c r="AP142" s="29">
        <f t="shared" si="26"/>
        <v>0</v>
      </c>
      <c r="AQ142" s="31">
        <f t="shared" si="26"/>
        <v>0</v>
      </c>
      <c r="AR142" s="29">
        <f t="shared" si="26"/>
        <v>0</v>
      </c>
      <c r="AS142" s="31">
        <f t="shared" si="26"/>
        <v>0</v>
      </c>
      <c r="AT142" s="29">
        <f>SUM(AT133:AT141)</f>
        <v>0</v>
      </c>
      <c r="AU142" s="31">
        <f t="shared" si="26"/>
        <v>0</v>
      </c>
      <c r="AV142" s="29">
        <f t="shared" si="26"/>
        <v>0</v>
      </c>
      <c r="AW142" s="31">
        <f t="shared" si="26"/>
        <v>0</v>
      </c>
      <c r="AX142" s="29">
        <f t="shared" si="26"/>
        <v>0</v>
      </c>
      <c r="AY142" s="31">
        <f t="shared" si="26"/>
        <v>0</v>
      </c>
      <c r="AZ142" s="29">
        <f t="shared" si="26"/>
        <v>0</v>
      </c>
      <c r="BA142" s="31">
        <f t="shared" si="26"/>
        <v>0</v>
      </c>
      <c r="BB142" s="29">
        <f t="shared" si="26"/>
        <v>0</v>
      </c>
      <c r="BC142" s="31">
        <f t="shared" si="26"/>
        <v>0</v>
      </c>
      <c r="BD142" s="29">
        <f t="shared" si="26"/>
        <v>0</v>
      </c>
      <c r="BE142" s="31">
        <f t="shared" si="26"/>
        <v>0</v>
      </c>
      <c r="BF142" s="29">
        <f t="shared" si="26"/>
        <v>0</v>
      </c>
      <c r="BG142" s="31">
        <f t="shared" si="26"/>
        <v>0</v>
      </c>
      <c r="BH142" s="29">
        <f t="shared" si="26"/>
        <v>0</v>
      </c>
      <c r="BI142" s="31">
        <f t="shared" si="26"/>
        <v>0</v>
      </c>
      <c r="BJ142" s="39">
        <f t="shared" si="26"/>
        <v>0</v>
      </c>
      <c r="BK142" s="41">
        <f t="shared" si="26"/>
        <v>0</v>
      </c>
      <c r="BL142" s="39">
        <f t="shared" ref="BL142:BQ142" si="27">SUM(BL133:BL141)</f>
        <v>0</v>
      </c>
      <c r="BM142" s="31">
        <f t="shared" si="27"/>
        <v>0</v>
      </c>
      <c r="BN142" s="32">
        <f t="shared" si="27"/>
        <v>0</v>
      </c>
      <c r="BO142" s="40">
        <f t="shared" si="27"/>
        <v>0</v>
      </c>
      <c r="BP142" s="245">
        <f t="shared" si="27"/>
        <v>0</v>
      </c>
      <c r="BQ142" s="240">
        <f t="shared" si="27"/>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43" t="s">
        <v>87</v>
      </c>
      <c r="C145" s="749">
        <f>COUNTIF(B148:B159,"*")</f>
        <v>12</v>
      </c>
      <c r="D145" s="751">
        <v>1</v>
      </c>
      <c r="E145" s="738"/>
      <c r="F145" s="737">
        <v>2</v>
      </c>
      <c r="G145" s="738"/>
      <c r="H145" s="737">
        <v>3</v>
      </c>
      <c r="I145" s="738"/>
      <c r="J145" s="737">
        <v>4</v>
      </c>
      <c r="K145" s="738"/>
      <c r="L145" s="737">
        <v>5</v>
      </c>
      <c r="M145" s="738"/>
      <c r="N145" s="737">
        <v>6</v>
      </c>
      <c r="O145" s="738"/>
      <c r="P145" s="737">
        <v>7</v>
      </c>
      <c r="Q145" s="738"/>
      <c r="R145" s="737">
        <v>8</v>
      </c>
      <c r="S145" s="738"/>
      <c r="T145" s="737">
        <v>9</v>
      </c>
      <c r="U145" s="738"/>
      <c r="V145" s="737">
        <v>10</v>
      </c>
      <c r="W145" s="738"/>
      <c r="X145" s="737">
        <v>11</v>
      </c>
      <c r="Y145" s="738"/>
      <c r="Z145" s="737">
        <v>12</v>
      </c>
      <c r="AA145" s="738"/>
      <c r="AB145" s="737">
        <v>13</v>
      </c>
      <c r="AC145" s="738"/>
      <c r="AD145" s="737">
        <v>14</v>
      </c>
      <c r="AE145" s="738"/>
      <c r="AF145" s="737">
        <v>15</v>
      </c>
      <c r="AG145" s="784"/>
      <c r="AH145" s="741">
        <v>16</v>
      </c>
      <c r="AI145" s="741"/>
      <c r="AJ145" s="741">
        <v>17</v>
      </c>
      <c r="AK145" s="741"/>
      <c r="AL145" s="741">
        <v>18</v>
      </c>
      <c r="AM145" s="741"/>
      <c r="AN145" s="741">
        <v>19</v>
      </c>
      <c r="AO145" s="741"/>
      <c r="AP145" s="741">
        <v>20</v>
      </c>
      <c r="AQ145" s="741"/>
      <c r="AR145" s="741">
        <v>21</v>
      </c>
      <c r="AS145" s="741"/>
      <c r="AT145" s="741">
        <v>22</v>
      </c>
      <c r="AU145" s="741"/>
      <c r="AV145" s="741">
        <v>23</v>
      </c>
      <c r="AW145" s="741"/>
      <c r="AX145" s="741">
        <v>24</v>
      </c>
      <c r="AY145" s="741"/>
      <c r="AZ145" s="741">
        <v>25</v>
      </c>
      <c r="BA145" s="741"/>
      <c r="BB145" s="741">
        <v>26</v>
      </c>
      <c r="BC145" s="741"/>
      <c r="BD145" s="741">
        <v>27</v>
      </c>
      <c r="BE145" s="741"/>
      <c r="BF145" s="741">
        <v>28</v>
      </c>
      <c r="BG145" s="741"/>
      <c r="BH145" s="741">
        <v>29</v>
      </c>
      <c r="BI145" s="741"/>
      <c r="BJ145" s="741">
        <v>30</v>
      </c>
      <c r="BK145" s="741"/>
      <c r="BL145" s="741">
        <v>31</v>
      </c>
      <c r="BM145" s="741"/>
      <c r="BN145" s="738" t="s">
        <v>251</v>
      </c>
      <c r="BO145" s="760"/>
      <c r="BP145" s="771" t="s">
        <v>353</v>
      </c>
      <c r="BQ145" s="772"/>
    </row>
    <row r="146" spans="2:69" ht="24.95" customHeight="1">
      <c r="B146" s="744"/>
      <c r="C146" s="747"/>
      <c r="D146" s="752" t="str">
        <f>D2</f>
        <v>土</v>
      </c>
      <c r="E146" s="740"/>
      <c r="F146" s="739" t="str">
        <f>F2</f>
        <v>日</v>
      </c>
      <c r="G146" s="740"/>
      <c r="H146" s="739" t="str">
        <f>H2</f>
        <v>月</v>
      </c>
      <c r="I146" s="740"/>
      <c r="J146" s="739" t="str">
        <f>J2</f>
        <v>火</v>
      </c>
      <c r="K146" s="740"/>
      <c r="L146" s="739" t="str">
        <f>L2</f>
        <v>水</v>
      </c>
      <c r="M146" s="740"/>
      <c r="N146" s="739" t="str">
        <f>N2</f>
        <v>木</v>
      </c>
      <c r="O146" s="740"/>
      <c r="P146" s="739" t="str">
        <f>P2</f>
        <v>金</v>
      </c>
      <c r="Q146" s="740"/>
      <c r="R146" s="739" t="str">
        <f>R2</f>
        <v>土</v>
      </c>
      <c r="S146" s="740"/>
      <c r="T146" s="739" t="str">
        <f>T2</f>
        <v>日</v>
      </c>
      <c r="U146" s="740"/>
      <c r="V146" s="739" t="str">
        <f>V2</f>
        <v>月</v>
      </c>
      <c r="W146" s="740"/>
      <c r="X146" s="739" t="str">
        <f>X2</f>
        <v>火</v>
      </c>
      <c r="Y146" s="740"/>
      <c r="Z146" s="739" t="str">
        <f>Z2</f>
        <v>水</v>
      </c>
      <c r="AA146" s="740"/>
      <c r="AB146" s="739" t="str">
        <f>AB2</f>
        <v>木</v>
      </c>
      <c r="AC146" s="740"/>
      <c r="AD146" s="739" t="str">
        <f>AD2</f>
        <v>金</v>
      </c>
      <c r="AE146" s="740"/>
      <c r="AF146" s="739" t="str">
        <f>AF2</f>
        <v>土</v>
      </c>
      <c r="AG146" s="740"/>
      <c r="AH146" s="786" t="str">
        <f>AH2</f>
        <v>日</v>
      </c>
      <c r="AI146" s="767"/>
      <c r="AJ146" s="770" t="str">
        <f>AJ2</f>
        <v>月</v>
      </c>
      <c r="AK146" s="770"/>
      <c r="AL146" s="770" t="str">
        <f>AL2</f>
        <v>火</v>
      </c>
      <c r="AM146" s="770"/>
      <c r="AN146" s="770" t="str">
        <f>AN2</f>
        <v>水</v>
      </c>
      <c r="AO146" s="770"/>
      <c r="AP146" s="770" t="str">
        <f>AP2</f>
        <v>木</v>
      </c>
      <c r="AQ146" s="770"/>
      <c r="AR146" s="770" t="str">
        <f>AR2</f>
        <v>金</v>
      </c>
      <c r="AS146" s="770"/>
      <c r="AT146" s="770" t="str">
        <f>AT2</f>
        <v>土</v>
      </c>
      <c r="AU146" s="770"/>
      <c r="AV146" s="770" t="str">
        <f>AV2</f>
        <v>日</v>
      </c>
      <c r="AW146" s="770"/>
      <c r="AX146" s="770" t="str">
        <f>AX2</f>
        <v>月</v>
      </c>
      <c r="AY146" s="770"/>
      <c r="AZ146" s="770" t="str">
        <f>AZ2</f>
        <v>火</v>
      </c>
      <c r="BA146" s="770"/>
      <c r="BB146" s="770" t="str">
        <f>BB2</f>
        <v>水</v>
      </c>
      <c r="BC146" s="770"/>
      <c r="BD146" s="770" t="str">
        <f>BD2</f>
        <v>木</v>
      </c>
      <c r="BE146" s="770"/>
      <c r="BF146" s="770" t="str">
        <f>BF2</f>
        <v>金</v>
      </c>
      <c r="BG146" s="770"/>
      <c r="BH146" s="770" t="str">
        <f>BH2</f>
        <v>土</v>
      </c>
      <c r="BI146" s="770"/>
      <c r="BJ146" s="770" t="str">
        <f>BJ2</f>
        <v>日</v>
      </c>
      <c r="BK146" s="770"/>
      <c r="BL146" s="770" t="str">
        <f>BL2</f>
        <v>月</v>
      </c>
      <c r="BM146" s="770"/>
      <c r="BN146" s="761"/>
      <c r="BO146" s="762"/>
      <c r="BP146" s="773"/>
      <c r="BQ146" s="774"/>
    </row>
    <row r="147" spans="2:69" ht="24.95" customHeight="1" thickBot="1">
      <c r="B147" s="748"/>
      <c r="C147" s="750"/>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4"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tr">
        <f>'1月'!$B$148</f>
        <v>赤坂　友輔</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18"/>
      <c r="AG148" s="15"/>
      <c r="AH148" s="18"/>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79"/>
      <c r="BK148" s="10"/>
      <c r="BL148" s="179"/>
      <c r="BM148" s="9"/>
      <c r="BN148" s="102">
        <f>SUM(D148,F148,H148,J148,L148,N148,P148,R148,T148,V148,X148,Z148,AB148,AD148,AF148,AH148,AJ148,AL148,AN148,AP148,AR148,AT148,AV148,AX148,AZ148,BB148,BD148,BF148,BH148,BJ148,BL148)</f>
        <v>0</v>
      </c>
      <c r="BO148" s="47">
        <f>SUM(E148,G148,I148,K148,M148,O148,Q148,S148,U148,W148,Y148,AA148,AC148,AE148,AG148,AI148,AK148,AM148,AO148,AQ148,AS148,AU148,AW148,AY148,BA148,BC148,BE148,BG148,BI148,BK148,BM148)</f>
        <v>0</v>
      </c>
      <c r="BP148" s="631">
        <f>INDEX('1月'!$B$4:$BQ$375,MATCH('2月'!B148,'1月'!$B$4:$B$375,0),67)+BN148</f>
        <v>0</v>
      </c>
      <c r="BQ148" s="702">
        <f>INDEX('1月'!$B$4:$BQ$375,MATCH('2月'!B148,'1月'!$B$4:$B$375,0),68)+BO148</f>
        <v>0</v>
      </c>
    </row>
    <row r="149" spans="2:69" s="6" customFormat="1" ht="50.1" customHeight="1">
      <c r="B149" s="201" t="str">
        <f>'1月'!$B$149</f>
        <v>大下　孝志</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37"/>
      <c r="BK149" s="15"/>
      <c r="BL149" s="37"/>
      <c r="BM149" s="14"/>
      <c r="BN149" s="102">
        <f t="shared" ref="BN149:BN159" si="28">SUM(D149,F149,H149,J149,L149,N149,P149,R149,T149,V149,X149,Z149,AB149,AD149,AF149,AH149,AJ149,AL149,AN149,AP149,AR149,AT149,AV149,AX149,AZ149,BB149,BD149,BF149,BH149,BJ149,BL149)</f>
        <v>0</v>
      </c>
      <c r="BO149" s="47">
        <f t="shared" ref="BO149:BO159" si="29">SUM(E149,G149,I149,K149,M149,O149,Q149,S149,U149,W149,Y149,AA149,AC149,AE149,AG149,AI149,AK149,AM149,AO149,AQ149,AS149,AU149,AW149,AY149,BA149,BC149,BE149,BG149,BI149,BK149,BM149)</f>
        <v>0</v>
      </c>
      <c r="BP149" s="631">
        <f>INDEX('1月'!$B$4:$BQ$375,MATCH('2月'!B149,'1月'!$B$4:$B$375,0),67)+BN149</f>
        <v>0</v>
      </c>
      <c r="BQ149" s="702">
        <f>INDEX('1月'!$B$4:$BQ$375,MATCH('2月'!B149,'1月'!$B$4:$B$375,0),68)+BO149</f>
        <v>0</v>
      </c>
    </row>
    <row r="150" spans="2:69" s="6" customFormat="1" ht="50.1" customHeight="1">
      <c r="B150" s="201" t="str">
        <f>'1月'!$B$150</f>
        <v>小川　雅規</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37"/>
      <c r="BK150" s="15"/>
      <c r="BL150" s="37"/>
      <c r="BM150" s="14"/>
      <c r="BN150" s="102">
        <f t="shared" si="28"/>
        <v>0</v>
      </c>
      <c r="BO150" s="47">
        <f t="shared" si="29"/>
        <v>0</v>
      </c>
      <c r="BP150" s="631">
        <f>INDEX('1月'!$B$4:$BQ$375,MATCH('2月'!B150,'1月'!$B$4:$B$375,0),67)+BN150</f>
        <v>0</v>
      </c>
      <c r="BQ150" s="702">
        <f>INDEX('1月'!$B$4:$BQ$375,MATCH('2月'!B150,'1月'!$B$4:$B$375,0),68)+BO150</f>
        <v>0</v>
      </c>
    </row>
    <row r="151" spans="2:69" s="6" customFormat="1" ht="50.1" customHeight="1">
      <c r="B151" s="201" t="str">
        <f>'1月'!$B$151</f>
        <v>木津谷　隆</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37"/>
      <c r="BK151" s="15"/>
      <c r="BL151" s="37"/>
      <c r="BM151" s="14"/>
      <c r="BN151" s="102">
        <f t="shared" si="28"/>
        <v>0</v>
      </c>
      <c r="BO151" s="47">
        <f t="shared" si="29"/>
        <v>0</v>
      </c>
      <c r="BP151" s="631">
        <f>INDEX('1月'!$B$4:$BQ$375,MATCH('2月'!B151,'1月'!$B$4:$B$375,0),67)+BN151</f>
        <v>1</v>
      </c>
      <c r="BQ151" s="702">
        <f>INDEX('1月'!$B$4:$BQ$375,MATCH('2月'!B151,'1月'!$B$4:$B$375,0),68)+BO151</f>
        <v>2</v>
      </c>
    </row>
    <row r="152" spans="2:69" s="6" customFormat="1" ht="50.1" customHeight="1">
      <c r="B152" s="201" t="str">
        <f>'1月'!$B$152</f>
        <v>佐藤　進</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37"/>
      <c r="BK152" s="15"/>
      <c r="BL152" s="37"/>
      <c r="BM152" s="14"/>
      <c r="BN152" s="102">
        <f t="shared" si="28"/>
        <v>0</v>
      </c>
      <c r="BO152" s="47">
        <f t="shared" si="29"/>
        <v>0</v>
      </c>
      <c r="BP152" s="631">
        <f>INDEX('1月'!$B$4:$BQ$375,MATCH('2月'!B152,'1月'!$B$4:$B$375,0),67)+BN152</f>
        <v>0</v>
      </c>
      <c r="BQ152" s="702">
        <f>INDEX('1月'!$B$4:$BQ$375,MATCH('2月'!B152,'1月'!$B$4:$B$375,0),68)+BO152</f>
        <v>0</v>
      </c>
    </row>
    <row r="153" spans="2:69" s="6" customFormat="1" ht="50.1" customHeight="1">
      <c r="B153" s="201" t="str">
        <f>'1月'!$B$153</f>
        <v>高橋　公司</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37"/>
      <c r="BK153" s="15"/>
      <c r="BL153" s="37"/>
      <c r="BM153" s="14"/>
      <c r="BN153" s="102">
        <f t="shared" si="28"/>
        <v>0</v>
      </c>
      <c r="BO153" s="47">
        <f t="shared" si="29"/>
        <v>0</v>
      </c>
      <c r="BP153" s="631">
        <f>INDEX('1月'!$B$4:$BQ$375,MATCH('2月'!B153,'1月'!$B$4:$B$375,0),67)+BN153</f>
        <v>0</v>
      </c>
      <c r="BQ153" s="702">
        <f>INDEX('1月'!$B$4:$BQ$375,MATCH('2月'!B153,'1月'!$B$4:$B$375,0),68)+BO153</f>
        <v>0</v>
      </c>
    </row>
    <row r="154" spans="2:69" s="6" customFormat="1" ht="50.1" customHeight="1">
      <c r="B154" s="201" t="str">
        <f>'1月'!$B$154</f>
        <v>滝田　智</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37"/>
      <c r="BK154" s="15"/>
      <c r="BL154" s="37"/>
      <c r="BM154" s="14"/>
      <c r="BN154" s="102">
        <f t="shared" si="28"/>
        <v>0</v>
      </c>
      <c r="BO154" s="47">
        <f t="shared" si="29"/>
        <v>0</v>
      </c>
      <c r="BP154" s="631">
        <f>INDEX('1月'!$B$4:$BQ$375,MATCH('2月'!B154,'1月'!$B$4:$B$375,0),67)+BN154</f>
        <v>0</v>
      </c>
      <c r="BQ154" s="702">
        <f>INDEX('1月'!$B$4:$BQ$375,MATCH('2月'!B154,'1月'!$B$4:$B$375,0),68)+BO154</f>
        <v>0</v>
      </c>
    </row>
    <row r="155" spans="2:69" s="6" customFormat="1" ht="50.1" customHeight="1">
      <c r="B155" s="201" t="str">
        <f>'1月'!$B$155</f>
        <v>出貝　千拓</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c r="AE155" s="20"/>
      <c r="AF155" s="18"/>
      <c r="AG155" s="21"/>
      <c r="AH155" s="50"/>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38"/>
      <c r="BK155" s="21"/>
      <c r="BL155" s="38"/>
      <c r="BM155" s="20"/>
      <c r="BN155" s="102">
        <f t="shared" si="28"/>
        <v>0</v>
      </c>
      <c r="BO155" s="47">
        <f t="shared" si="29"/>
        <v>0</v>
      </c>
      <c r="BP155" s="631">
        <f>INDEX('1月'!$B$4:$BQ$375,MATCH('2月'!B155,'1月'!$B$4:$B$375,0),67)+BN155</f>
        <v>1</v>
      </c>
      <c r="BQ155" s="702">
        <f>INDEX('1月'!$B$4:$BQ$375,MATCH('2月'!B155,'1月'!$B$4:$B$375,0),68)+BO155</f>
        <v>2</v>
      </c>
    </row>
    <row r="156" spans="2:69" s="6" customFormat="1" ht="50.1" customHeight="1">
      <c r="B156" s="201" t="str">
        <f>'1月'!$B$156</f>
        <v>戸舘　直人</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18"/>
      <c r="AG156" s="15"/>
      <c r="AH156" s="18"/>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37"/>
      <c r="BK156" s="15"/>
      <c r="BL156" s="37"/>
      <c r="BM156" s="14"/>
      <c r="BN156" s="102">
        <f t="shared" si="28"/>
        <v>0</v>
      </c>
      <c r="BO156" s="47">
        <f t="shared" si="29"/>
        <v>0</v>
      </c>
      <c r="BP156" s="631">
        <f>INDEX('1月'!$B$4:$BQ$375,MATCH('2月'!B156,'1月'!$B$4:$B$375,0),67)+BN156</f>
        <v>0</v>
      </c>
      <c r="BQ156" s="702">
        <f>INDEX('1月'!$B$4:$BQ$375,MATCH('2月'!B156,'1月'!$B$4:$B$375,0),68)+BO156</f>
        <v>0</v>
      </c>
    </row>
    <row r="157" spans="2:69" s="6" customFormat="1" ht="50.1" customHeight="1">
      <c r="B157" s="202" t="str">
        <f>'1月'!$B$157</f>
        <v>古瀬　裕二</v>
      </c>
      <c r="C157" s="147"/>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37"/>
      <c r="BK157" s="15"/>
      <c r="BL157" s="37"/>
      <c r="BM157" s="14"/>
      <c r="BN157" s="102">
        <f t="shared" si="28"/>
        <v>0</v>
      </c>
      <c r="BO157" s="47">
        <f t="shared" si="29"/>
        <v>0</v>
      </c>
      <c r="BP157" s="631">
        <f>INDEX('1月'!$B$4:$BQ$375,MATCH('2月'!B157,'1月'!$B$4:$B$375,0),67)+BN157</f>
        <v>1</v>
      </c>
      <c r="BQ157" s="702">
        <f>INDEX('1月'!$B$4:$BQ$375,MATCH('2月'!B157,'1月'!$B$4:$B$375,0),68)+BO157</f>
        <v>1</v>
      </c>
    </row>
    <row r="158" spans="2:69" s="6" customFormat="1" ht="50.1" customHeight="1">
      <c r="B158" s="202" t="str">
        <f>'1月'!$B$158</f>
        <v>宮崎　和久</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37"/>
      <c r="BK158" s="15"/>
      <c r="BL158" s="37"/>
      <c r="BM158" s="14"/>
      <c r="BN158" s="102">
        <f t="shared" si="28"/>
        <v>0</v>
      </c>
      <c r="BO158" s="47">
        <f t="shared" si="29"/>
        <v>0</v>
      </c>
      <c r="BP158" s="631">
        <f>INDEX('1月'!$B$4:$BQ$375,MATCH('2月'!B158,'1月'!$B$4:$B$375,0),67)+BN158</f>
        <v>0</v>
      </c>
      <c r="BQ158" s="702">
        <f>INDEX('1月'!$B$4:$BQ$375,MATCH('2月'!B158,'1月'!$B$4:$B$375,0),68)+BO158</f>
        <v>0</v>
      </c>
    </row>
    <row r="159" spans="2:69" s="6" customFormat="1" ht="50.1" customHeight="1" thickBot="1">
      <c r="B159" s="206" t="str">
        <f>'1月'!$B$159</f>
        <v>山田　祥弘</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37"/>
      <c r="BK159" s="15"/>
      <c r="BL159" s="37"/>
      <c r="BM159" s="14"/>
      <c r="BN159" s="102">
        <f t="shared" si="28"/>
        <v>0</v>
      </c>
      <c r="BO159" s="47">
        <f t="shared" si="29"/>
        <v>0</v>
      </c>
      <c r="BP159" s="631">
        <f>INDEX('1月'!$B$4:$BQ$375,MATCH('2月'!B159,'1月'!$B$4:$B$375,0),67)+BN159</f>
        <v>0</v>
      </c>
      <c r="BQ159" s="702">
        <f>INDEX('1月'!$B$4:$BQ$375,MATCH('2月'!B159,'1月'!$B$4:$B$375,0),68)+BO159</f>
        <v>0</v>
      </c>
    </row>
    <row r="160" spans="2:69" s="6" customFormat="1" ht="45" customHeight="1" thickBot="1">
      <c r="B160" s="119" t="s">
        <v>101</v>
      </c>
      <c r="C160" s="149"/>
      <c r="D160" s="29">
        <f t="shared" ref="D160:AG160" si="30">SUM(D148:D159)</f>
        <v>0</v>
      </c>
      <c r="E160" s="31">
        <f t="shared" si="30"/>
        <v>0</v>
      </c>
      <c r="F160" s="29">
        <f t="shared" si="30"/>
        <v>0</v>
      </c>
      <c r="G160" s="31">
        <f t="shared" si="30"/>
        <v>0</v>
      </c>
      <c r="H160" s="29">
        <f t="shared" si="30"/>
        <v>0</v>
      </c>
      <c r="I160" s="31">
        <f t="shared" si="30"/>
        <v>0</v>
      </c>
      <c r="J160" s="29">
        <f t="shared" si="30"/>
        <v>0</v>
      </c>
      <c r="K160" s="31">
        <f t="shared" si="30"/>
        <v>0</v>
      </c>
      <c r="L160" s="29">
        <f t="shared" si="30"/>
        <v>0</v>
      </c>
      <c r="M160" s="31">
        <f t="shared" si="30"/>
        <v>0</v>
      </c>
      <c r="N160" s="29">
        <f t="shared" si="30"/>
        <v>0</v>
      </c>
      <c r="O160" s="31">
        <f t="shared" si="30"/>
        <v>0</v>
      </c>
      <c r="P160" s="29">
        <f t="shared" si="30"/>
        <v>0</v>
      </c>
      <c r="Q160" s="31">
        <f t="shared" si="30"/>
        <v>0</v>
      </c>
      <c r="R160" s="29">
        <f t="shared" si="30"/>
        <v>0</v>
      </c>
      <c r="S160" s="31">
        <f t="shared" si="30"/>
        <v>0</v>
      </c>
      <c r="T160" s="29">
        <f t="shared" si="30"/>
        <v>0</v>
      </c>
      <c r="U160" s="31">
        <f t="shared" si="30"/>
        <v>0</v>
      </c>
      <c r="V160" s="29">
        <f t="shared" si="30"/>
        <v>0</v>
      </c>
      <c r="W160" s="31">
        <f t="shared" si="30"/>
        <v>0</v>
      </c>
      <c r="X160" s="29">
        <f t="shared" si="30"/>
        <v>0</v>
      </c>
      <c r="Y160" s="31">
        <f t="shared" si="30"/>
        <v>0</v>
      </c>
      <c r="Z160" s="29">
        <f t="shared" si="30"/>
        <v>0</v>
      </c>
      <c r="AA160" s="31">
        <f t="shared" si="30"/>
        <v>0</v>
      </c>
      <c r="AB160" s="29">
        <f t="shared" si="30"/>
        <v>0</v>
      </c>
      <c r="AC160" s="31">
        <f t="shared" si="30"/>
        <v>0</v>
      </c>
      <c r="AD160" s="29">
        <f t="shared" si="30"/>
        <v>0</v>
      </c>
      <c r="AE160" s="31">
        <f t="shared" si="30"/>
        <v>0</v>
      </c>
      <c r="AF160" s="29">
        <f t="shared" si="30"/>
        <v>0</v>
      </c>
      <c r="AG160" s="41">
        <f t="shared" si="30"/>
        <v>0</v>
      </c>
      <c r="AH160" s="29">
        <f t="shared" ref="AH160:BK160" si="31">SUM(AH148:AH159)</f>
        <v>0</v>
      </c>
      <c r="AI160" s="31">
        <f t="shared" si="31"/>
        <v>0</v>
      </c>
      <c r="AJ160" s="29">
        <f t="shared" si="31"/>
        <v>0</v>
      </c>
      <c r="AK160" s="31">
        <f t="shared" si="31"/>
        <v>0</v>
      </c>
      <c r="AL160" s="29">
        <f t="shared" si="31"/>
        <v>0</v>
      </c>
      <c r="AM160" s="31">
        <f t="shared" si="31"/>
        <v>0</v>
      </c>
      <c r="AN160" s="29">
        <f t="shared" si="31"/>
        <v>0</v>
      </c>
      <c r="AO160" s="31">
        <f t="shared" si="31"/>
        <v>0</v>
      </c>
      <c r="AP160" s="29">
        <f t="shared" si="31"/>
        <v>0</v>
      </c>
      <c r="AQ160" s="31">
        <f t="shared" si="31"/>
        <v>0</v>
      </c>
      <c r="AR160" s="29">
        <f t="shared" si="31"/>
        <v>0</v>
      </c>
      <c r="AS160" s="31">
        <f t="shared" si="31"/>
        <v>0</v>
      </c>
      <c r="AT160" s="29">
        <f t="shared" si="31"/>
        <v>0</v>
      </c>
      <c r="AU160" s="31">
        <f t="shared" si="31"/>
        <v>0</v>
      </c>
      <c r="AV160" s="29">
        <f t="shared" si="31"/>
        <v>0</v>
      </c>
      <c r="AW160" s="31">
        <f t="shared" si="31"/>
        <v>0</v>
      </c>
      <c r="AX160" s="29">
        <f t="shared" si="31"/>
        <v>0</v>
      </c>
      <c r="AY160" s="31">
        <f t="shared" si="31"/>
        <v>0</v>
      </c>
      <c r="AZ160" s="29">
        <f t="shared" si="31"/>
        <v>0</v>
      </c>
      <c r="BA160" s="31">
        <f t="shared" si="31"/>
        <v>0</v>
      </c>
      <c r="BB160" s="29">
        <f t="shared" si="31"/>
        <v>0</v>
      </c>
      <c r="BC160" s="31">
        <f t="shared" si="31"/>
        <v>0</v>
      </c>
      <c r="BD160" s="29">
        <f>SUM(BD148:BD159)</f>
        <v>0</v>
      </c>
      <c r="BE160" s="31">
        <f t="shared" si="31"/>
        <v>0</v>
      </c>
      <c r="BF160" s="29">
        <f t="shared" si="31"/>
        <v>0</v>
      </c>
      <c r="BG160" s="31">
        <f t="shared" si="31"/>
        <v>0</v>
      </c>
      <c r="BH160" s="29">
        <f t="shared" si="31"/>
        <v>0</v>
      </c>
      <c r="BI160" s="31">
        <f t="shared" si="31"/>
        <v>0</v>
      </c>
      <c r="BJ160" s="39">
        <f t="shared" si="31"/>
        <v>0</v>
      </c>
      <c r="BK160" s="41">
        <f t="shared" si="31"/>
        <v>0</v>
      </c>
      <c r="BL160" s="39">
        <f t="shared" ref="BL160:BQ160" si="32">SUM(BL148:BL159)</f>
        <v>0</v>
      </c>
      <c r="BM160" s="31">
        <f t="shared" si="32"/>
        <v>0</v>
      </c>
      <c r="BN160" s="32">
        <f t="shared" si="32"/>
        <v>0</v>
      </c>
      <c r="BO160" s="40">
        <f t="shared" si="32"/>
        <v>0</v>
      </c>
      <c r="BP160" s="245">
        <f t="shared" si="32"/>
        <v>3</v>
      </c>
      <c r="BQ160" s="240">
        <f t="shared" si="32"/>
        <v>5</v>
      </c>
    </row>
    <row r="161" spans="2:69" ht="24.75" customHeight="1">
      <c r="B161" s="120"/>
      <c r="AG161" s="34"/>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43" t="s">
        <v>215</v>
      </c>
      <c r="C163" s="749">
        <f>COUNTIF(B166:B195,"*")</f>
        <v>24</v>
      </c>
      <c r="D163" s="751">
        <v>1</v>
      </c>
      <c r="E163" s="738"/>
      <c r="F163" s="737">
        <v>2</v>
      </c>
      <c r="G163" s="738"/>
      <c r="H163" s="737">
        <v>3</v>
      </c>
      <c r="I163" s="738"/>
      <c r="J163" s="737">
        <v>4</v>
      </c>
      <c r="K163" s="738"/>
      <c r="L163" s="737">
        <v>5</v>
      </c>
      <c r="M163" s="738"/>
      <c r="N163" s="737">
        <v>6</v>
      </c>
      <c r="O163" s="738"/>
      <c r="P163" s="737">
        <v>7</v>
      </c>
      <c r="Q163" s="738"/>
      <c r="R163" s="737">
        <v>8</v>
      </c>
      <c r="S163" s="738"/>
      <c r="T163" s="737">
        <v>9</v>
      </c>
      <c r="U163" s="738"/>
      <c r="V163" s="737">
        <v>10</v>
      </c>
      <c r="W163" s="738"/>
      <c r="X163" s="737">
        <v>11</v>
      </c>
      <c r="Y163" s="738"/>
      <c r="Z163" s="737">
        <v>12</v>
      </c>
      <c r="AA163" s="738"/>
      <c r="AB163" s="737">
        <v>13</v>
      </c>
      <c r="AC163" s="738"/>
      <c r="AD163" s="737">
        <v>14</v>
      </c>
      <c r="AE163" s="738"/>
      <c r="AF163" s="737">
        <v>15</v>
      </c>
      <c r="AG163" s="784"/>
      <c r="AH163" s="741">
        <v>16</v>
      </c>
      <c r="AI163" s="741"/>
      <c r="AJ163" s="741">
        <v>17</v>
      </c>
      <c r="AK163" s="741"/>
      <c r="AL163" s="741">
        <v>18</v>
      </c>
      <c r="AM163" s="741"/>
      <c r="AN163" s="741">
        <v>19</v>
      </c>
      <c r="AO163" s="741"/>
      <c r="AP163" s="741">
        <v>20</v>
      </c>
      <c r="AQ163" s="741"/>
      <c r="AR163" s="741">
        <v>21</v>
      </c>
      <c r="AS163" s="741"/>
      <c r="AT163" s="741">
        <v>22</v>
      </c>
      <c r="AU163" s="741"/>
      <c r="AV163" s="741">
        <v>23</v>
      </c>
      <c r="AW163" s="741"/>
      <c r="AX163" s="741">
        <v>24</v>
      </c>
      <c r="AY163" s="741"/>
      <c r="AZ163" s="741">
        <v>25</v>
      </c>
      <c r="BA163" s="741"/>
      <c r="BB163" s="741">
        <v>26</v>
      </c>
      <c r="BC163" s="741"/>
      <c r="BD163" s="741">
        <v>27</v>
      </c>
      <c r="BE163" s="741"/>
      <c r="BF163" s="741">
        <v>28</v>
      </c>
      <c r="BG163" s="741"/>
      <c r="BH163" s="741">
        <v>29</v>
      </c>
      <c r="BI163" s="741"/>
      <c r="BJ163" s="741">
        <v>30</v>
      </c>
      <c r="BK163" s="741"/>
      <c r="BL163" s="741">
        <v>31</v>
      </c>
      <c r="BM163" s="741"/>
      <c r="BN163" s="791" t="s">
        <v>251</v>
      </c>
      <c r="BO163" s="760"/>
      <c r="BP163" s="771" t="s">
        <v>353</v>
      </c>
      <c r="BQ163" s="776"/>
    </row>
    <row r="164" spans="2:69" ht="24.75" customHeight="1">
      <c r="B164" s="744"/>
      <c r="C164" s="747"/>
      <c r="D164" s="752" t="str">
        <f>D2</f>
        <v>土</v>
      </c>
      <c r="E164" s="740"/>
      <c r="F164" s="739" t="str">
        <f>F2</f>
        <v>日</v>
      </c>
      <c r="G164" s="740"/>
      <c r="H164" s="739" t="str">
        <f>H2</f>
        <v>月</v>
      </c>
      <c r="I164" s="740"/>
      <c r="J164" s="739" t="str">
        <f>J2</f>
        <v>火</v>
      </c>
      <c r="K164" s="740"/>
      <c r="L164" s="739" t="str">
        <f>L2</f>
        <v>水</v>
      </c>
      <c r="M164" s="740"/>
      <c r="N164" s="739" t="str">
        <f>N2</f>
        <v>木</v>
      </c>
      <c r="O164" s="740"/>
      <c r="P164" s="739" t="str">
        <f>P2</f>
        <v>金</v>
      </c>
      <c r="Q164" s="740"/>
      <c r="R164" s="739" t="str">
        <f>R2</f>
        <v>土</v>
      </c>
      <c r="S164" s="740"/>
      <c r="T164" s="739" t="str">
        <f>T2</f>
        <v>日</v>
      </c>
      <c r="U164" s="740"/>
      <c r="V164" s="739" t="str">
        <f>V2</f>
        <v>月</v>
      </c>
      <c r="W164" s="740"/>
      <c r="X164" s="739" t="str">
        <f>X2</f>
        <v>火</v>
      </c>
      <c r="Y164" s="740"/>
      <c r="Z164" s="739" t="str">
        <f>Z2</f>
        <v>水</v>
      </c>
      <c r="AA164" s="740"/>
      <c r="AB164" s="739" t="str">
        <f>AB2</f>
        <v>木</v>
      </c>
      <c r="AC164" s="740"/>
      <c r="AD164" s="739" t="str">
        <f>AD2</f>
        <v>金</v>
      </c>
      <c r="AE164" s="740"/>
      <c r="AF164" s="739" t="str">
        <f>AF2</f>
        <v>土</v>
      </c>
      <c r="AG164" s="740"/>
      <c r="AH164" s="786" t="str">
        <f>AH2</f>
        <v>日</v>
      </c>
      <c r="AI164" s="767"/>
      <c r="AJ164" s="770" t="str">
        <f>AJ2</f>
        <v>月</v>
      </c>
      <c r="AK164" s="770"/>
      <c r="AL164" s="770" t="str">
        <f>AL2</f>
        <v>火</v>
      </c>
      <c r="AM164" s="770"/>
      <c r="AN164" s="770" t="str">
        <f>AN2</f>
        <v>水</v>
      </c>
      <c r="AO164" s="770"/>
      <c r="AP164" s="770" t="str">
        <f>AP2</f>
        <v>木</v>
      </c>
      <c r="AQ164" s="770"/>
      <c r="AR164" s="770" t="str">
        <f>AR2</f>
        <v>金</v>
      </c>
      <c r="AS164" s="770"/>
      <c r="AT164" s="770" t="str">
        <f>AT2</f>
        <v>土</v>
      </c>
      <c r="AU164" s="770"/>
      <c r="AV164" s="770" t="str">
        <f>AV2</f>
        <v>日</v>
      </c>
      <c r="AW164" s="770"/>
      <c r="AX164" s="770" t="str">
        <f>AX2</f>
        <v>月</v>
      </c>
      <c r="AY164" s="770"/>
      <c r="AZ164" s="770" t="str">
        <f>AZ2</f>
        <v>火</v>
      </c>
      <c r="BA164" s="770"/>
      <c r="BB164" s="770" t="str">
        <f>BB2</f>
        <v>水</v>
      </c>
      <c r="BC164" s="770"/>
      <c r="BD164" s="770" t="str">
        <f>BD2</f>
        <v>木</v>
      </c>
      <c r="BE164" s="770"/>
      <c r="BF164" s="770" t="str">
        <f>BF2</f>
        <v>金</v>
      </c>
      <c r="BG164" s="770"/>
      <c r="BH164" s="770" t="str">
        <f>BH2</f>
        <v>土</v>
      </c>
      <c r="BI164" s="770"/>
      <c r="BJ164" s="770" t="str">
        <f>BJ2</f>
        <v>日</v>
      </c>
      <c r="BK164" s="770"/>
      <c r="BL164" s="770" t="str">
        <f>BL2</f>
        <v>月</v>
      </c>
      <c r="BM164" s="770"/>
      <c r="BN164" s="792"/>
      <c r="BO164" s="762"/>
      <c r="BP164" s="773"/>
      <c r="BQ164" s="793"/>
    </row>
    <row r="165" spans="2:69" ht="24.95" customHeight="1" thickBot="1">
      <c r="B165" s="744"/>
      <c r="C165" s="747"/>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194" t="s">
        <v>72</v>
      </c>
      <c r="AG165" s="107" t="s">
        <v>73</v>
      </c>
      <c r="AH165" s="529" t="s">
        <v>72</v>
      </c>
      <c r="AI165" s="530" t="s">
        <v>73</v>
      </c>
      <c r="AJ165" s="531" t="s">
        <v>72</v>
      </c>
      <c r="AK165" s="530" t="s">
        <v>73</v>
      </c>
      <c r="AL165" s="531" t="s">
        <v>72</v>
      </c>
      <c r="AM165" s="530" t="s">
        <v>73</v>
      </c>
      <c r="AN165" s="529" t="s">
        <v>72</v>
      </c>
      <c r="AO165" s="530" t="s">
        <v>73</v>
      </c>
      <c r="AP165" s="529" t="s">
        <v>72</v>
      </c>
      <c r="AQ165" s="530" t="s">
        <v>73</v>
      </c>
      <c r="AR165" s="529" t="s">
        <v>72</v>
      </c>
      <c r="AS165" s="530" t="s">
        <v>73</v>
      </c>
      <c r="AT165" s="529" t="s">
        <v>72</v>
      </c>
      <c r="AU165" s="530" t="s">
        <v>73</v>
      </c>
      <c r="AV165" s="529" t="s">
        <v>72</v>
      </c>
      <c r="AW165" s="530" t="s">
        <v>73</v>
      </c>
      <c r="AX165" s="529" t="s">
        <v>72</v>
      </c>
      <c r="AY165" s="530" t="s">
        <v>73</v>
      </c>
      <c r="AZ165" s="529" t="s">
        <v>72</v>
      </c>
      <c r="BA165" s="530" t="s">
        <v>73</v>
      </c>
      <c r="BB165" s="529" t="s">
        <v>72</v>
      </c>
      <c r="BC165" s="530" t="s">
        <v>73</v>
      </c>
      <c r="BD165" s="529" t="s">
        <v>72</v>
      </c>
      <c r="BE165" s="532" t="s">
        <v>73</v>
      </c>
      <c r="BF165" s="533" t="s">
        <v>72</v>
      </c>
      <c r="BG165" s="532" t="s">
        <v>73</v>
      </c>
      <c r="BH165" s="533" t="s">
        <v>72</v>
      </c>
      <c r="BI165" s="532" t="s">
        <v>73</v>
      </c>
      <c r="BJ165" s="533" t="s">
        <v>72</v>
      </c>
      <c r="BK165" s="532" t="s">
        <v>73</v>
      </c>
      <c r="BL165" s="533" t="s">
        <v>72</v>
      </c>
      <c r="BM165" s="532" t="s">
        <v>73</v>
      </c>
      <c r="BN165" s="535" t="s">
        <v>72</v>
      </c>
      <c r="BO165" s="536" t="s">
        <v>73</v>
      </c>
      <c r="BP165" s="537" t="s">
        <v>252</v>
      </c>
      <c r="BQ165" s="538" t="s">
        <v>254</v>
      </c>
    </row>
    <row r="166" spans="2:69" ht="45" customHeight="1">
      <c r="B166" s="580" t="str">
        <f>'1月'!$B$166</f>
        <v>小川　菜音</v>
      </c>
      <c r="C166" s="581"/>
      <c r="D166" s="582"/>
      <c r="E166" s="583"/>
      <c r="F166" s="582"/>
      <c r="G166" s="583"/>
      <c r="H166" s="582"/>
      <c r="I166" s="583"/>
      <c r="J166" s="582"/>
      <c r="K166" s="583"/>
      <c r="L166" s="582"/>
      <c r="M166" s="583"/>
      <c r="N166" s="582"/>
      <c r="O166" s="583"/>
      <c r="P166" s="582"/>
      <c r="Q166" s="583"/>
      <c r="R166" s="582"/>
      <c r="S166" s="583"/>
      <c r="T166" s="582"/>
      <c r="U166" s="583"/>
      <c r="V166" s="582"/>
      <c r="W166" s="583"/>
      <c r="X166" s="582"/>
      <c r="Y166" s="583"/>
      <c r="Z166" s="582"/>
      <c r="AA166" s="584"/>
      <c r="AB166" s="582"/>
      <c r="AC166" s="584"/>
      <c r="AD166" s="582"/>
      <c r="AE166" s="584"/>
      <c r="AF166" s="582"/>
      <c r="AG166" s="584"/>
      <c r="AH166" s="587"/>
      <c r="AI166" s="588"/>
      <c r="AJ166" s="587"/>
      <c r="AK166" s="588"/>
      <c r="AL166" s="587"/>
      <c r="AM166" s="588"/>
      <c r="AN166" s="587"/>
      <c r="AO166" s="588"/>
      <c r="AP166" s="587"/>
      <c r="AQ166" s="588"/>
      <c r="AR166" s="587"/>
      <c r="AS166" s="588"/>
      <c r="AT166" s="587"/>
      <c r="AU166" s="588"/>
      <c r="AV166" s="587"/>
      <c r="AW166" s="588"/>
      <c r="AX166" s="587"/>
      <c r="AY166" s="588"/>
      <c r="AZ166" s="587"/>
      <c r="BA166" s="588"/>
      <c r="BB166" s="587"/>
      <c r="BC166" s="588"/>
      <c r="BD166" s="587"/>
      <c r="BE166" s="589"/>
      <c r="BF166" s="587"/>
      <c r="BG166" s="589"/>
      <c r="BH166" s="587"/>
      <c r="BI166" s="589"/>
      <c r="BJ166" s="590"/>
      <c r="BK166" s="589"/>
      <c r="BL166" s="590"/>
      <c r="BM166" s="589"/>
      <c r="BN166" s="102">
        <f>SUM(D166,F166,H166,J166,L166,N166,P166,R166,T166,V166,X166,Z166,AB166,AD166,AF166,AH166,AJ166,AL166,AN166,AP166,AR166,AT166,AV166,AX166,AZ166,BB166,BD166,BF166,BH166,BJ166,BL166)</f>
        <v>0</v>
      </c>
      <c r="BO166" s="47">
        <f>SUM(E166,G166,I166,K166,M166,O166,Q166,S166,U166,W166,Y166,AA166,AC166,AE166,AG166,AI166,AK166,AM166,AO166,AQ166,AS166,AU166,AW166,AY166,BA166,BC166,BE166,BG166,BI166,BK166,BM166)</f>
        <v>0</v>
      </c>
      <c r="BP166" s="631">
        <f>INDEX('1月'!$B$4:$BQ$375,MATCH('2月'!B166,'1月'!$B$4:$B$375,0),67)+BN166</f>
        <v>0</v>
      </c>
      <c r="BQ166" s="702">
        <f>INDEX('1月'!$B$4:$BQ$375,MATCH('2月'!B166,'1月'!$B$4:$B$375,0),68)+BO166</f>
        <v>0</v>
      </c>
    </row>
    <row r="167" spans="2:69" s="6" customFormat="1" ht="45" customHeight="1">
      <c r="B167" s="203" t="str">
        <f>'1月'!$B$167</f>
        <v>貝守　竜哉</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18"/>
      <c r="AG167" s="15"/>
      <c r="AH167" s="18"/>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37"/>
      <c r="BK167" s="15"/>
      <c r="BL167" s="37"/>
      <c r="BM167" s="14"/>
      <c r="BN167" s="102">
        <f t="shared" ref="BN167:BN195" si="33">SUM(D167,F167,H167,J167,L167,N167,P167,R167,T167,V167,X167,Z167,AB167,AD167,AF167,AH167,AJ167,AL167,AN167,AP167,AR167,AT167,AV167,AX167,AZ167,BB167,BD167,BF167,BH167,BJ167,BL167)</f>
        <v>0</v>
      </c>
      <c r="BO167" s="47">
        <f t="shared" ref="BO167:BO195" si="34">SUM(E167,G167,I167,K167,M167,O167,Q167,S167,U167,W167,Y167,AA167,AC167,AE167,AG167,AI167,AK167,AM167,AO167,AQ167,AS167,AU167,AW167,AY167,BA167,BC167,BE167,BG167,BI167,BK167,BM167)</f>
        <v>0</v>
      </c>
      <c r="BP167" s="631">
        <f>INDEX('1月'!$B$4:$BQ$375,MATCH('2月'!B167,'1月'!$B$4:$B$375,0),67)+BN167</f>
        <v>0</v>
      </c>
      <c r="BQ167" s="702">
        <f>INDEX('1月'!$B$4:$BQ$375,MATCH('2月'!B167,'1月'!$B$4:$B$375,0),68)+BO167</f>
        <v>0</v>
      </c>
    </row>
    <row r="168" spans="2:69" s="6" customFormat="1" ht="45" customHeight="1">
      <c r="B168" s="201" t="str">
        <f>'1月'!$B$168</f>
        <v>川村　一覚</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0"/>
      <c r="AG168" s="21"/>
      <c r="AH168" s="18"/>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38"/>
      <c r="BK168" s="21"/>
      <c r="BL168" s="38"/>
      <c r="BM168" s="20"/>
      <c r="BN168" s="102">
        <f t="shared" si="33"/>
        <v>0</v>
      </c>
      <c r="BO168" s="47">
        <f t="shared" si="34"/>
        <v>0</v>
      </c>
      <c r="BP168" s="631">
        <f>INDEX('1月'!$B$4:$BQ$375,MATCH('2月'!B168,'1月'!$B$4:$B$375,0),67)+BN168</f>
        <v>0</v>
      </c>
      <c r="BQ168" s="702">
        <f>INDEX('1月'!$B$4:$BQ$375,MATCH('2月'!B168,'1月'!$B$4:$B$375,0),68)+BO168</f>
        <v>0</v>
      </c>
    </row>
    <row r="169" spans="2:69" s="6" customFormat="1" ht="45" customHeight="1">
      <c r="B169" s="201" t="str">
        <f>'1月'!$B$169</f>
        <v>川守田　拓</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0"/>
      <c r="AG169" s="15"/>
      <c r="AH169" s="18"/>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37"/>
      <c r="BK169" s="15"/>
      <c r="BL169" s="37"/>
      <c r="BM169" s="14"/>
      <c r="BN169" s="102">
        <f t="shared" si="33"/>
        <v>0</v>
      </c>
      <c r="BO169" s="47">
        <f t="shared" si="34"/>
        <v>0</v>
      </c>
      <c r="BP169" s="631">
        <f>INDEX('1月'!$B$4:$BQ$375,MATCH('2月'!B169,'1月'!$B$4:$B$375,0),67)+BN169</f>
        <v>0</v>
      </c>
      <c r="BQ169" s="702">
        <f>INDEX('1月'!$B$4:$BQ$375,MATCH('2月'!B169,'1月'!$B$4:$B$375,0),68)+BO169</f>
        <v>0</v>
      </c>
    </row>
    <row r="170" spans="2:69" s="6" customFormat="1" ht="45" customHeight="1">
      <c r="B170" s="201" t="str">
        <f>'1月'!$B$170</f>
        <v>坂井田　一徳</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37"/>
      <c r="BK170" s="15"/>
      <c r="BL170" s="37"/>
      <c r="BM170" s="14"/>
      <c r="BN170" s="102">
        <f t="shared" si="33"/>
        <v>0</v>
      </c>
      <c r="BO170" s="47">
        <f t="shared" si="34"/>
        <v>0</v>
      </c>
      <c r="BP170" s="631">
        <f>INDEX('1月'!$B$4:$BQ$375,MATCH('2月'!B170,'1月'!$B$4:$B$375,0),67)+BN170</f>
        <v>0</v>
      </c>
      <c r="BQ170" s="702">
        <f>INDEX('1月'!$B$4:$BQ$375,MATCH('2月'!B170,'1月'!$B$4:$B$375,0),68)+BO170</f>
        <v>0</v>
      </c>
    </row>
    <row r="171" spans="2:69" s="6" customFormat="1" ht="45" customHeight="1">
      <c r="B171" s="201" t="str">
        <f>'1月'!$B$171</f>
        <v>坂口　典子</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37"/>
      <c r="BK171" s="15"/>
      <c r="BL171" s="37"/>
      <c r="BM171" s="14"/>
      <c r="BN171" s="102">
        <f t="shared" si="33"/>
        <v>0</v>
      </c>
      <c r="BO171" s="47">
        <f t="shared" si="34"/>
        <v>0</v>
      </c>
      <c r="BP171" s="631">
        <f>INDEX('1月'!$B$4:$BQ$375,MATCH('2月'!B171,'1月'!$B$4:$B$375,0),67)+BN171</f>
        <v>0</v>
      </c>
      <c r="BQ171" s="702">
        <f>INDEX('1月'!$B$4:$BQ$375,MATCH('2月'!B171,'1月'!$B$4:$B$375,0),68)+BO171</f>
        <v>0</v>
      </c>
    </row>
    <row r="172" spans="2:69" s="6" customFormat="1" ht="45" customHeight="1">
      <c r="B172" s="207" t="str">
        <f>'1月'!$B$172</f>
        <v>佐々木　清</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37"/>
      <c r="BK172" s="15"/>
      <c r="BL172" s="37"/>
      <c r="BM172" s="14"/>
      <c r="BN172" s="102">
        <f t="shared" si="33"/>
        <v>0</v>
      </c>
      <c r="BO172" s="47">
        <f t="shared" si="34"/>
        <v>0</v>
      </c>
      <c r="BP172" s="631">
        <f>INDEX('1月'!$B$4:$BQ$375,MATCH('2月'!B172,'1月'!$B$4:$B$375,0),67)+BN172</f>
        <v>0</v>
      </c>
      <c r="BQ172" s="702">
        <f>INDEX('1月'!$B$4:$BQ$375,MATCH('2月'!B172,'1月'!$B$4:$B$375,0),68)+BO172</f>
        <v>0</v>
      </c>
    </row>
    <row r="173" spans="2:69" s="6" customFormat="1" ht="45" customHeight="1">
      <c r="B173" s="201" t="str">
        <f>'1月'!$B$173</f>
        <v>佐々木　亮</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37"/>
      <c r="BK173" s="15"/>
      <c r="BL173" s="37"/>
      <c r="BM173" s="14"/>
      <c r="BN173" s="102">
        <f t="shared" si="33"/>
        <v>0</v>
      </c>
      <c r="BO173" s="47">
        <f t="shared" si="34"/>
        <v>0</v>
      </c>
      <c r="BP173" s="631">
        <f>INDEX('1月'!$B$4:$BQ$375,MATCH('2月'!B173,'1月'!$B$4:$B$375,0),67)+BN173</f>
        <v>2</v>
      </c>
      <c r="BQ173" s="702">
        <f>INDEX('1月'!$B$4:$BQ$375,MATCH('2月'!B173,'1月'!$B$4:$B$375,0),68)+BO173</f>
        <v>2</v>
      </c>
    </row>
    <row r="174" spans="2:69" s="6" customFormat="1" ht="45" customHeight="1">
      <c r="B174" s="201" t="str">
        <f>'1月'!$B$174</f>
        <v>佐々木　めぐみ</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0"/>
      <c r="AG174" s="21"/>
      <c r="AH174" s="18"/>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38"/>
      <c r="BK174" s="21"/>
      <c r="BL174" s="38"/>
      <c r="BM174" s="20"/>
      <c r="BN174" s="102">
        <f t="shared" si="33"/>
        <v>0</v>
      </c>
      <c r="BO174" s="47">
        <f t="shared" si="34"/>
        <v>0</v>
      </c>
      <c r="BP174" s="631">
        <f>INDEX('1月'!$B$4:$BQ$375,MATCH('2月'!B174,'1月'!$B$4:$B$375,0),67)+BN174</f>
        <v>0</v>
      </c>
      <c r="BQ174" s="702">
        <f>INDEX('1月'!$B$4:$BQ$375,MATCH('2月'!B174,'1月'!$B$4:$B$375,0),68)+BO174</f>
        <v>0</v>
      </c>
    </row>
    <row r="175" spans="2:69" s="6" customFormat="1" ht="45" customHeight="1">
      <c r="B175" s="201" t="str">
        <f>'1月'!$B$175</f>
        <v>佐藤　弘子</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0"/>
      <c r="AG175" s="15"/>
      <c r="AH175" s="18"/>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37"/>
      <c r="BK175" s="15"/>
      <c r="BL175" s="37"/>
      <c r="BM175" s="14"/>
      <c r="BN175" s="102">
        <f t="shared" si="33"/>
        <v>0</v>
      </c>
      <c r="BO175" s="47">
        <f t="shared" si="34"/>
        <v>0</v>
      </c>
      <c r="BP175" s="631">
        <f>INDEX('1月'!$B$4:$BQ$375,MATCH('2月'!B175,'1月'!$B$4:$B$375,0),67)+BN175</f>
        <v>0</v>
      </c>
      <c r="BQ175" s="702">
        <f>INDEX('1月'!$B$4:$BQ$375,MATCH('2月'!B175,'1月'!$B$4:$B$375,0),68)+BO175</f>
        <v>0</v>
      </c>
    </row>
    <row r="176" spans="2:69" s="6" customFormat="1" ht="45" customHeight="1">
      <c r="B176" s="201" t="str">
        <f>'1月'!$B$176</f>
        <v>白戸　祐理</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37"/>
      <c r="BK176" s="15"/>
      <c r="BL176" s="37"/>
      <c r="BM176" s="14"/>
      <c r="BN176" s="102">
        <f t="shared" si="33"/>
        <v>0</v>
      </c>
      <c r="BO176" s="47">
        <f t="shared" si="34"/>
        <v>0</v>
      </c>
      <c r="BP176" s="631">
        <f>INDEX('1月'!$B$4:$BQ$375,MATCH('2月'!B176,'1月'!$B$4:$B$375,0),67)+BN176</f>
        <v>0</v>
      </c>
      <c r="BQ176" s="702">
        <f>INDEX('1月'!$B$4:$BQ$375,MATCH('2月'!B176,'1月'!$B$4:$B$375,0),68)+BO176</f>
        <v>0</v>
      </c>
    </row>
    <row r="177" spans="2:69" s="6" customFormat="1" ht="45" customHeight="1">
      <c r="B177" s="201" t="str">
        <f>'1月'!$B$177</f>
        <v>高橋　勤</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37"/>
      <c r="BK177" s="15"/>
      <c r="BL177" s="37"/>
      <c r="BM177" s="14"/>
      <c r="BN177" s="102">
        <f t="shared" si="33"/>
        <v>0</v>
      </c>
      <c r="BO177" s="47">
        <f t="shared" si="34"/>
        <v>0</v>
      </c>
      <c r="BP177" s="631">
        <f>INDEX('1月'!$B$4:$BQ$375,MATCH('2月'!B177,'1月'!$B$4:$B$375,0),67)+BN177</f>
        <v>0</v>
      </c>
      <c r="BQ177" s="702">
        <f>INDEX('1月'!$B$4:$BQ$375,MATCH('2月'!B177,'1月'!$B$4:$B$375,0),68)+BO177</f>
        <v>0</v>
      </c>
    </row>
    <row r="178" spans="2:69" s="6" customFormat="1" ht="45" customHeight="1">
      <c r="B178" s="201" t="str">
        <f>'1月'!$B$178</f>
        <v>高橋　真理子</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37"/>
      <c r="BK178" s="15"/>
      <c r="BL178" s="37"/>
      <c r="BM178" s="14"/>
      <c r="BN178" s="102">
        <f t="shared" si="33"/>
        <v>0</v>
      </c>
      <c r="BO178" s="47">
        <f t="shared" si="34"/>
        <v>0</v>
      </c>
      <c r="BP178" s="631">
        <f>INDEX('1月'!$B$4:$BQ$375,MATCH('2月'!B178,'1月'!$B$4:$B$375,0),67)+BN178</f>
        <v>0</v>
      </c>
      <c r="BQ178" s="702">
        <f>INDEX('1月'!$B$4:$BQ$375,MATCH('2月'!B178,'1月'!$B$4:$B$375,0),68)+BO178</f>
        <v>0</v>
      </c>
    </row>
    <row r="179" spans="2:69" s="6" customFormat="1" ht="45" customHeight="1">
      <c r="B179" s="201" t="str">
        <f>'1月'!$B$179</f>
        <v>田中　幸子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37"/>
      <c r="BK179" s="15"/>
      <c r="BL179" s="37"/>
      <c r="BM179" s="14"/>
      <c r="BN179" s="102">
        <f t="shared" si="33"/>
        <v>0</v>
      </c>
      <c r="BO179" s="47">
        <f t="shared" si="34"/>
        <v>0</v>
      </c>
      <c r="BP179" s="631">
        <f>INDEX('1月'!$B$4:$BQ$375,MATCH('2月'!B179,'1月'!$B$4:$B$375,0),67)+BN179</f>
        <v>0</v>
      </c>
      <c r="BQ179" s="702">
        <f>INDEX('1月'!$B$4:$BQ$375,MATCH('2月'!B179,'1月'!$B$4:$B$375,0),68)+BO179</f>
        <v>0</v>
      </c>
    </row>
    <row r="180" spans="2:69" s="6" customFormat="1" ht="45" customHeight="1">
      <c r="B180" s="201" t="str">
        <f>'1月'!$B$180</f>
        <v>田名部　夢生</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37"/>
      <c r="BK180" s="15"/>
      <c r="BL180" s="37"/>
      <c r="BM180" s="14"/>
      <c r="BN180" s="102">
        <f t="shared" si="33"/>
        <v>0</v>
      </c>
      <c r="BO180" s="47">
        <f t="shared" si="34"/>
        <v>0</v>
      </c>
      <c r="BP180" s="631">
        <f>INDEX('1月'!$B$4:$BQ$375,MATCH('2月'!B180,'1月'!$B$4:$B$375,0),67)+BN180</f>
        <v>0</v>
      </c>
      <c r="BQ180" s="702">
        <f>INDEX('1月'!$B$4:$BQ$375,MATCH('2月'!B180,'1月'!$B$4:$B$375,0),68)+BO180</f>
        <v>0</v>
      </c>
    </row>
    <row r="181" spans="2:69" s="6" customFormat="1" ht="45" customHeight="1">
      <c r="B181" s="201" t="str">
        <f>'1月'!$B$181</f>
        <v>丹治　祐介</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0"/>
      <c r="AG181" s="21"/>
      <c r="AH181" s="18"/>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38"/>
      <c r="BK181" s="21"/>
      <c r="BL181" s="38"/>
      <c r="BM181" s="20"/>
      <c r="BN181" s="102">
        <f t="shared" si="33"/>
        <v>0</v>
      </c>
      <c r="BO181" s="47">
        <f t="shared" si="34"/>
        <v>0</v>
      </c>
      <c r="BP181" s="631">
        <f>INDEX('1月'!$B$4:$BQ$375,MATCH('2月'!B181,'1月'!$B$4:$B$375,0),67)+BN181</f>
        <v>0</v>
      </c>
      <c r="BQ181" s="702">
        <f>INDEX('1月'!$B$4:$BQ$375,MATCH('2月'!B181,'1月'!$B$4:$B$375,0),68)+BO181</f>
        <v>0</v>
      </c>
    </row>
    <row r="182" spans="2:69" s="6" customFormat="1" ht="45" customHeight="1">
      <c r="B182" s="201" t="str">
        <f>'1月'!$B$182</f>
        <v>中里　郁子</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0"/>
      <c r="AG182" s="15"/>
      <c r="AH182" s="18"/>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37"/>
      <c r="BK182" s="15"/>
      <c r="BL182" s="37"/>
      <c r="BM182" s="14"/>
      <c r="BN182" s="102">
        <f t="shared" si="33"/>
        <v>0</v>
      </c>
      <c r="BO182" s="47">
        <f t="shared" si="34"/>
        <v>0</v>
      </c>
      <c r="BP182" s="631">
        <f>INDEX('1月'!$B$4:$BQ$375,MATCH('2月'!B182,'1月'!$B$4:$B$375,0),67)+BN182</f>
        <v>0</v>
      </c>
      <c r="BQ182" s="702">
        <f>INDEX('1月'!$B$4:$BQ$375,MATCH('2月'!B182,'1月'!$B$4:$B$375,0),68)+BO182</f>
        <v>0</v>
      </c>
    </row>
    <row r="183" spans="2:69" s="6" customFormat="1" ht="45" customHeight="1">
      <c r="B183" s="201" t="str">
        <f>'1月'!$B$183</f>
        <v>中屋敷　蓉子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37"/>
      <c r="BK183" s="15"/>
      <c r="BL183" s="37"/>
      <c r="BM183" s="14"/>
      <c r="BN183" s="102">
        <f t="shared" si="33"/>
        <v>0</v>
      </c>
      <c r="BO183" s="47">
        <f t="shared" si="34"/>
        <v>0</v>
      </c>
      <c r="BP183" s="631">
        <f>INDEX('1月'!$B$4:$BQ$375,MATCH('2月'!B183,'1月'!$B$4:$B$375,0),67)+BN183</f>
        <v>0</v>
      </c>
      <c r="BQ183" s="702">
        <f>INDEX('1月'!$B$4:$BQ$375,MATCH('2月'!B183,'1月'!$B$4:$B$375,0),68)+BO183</f>
        <v>0</v>
      </c>
    </row>
    <row r="184" spans="2:69" s="6" customFormat="1" ht="45" customHeight="1">
      <c r="B184" s="201" t="str">
        <f>'1月'!$B$184</f>
        <v>成田　和史</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37"/>
      <c r="BK184" s="15"/>
      <c r="BL184" s="37"/>
      <c r="BM184" s="14"/>
      <c r="BN184" s="102">
        <f t="shared" si="33"/>
        <v>0</v>
      </c>
      <c r="BO184" s="47">
        <f t="shared" si="34"/>
        <v>0</v>
      </c>
      <c r="BP184" s="631">
        <f>INDEX('1月'!$B$4:$BQ$375,MATCH('2月'!B184,'1月'!$B$4:$B$375,0),67)+BN184</f>
        <v>0</v>
      </c>
      <c r="BQ184" s="702">
        <f>INDEX('1月'!$B$4:$BQ$375,MATCH('2月'!B184,'1月'!$B$4:$B$375,0),68)+BO184</f>
        <v>0</v>
      </c>
    </row>
    <row r="185" spans="2:69" s="6" customFormat="1" ht="45" customHeight="1">
      <c r="B185" s="201" t="str">
        <f>'1月'!$B$185</f>
        <v>沼田　智子</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37"/>
      <c r="BK185" s="15"/>
      <c r="BL185" s="37"/>
      <c r="BM185" s="14"/>
      <c r="BN185" s="102">
        <f t="shared" si="33"/>
        <v>0</v>
      </c>
      <c r="BO185" s="47">
        <f t="shared" si="34"/>
        <v>0</v>
      </c>
      <c r="BP185" s="631">
        <f>INDEX('1月'!$B$4:$BQ$375,MATCH('2月'!B185,'1月'!$B$4:$B$375,0),67)+BN185</f>
        <v>0</v>
      </c>
      <c r="BQ185" s="702">
        <f>INDEX('1月'!$B$4:$BQ$375,MATCH('2月'!B185,'1月'!$B$4:$B$375,0),68)+BO185</f>
        <v>0</v>
      </c>
    </row>
    <row r="186" spans="2:69" s="6" customFormat="1" ht="45" customHeight="1">
      <c r="B186" s="201" t="str">
        <f>'1月'!$B$186</f>
        <v>松井　蓮奈</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37"/>
      <c r="BK186" s="15"/>
      <c r="BL186" s="37"/>
      <c r="BM186" s="14"/>
      <c r="BN186" s="102">
        <f t="shared" si="33"/>
        <v>0</v>
      </c>
      <c r="BO186" s="47">
        <f t="shared" si="34"/>
        <v>0</v>
      </c>
      <c r="BP186" s="631">
        <f>INDEX('1月'!$B$4:$BQ$375,MATCH('2月'!B186,'1月'!$B$4:$B$375,0),67)+BN186</f>
        <v>0</v>
      </c>
      <c r="BQ186" s="702">
        <f>INDEX('1月'!$B$4:$BQ$375,MATCH('2月'!B186,'1月'!$B$4:$B$375,0),68)+BO186</f>
        <v>0</v>
      </c>
    </row>
    <row r="187" spans="2:69" s="6" customFormat="1" ht="45" customHeight="1">
      <c r="B187" s="201" t="str">
        <f>'1月'!$B$187</f>
        <v>山内　まゆみ</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37"/>
      <c r="BK187" s="15"/>
      <c r="BL187" s="37"/>
      <c r="BM187" s="14"/>
      <c r="BN187" s="102">
        <f t="shared" si="33"/>
        <v>0</v>
      </c>
      <c r="BO187" s="47">
        <f t="shared" si="34"/>
        <v>0</v>
      </c>
      <c r="BP187" s="631">
        <f>INDEX('1月'!$B$4:$BQ$375,MATCH('2月'!B187,'1月'!$B$4:$B$375,0),67)+BN187</f>
        <v>0</v>
      </c>
      <c r="BQ187" s="702">
        <f>INDEX('1月'!$B$4:$BQ$375,MATCH('2月'!B187,'1月'!$B$4:$B$375,0),68)+BO187</f>
        <v>0</v>
      </c>
    </row>
    <row r="188" spans="2:69" s="6" customFormat="1" ht="45" customHeight="1">
      <c r="B188" s="201" t="str">
        <f>'1月'!$B$188</f>
        <v>山上　幸子</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37"/>
      <c r="BK188" s="15"/>
      <c r="BL188" s="37"/>
      <c r="BM188" s="14"/>
      <c r="BN188" s="102">
        <f t="shared" si="33"/>
        <v>0</v>
      </c>
      <c r="BO188" s="47">
        <f t="shared" si="34"/>
        <v>0</v>
      </c>
      <c r="BP188" s="631">
        <f>INDEX('1月'!$B$4:$BQ$375,MATCH('2月'!B188,'1月'!$B$4:$B$375,0),67)+BN188</f>
        <v>0</v>
      </c>
      <c r="BQ188" s="702">
        <f>INDEX('1月'!$B$4:$BQ$375,MATCH('2月'!B188,'1月'!$B$4:$B$375,0),68)+BO188</f>
        <v>0</v>
      </c>
    </row>
    <row r="189" spans="2:69" s="6" customFormat="1" ht="45" customHeight="1">
      <c r="B189" s="201" t="str">
        <f>'1月'!$B$189</f>
        <v>類家　順</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18"/>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37"/>
      <c r="BK189" s="15"/>
      <c r="BL189" s="37"/>
      <c r="BM189" s="14"/>
      <c r="BN189" s="102">
        <f t="shared" si="33"/>
        <v>0</v>
      </c>
      <c r="BO189" s="47">
        <f t="shared" si="34"/>
        <v>0</v>
      </c>
      <c r="BP189" s="631">
        <f>INDEX('1月'!$B$4:$BQ$375,MATCH('2月'!B189,'1月'!$B$4:$B$375,0),67)+BN189</f>
        <v>0</v>
      </c>
      <c r="BQ189" s="702">
        <f>INDEX('1月'!$B$4:$BQ$375,MATCH('2月'!B189,'1月'!$B$4:$B$375,0),68)+BO189</f>
        <v>0</v>
      </c>
    </row>
    <row r="190" spans="2:69" s="6" customFormat="1" ht="45" customHeight="1">
      <c r="B190" s="201"/>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0"/>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37"/>
      <c r="BK190" s="15"/>
      <c r="BL190" s="37"/>
      <c r="BM190" s="14"/>
      <c r="BN190" s="102">
        <f t="shared" si="33"/>
        <v>0</v>
      </c>
      <c r="BO190" s="47">
        <f t="shared" si="34"/>
        <v>0</v>
      </c>
      <c r="BP190" s="631"/>
      <c r="BQ190" s="559"/>
    </row>
    <row r="191" spans="2:69" s="6" customFormat="1" ht="45" customHeight="1">
      <c r="B191" s="201"/>
      <c r="C191" s="147"/>
      <c r="D191" s="50"/>
      <c r="E191" s="20"/>
      <c r="F191" s="50"/>
      <c r="G191" s="20"/>
      <c r="H191" s="50"/>
      <c r="I191" s="20"/>
      <c r="J191" s="50"/>
      <c r="K191" s="20"/>
      <c r="L191" s="50"/>
      <c r="M191" s="20"/>
      <c r="N191" s="50"/>
      <c r="O191" s="20"/>
      <c r="P191" s="50"/>
      <c r="Q191" s="20"/>
      <c r="R191" s="50"/>
      <c r="S191" s="20"/>
      <c r="T191" s="50"/>
      <c r="U191" s="20"/>
      <c r="V191" s="50"/>
      <c r="W191" s="20"/>
      <c r="X191" s="50"/>
      <c r="Y191" s="20"/>
      <c r="Z191" s="50"/>
      <c r="AA191" s="20"/>
      <c r="AB191" s="50"/>
      <c r="AC191" s="20"/>
      <c r="AD191" s="50"/>
      <c r="AE191" s="20"/>
      <c r="AF191" s="50"/>
      <c r="AG191" s="21"/>
      <c r="AH191" s="50"/>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38"/>
      <c r="BK191" s="21"/>
      <c r="BL191" s="38"/>
      <c r="BM191" s="20"/>
      <c r="BN191" s="102">
        <f t="shared" si="33"/>
        <v>0</v>
      </c>
      <c r="BO191" s="47">
        <f t="shared" si="34"/>
        <v>0</v>
      </c>
      <c r="BP191" s="631"/>
      <c r="BQ191" s="559"/>
    </row>
    <row r="192" spans="2:69" s="6" customFormat="1" ht="15.95" customHeight="1">
      <c r="B192" s="201"/>
      <c r="C192" s="153"/>
      <c r="D192" s="50"/>
      <c r="E192" s="20"/>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0"/>
      <c r="AG192" s="21"/>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38"/>
      <c r="BK192" s="21"/>
      <c r="BL192" s="38"/>
      <c r="BM192" s="20"/>
      <c r="BN192" s="102">
        <f t="shared" si="33"/>
        <v>0</v>
      </c>
      <c r="BO192" s="47">
        <f t="shared" si="34"/>
        <v>0</v>
      </c>
      <c r="BP192" s="631"/>
      <c r="BQ192" s="559"/>
    </row>
    <row r="193" spans="2:69" s="6" customFormat="1" ht="15.95" customHeight="1">
      <c r="B193" s="201"/>
      <c r="C193" s="153"/>
      <c r="D193" s="50"/>
      <c r="E193" s="20"/>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0"/>
      <c r="AG193" s="21"/>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38"/>
      <c r="BK193" s="21"/>
      <c r="BL193" s="38"/>
      <c r="BM193" s="20"/>
      <c r="BN193" s="102">
        <f t="shared" si="33"/>
        <v>0</v>
      </c>
      <c r="BO193" s="47">
        <f t="shared" si="34"/>
        <v>0</v>
      </c>
      <c r="BP193" s="631"/>
      <c r="BQ193" s="559"/>
    </row>
    <row r="194" spans="2:69" s="6" customFormat="1" ht="15.95" customHeight="1">
      <c r="B194" s="201"/>
      <c r="C194" s="153"/>
      <c r="D194" s="324"/>
      <c r="E194" s="20"/>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0"/>
      <c r="AG194" s="21"/>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38"/>
      <c r="BK194" s="21"/>
      <c r="BL194" s="38"/>
      <c r="BM194" s="20"/>
      <c r="BN194" s="102">
        <f t="shared" si="33"/>
        <v>0</v>
      </c>
      <c r="BO194" s="47">
        <f t="shared" si="34"/>
        <v>0</v>
      </c>
      <c r="BP194" s="631"/>
      <c r="BQ194" s="559"/>
    </row>
    <row r="195" spans="2:69" s="6" customFormat="1" ht="15.95" customHeight="1" thickBot="1">
      <c r="B195" s="204"/>
      <c r="C195" s="153"/>
      <c r="D195" s="325"/>
      <c r="E195" s="24"/>
      <c r="F195" s="48"/>
      <c r="G195" s="24"/>
      <c r="H195" s="48"/>
      <c r="I195" s="24"/>
      <c r="J195" s="48"/>
      <c r="K195" s="24"/>
      <c r="L195" s="48"/>
      <c r="M195" s="24"/>
      <c r="N195" s="48"/>
      <c r="O195" s="24"/>
      <c r="P195" s="48"/>
      <c r="Q195" s="24"/>
      <c r="R195" s="48"/>
      <c r="S195" s="24"/>
      <c r="T195" s="48"/>
      <c r="U195" s="24"/>
      <c r="V195" s="48"/>
      <c r="W195" s="24"/>
      <c r="X195" s="48"/>
      <c r="Y195" s="24"/>
      <c r="Z195" s="48"/>
      <c r="AA195" s="24"/>
      <c r="AB195" s="48"/>
      <c r="AC195" s="24"/>
      <c r="AD195" s="48"/>
      <c r="AE195" s="24"/>
      <c r="AF195" s="48"/>
      <c r="AG195" s="25"/>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38"/>
      <c r="BK195" s="21"/>
      <c r="BL195" s="38"/>
      <c r="BM195" s="20"/>
      <c r="BN195" s="102">
        <f t="shared" si="33"/>
        <v>0</v>
      </c>
      <c r="BO195" s="47">
        <f t="shared" si="34"/>
        <v>0</v>
      </c>
      <c r="BP195" s="631"/>
      <c r="BQ195" s="559"/>
    </row>
    <row r="196" spans="2:69" s="6" customFormat="1" ht="39" customHeight="1" thickBot="1">
      <c r="B196" s="119" t="s">
        <v>462</v>
      </c>
      <c r="C196" s="149"/>
      <c r="D196" s="29">
        <f>SUM(D166:D195)</f>
        <v>0</v>
      </c>
      <c r="E196" s="31">
        <f t="shared" ref="E196:AG196" si="35">SUM(E166:E195)</f>
        <v>0</v>
      </c>
      <c r="F196" s="29">
        <f t="shared" si="35"/>
        <v>0</v>
      </c>
      <c r="G196" s="31">
        <f t="shared" si="35"/>
        <v>0</v>
      </c>
      <c r="H196" s="29">
        <f t="shared" si="35"/>
        <v>0</v>
      </c>
      <c r="I196" s="31">
        <f t="shared" si="35"/>
        <v>0</v>
      </c>
      <c r="J196" s="29">
        <f t="shared" si="35"/>
        <v>0</v>
      </c>
      <c r="K196" s="31">
        <f t="shared" si="35"/>
        <v>0</v>
      </c>
      <c r="L196" s="29">
        <f t="shared" si="35"/>
        <v>0</v>
      </c>
      <c r="M196" s="31">
        <f t="shared" si="35"/>
        <v>0</v>
      </c>
      <c r="N196" s="29">
        <f t="shared" si="35"/>
        <v>0</v>
      </c>
      <c r="O196" s="31">
        <f t="shared" si="35"/>
        <v>0</v>
      </c>
      <c r="P196" s="29">
        <f t="shared" si="35"/>
        <v>0</v>
      </c>
      <c r="Q196" s="31">
        <f t="shared" si="35"/>
        <v>0</v>
      </c>
      <c r="R196" s="29">
        <f t="shared" si="35"/>
        <v>0</v>
      </c>
      <c r="S196" s="31">
        <f t="shared" si="35"/>
        <v>0</v>
      </c>
      <c r="T196" s="29">
        <f t="shared" si="35"/>
        <v>0</v>
      </c>
      <c r="U196" s="31">
        <f t="shared" si="35"/>
        <v>0</v>
      </c>
      <c r="V196" s="29">
        <f t="shared" si="35"/>
        <v>0</v>
      </c>
      <c r="W196" s="31">
        <f t="shared" si="35"/>
        <v>0</v>
      </c>
      <c r="X196" s="29">
        <f t="shared" si="35"/>
        <v>0</v>
      </c>
      <c r="Y196" s="31">
        <f t="shared" si="35"/>
        <v>0</v>
      </c>
      <c r="Z196" s="29">
        <f t="shared" si="35"/>
        <v>0</v>
      </c>
      <c r="AA196" s="31">
        <f t="shared" si="35"/>
        <v>0</v>
      </c>
      <c r="AB196" s="29">
        <f t="shared" si="35"/>
        <v>0</v>
      </c>
      <c r="AC196" s="31">
        <f t="shared" si="35"/>
        <v>0</v>
      </c>
      <c r="AD196" s="29">
        <f t="shared" si="35"/>
        <v>0</v>
      </c>
      <c r="AE196" s="31">
        <f t="shared" si="35"/>
        <v>0</v>
      </c>
      <c r="AF196" s="29">
        <f t="shared" si="35"/>
        <v>0</v>
      </c>
      <c r="AG196" s="41">
        <f t="shared" si="35"/>
        <v>0</v>
      </c>
      <c r="AH196" s="29">
        <f>SUM(AH166:AH195)</f>
        <v>0</v>
      </c>
      <c r="AI196" s="31">
        <f t="shared" ref="AI196:BQ196" si="36">SUM(AI166:AI195)</f>
        <v>0</v>
      </c>
      <c r="AJ196" s="29">
        <f t="shared" si="36"/>
        <v>0</v>
      </c>
      <c r="AK196" s="31">
        <f t="shared" si="36"/>
        <v>0</v>
      </c>
      <c r="AL196" s="29">
        <f t="shared" si="36"/>
        <v>0</v>
      </c>
      <c r="AM196" s="31">
        <f t="shared" si="36"/>
        <v>0</v>
      </c>
      <c r="AN196" s="29">
        <f t="shared" si="36"/>
        <v>0</v>
      </c>
      <c r="AO196" s="31">
        <f t="shared" si="36"/>
        <v>0</v>
      </c>
      <c r="AP196" s="29">
        <f t="shared" si="36"/>
        <v>0</v>
      </c>
      <c r="AQ196" s="31">
        <f t="shared" si="36"/>
        <v>0</v>
      </c>
      <c r="AR196" s="29">
        <f t="shared" si="36"/>
        <v>0</v>
      </c>
      <c r="AS196" s="31">
        <f t="shared" si="36"/>
        <v>0</v>
      </c>
      <c r="AT196" s="29">
        <f t="shared" si="36"/>
        <v>0</v>
      </c>
      <c r="AU196" s="31">
        <f t="shared" si="36"/>
        <v>0</v>
      </c>
      <c r="AV196" s="29">
        <f t="shared" si="36"/>
        <v>0</v>
      </c>
      <c r="AW196" s="31">
        <f t="shared" si="36"/>
        <v>0</v>
      </c>
      <c r="AX196" s="29">
        <f t="shared" si="36"/>
        <v>0</v>
      </c>
      <c r="AY196" s="31">
        <f t="shared" si="36"/>
        <v>0</v>
      </c>
      <c r="AZ196" s="29">
        <f t="shared" si="36"/>
        <v>0</v>
      </c>
      <c r="BA196" s="31">
        <f t="shared" si="36"/>
        <v>0</v>
      </c>
      <c r="BB196" s="29">
        <f t="shared" si="36"/>
        <v>0</v>
      </c>
      <c r="BC196" s="31">
        <f t="shared" si="36"/>
        <v>0</v>
      </c>
      <c r="BD196" s="29">
        <f t="shared" si="36"/>
        <v>0</v>
      </c>
      <c r="BE196" s="31">
        <f t="shared" si="36"/>
        <v>0</v>
      </c>
      <c r="BF196" s="29">
        <f t="shared" si="36"/>
        <v>0</v>
      </c>
      <c r="BG196" s="31">
        <f t="shared" si="36"/>
        <v>0</v>
      </c>
      <c r="BH196" s="29">
        <f t="shared" si="36"/>
        <v>0</v>
      </c>
      <c r="BI196" s="31">
        <f t="shared" si="36"/>
        <v>0</v>
      </c>
      <c r="BJ196" s="39">
        <f t="shared" si="36"/>
        <v>0</v>
      </c>
      <c r="BK196" s="41">
        <f t="shared" si="36"/>
        <v>0</v>
      </c>
      <c r="BL196" s="39">
        <f t="shared" si="36"/>
        <v>0</v>
      </c>
      <c r="BM196" s="31">
        <f t="shared" si="36"/>
        <v>0</v>
      </c>
      <c r="BN196" s="32">
        <f t="shared" si="36"/>
        <v>0</v>
      </c>
      <c r="BO196" s="40">
        <f t="shared" si="36"/>
        <v>0</v>
      </c>
      <c r="BP196" s="255">
        <f t="shared" si="36"/>
        <v>2</v>
      </c>
      <c r="BQ196" s="241">
        <f t="shared" si="36"/>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43" t="s">
        <v>218</v>
      </c>
      <c r="C199" s="749">
        <f>COUNTIF(B202:B220,"*")</f>
        <v>15</v>
      </c>
      <c r="D199" s="751">
        <v>1</v>
      </c>
      <c r="E199" s="738"/>
      <c r="F199" s="737">
        <v>2</v>
      </c>
      <c r="G199" s="738"/>
      <c r="H199" s="737">
        <v>3</v>
      </c>
      <c r="I199" s="738"/>
      <c r="J199" s="737">
        <v>4</v>
      </c>
      <c r="K199" s="738"/>
      <c r="L199" s="737">
        <v>5</v>
      </c>
      <c r="M199" s="738"/>
      <c r="N199" s="737">
        <v>6</v>
      </c>
      <c r="O199" s="738"/>
      <c r="P199" s="737">
        <v>7</v>
      </c>
      <c r="Q199" s="738"/>
      <c r="R199" s="737">
        <v>8</v>
      </c>
      <c r="S199" s="738"/>
      <c r="T199" s="737">
        <v>9</v>
      </c>
      <c r="U199" s="738"/>
      <c r="V199" s="737">
        <v>10</v>
      </c>
      <c r="W199" s="738"/>
      <c r="X199" s="737">
        <v>11</v>
      </c>
      <c r="Y199" s="738"/>
      <c r="Z199" s="737">
        <v>12</v>
      </c>
      <c r="AA199" s="738"/>
      <c r="AB199" s="737">
        <v>13</v>
      </c>
      <c r="AC199" s="738"/>
      <c r="AD199" s="737">
        <v>14</v>
      </c>
      <c r="AE199" s="738"/>
      <c r="AF199" s="737">
        <v>15</v>
      </c>
      <c r="AG199" s="784"/>
      <c r="AH199" s="741">
        <v>16</v>
      </c>
      <c r="AI199" s="741"/>
      <c r="AJ199" s="741">
        <v>17</v>
      </c>
      <c r="AK199" s="741"/>
      <c r="AL199" s="741">
        <v>18</v>
      </c>
      <c r="AM199" s="741"/>
      <c r="AN199" s="741">
        <v>19</v>
      </c>
      <c r="AO199" s="741"/>
      <c r="AP199" s="741">
        <v>20</v>
      </c>
      <c r="AQ199" s="741"/>
      <c r="AR199" s="741">
        <v>21</v>
      </c>
      <c r="AS199" s="741"/>
      <c r="AT199" s="741">
        <v>22</v>
      </c>
      <c r="AU199" s="741"/>
      <c r="AV199" s="741">
        <v>23</v>
      </c>
      <c r="AW199" s="741"/>
      <c r="AX199" s="741">
        <v>24</v>
      </c>
      <c r="AY199" s="741"/>
      <c r="AZ199" s="741">
        <v>25</v>
      </c>
      <c r="BA199" s="741"/>
      <c r="BB199" s="741">
        <v>26</v>
      </c>
      <c r="BC199" s="741"/>
      <c r="BD199" s="741">
        <v>27</v>
      </c>
      <c r="BE199" s="741"/>
      <c r="BF199" s="741">
        <v>28</v>
      </c>
      <c r="BG199" s="741"/>
      <c r="BH199" s="741">
        <v>29</v>
      </c>
      <c r="BI199" s="741"/>
      <c r="BJ199" s="741">
        <v>30</v>
      </c>
      <c r="BK199" s="741"/>
      <c r="BL199" s="741">
        <v>31</v>
      </c>
      <c r="BM199" s="741"/>
      <c r="BN199" s="738" t="s">
        <v>251</v>
      </c>
      <c r="BO199" s="760"/>
      <c r="BP199" s="771" t="s">
        <v>353</v>
      </c>
      <c r="BQ199" s="772"/>
    </row>
    <row r="200" spans="2:69" ht="24.95" customHeight="1">
      <c r="B200" s="744"/>
      <c r="C200" s="747"/>
      <c r="D200" s="752" t="str">
        <f>D2</f>
        <v>土</v>
      </c>
      <c r="E200" s="740"/>
      <c r="F200" s="739" t="str">
        <f>F2</f>
        <v>日</v>
      </c>
      <c r="G200" s="740"/>
      <c r="H200" s="739" t="str">
        <f>H2</f>
        <v>月</v>
      </c>
      <c r="I200" s="740"/>
      <c r="J200" s="739" t="str">
        <f>J2</f>
        <v>火</v>
      </c>
      <c r="K200" s="740"/>
      <c r="L200" s="739" t="str">
        <f>L2</f>
        <v>水</v>
      </c>
      <c r="M200" s="740"/>
      <c r="N200" s="739" t="str">
        <f>N2</f>
        <v>木</v>
      </c>
      <c r="O200" s="740"/>
      <c r="P200" s="739" t="str">
        <f>P2</f>
        <v>金</v>
      </c>
      <c r="Q200" s="740"/>
      <c r="R200" s="739" t="str">
        <f>R2</f>
        <v>土</v>
      </c>
      <c r="S200" s="740"/>
      <c r="T200" s="739" t="str">
        <f>T2</f>
        <v>日</v>
      </c>
      <c r="U200" s="740"/>
      <c r="V200" s="739" t="str">
        <f>V2</f>
        <v>月</v>
      </c>
      <c r="W200" s="740"/>
      <c r="X200" s="739" t="str">
        <f>X2</f>
        <v>火</v>
      </c>
      <c r="Y200" s="740"/>
      <c r="Z200" s="739" t="str">
        <f>Z2</f>
        <v>水</v>
      </c>
      <c r="AA200" s="740"/>
      <c r="AB200" s="739" t="str">
        <f>AB2</f>
        <v>木</v>
      </c>
      <c r="AC200" s="740"/>
      <c r="AD200" s="739" t="str">
        <f>AD2</f>
        <v>金</v>
      </c>
      <c r="AE200" s="740"/>
      <c r="AF200" s="739" t="str">
        <f>AF2</f>
        <v>土</v>
      </c>
      <c r="AG200" s="740"/>
      <c r="AH200" s="786" t="str">
        <f>AH2</f>
        <v>日</v>
      </c>
      <c r="AI200" s="767"/>
      <c r="AJ200" s="770" t="str">
        <f>AJ2</f>
        <v>月</v>
      </c>
      <c r="AK200" s="770"/>
      <c r="AL200" s="770" t="str">
        <f>AL2</f>
        <v>火</v>
      </c>
      <c r="AM200" s="770"/>
      <c r="AN200" s="770" t="str">
        <f>AN2</f>
        <v>水</v>
      </c>
      <c r="AO200" s="770"/>
      <c r="AP200" s="770" t="str">
        <f>AP2</f>
        <v>木</v>
      </c>
      <c r="AQ200" s="770"/>
      <c r="AR200" s="770" t="str">
        <f>AR2</f>
        <v>金</v>
      </c>
      <c r="AS200" s="770"/>
      <c r="AT200" s="770" t="str">
        <f>AT2</f>
        <v>土</v>
      </c>
      <c r="AU200" s="770"/>
      <c r="AV200" s="770" t="str">
        <f>AV2</f>
        <v>日</v>
      </c>
      <c r="AW200" s="770"/>
      <c r="AX200" s="770" t="str">
        <f>AX2</f>
        <v>月</v>
      </c>
      <c r="AY200" s="770"/>
      <c r="AZ200" s="770" t="str">
        <f>AZ2</f>
        <v>火</v>
      </c>
      <c r="BA200" s="770"/>
      <c r="BB200" s="770" t="str">
        <f>BB2</f>
        <v>水</v>
      </c>
      <c r="BC200" s="770"/>
      <c r="BD200" s="770" t="str">
        <f>BD2</f>
        <v>木</v>
      </c>
      <c r="BE200" s="770"/>
      <c r="BF200" s="770" t="str">
        <f>BF2</f>
        <v>金</v>
      </c>
      <c r="BG200" s="770"/>
      <c r="BH200" s="770" t="str">
        <f>BH2</f>
        <v>土</v>
      </c>
      <c r="BI200" s="770"/>
      <c r="BJ200" s="770" t="str">
        <f>BJ2</f>
        <v>日</v>
      </c>
      <c r="BK200" s="770"/>
      <c r="BL200" s="770" t="str">
        <f>BL2</f>
        <v>月</v>
      </c>
      <c r="BM200" s="770"/>
      <c r="BN200" s="761"/>
      <c r="BO200" s="762"/>
      <c r="BP200" s="773"/>
      <c r="BQ200" s="774"/>
    </row>
    <row r="201" spans="2:69" ht="24.95" customHeight="1" thickBot="1">
      <c r="B201" s="748"/>
      <c r="C201" s="750"/>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4" t="s">
        <v>73</v>
      </c>
      <c r="AH201" s="92"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tr">
        <f>'1月'!$B$202</f>
        <v>赤坂　輝明</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10"/>
      <c r="AH202" s="89"/>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179"/>
      <c r="BK202" s="10"/>
      <c r="BL202" s="179"/>
      <c r="BM202" s="9"/>
      <c r="BN202" s="102">
        <f>SUM(D202,F202,H202,J202,L202,N202,P202,R202,T202,V202,X202,Z202,AB202,AD202,AF202,AH202,AJ202,AL202,AN202,AP202,AR202,AT202,AV202,AX202,AZ202,BB202,BD202,BF202,BH202,BJ202,BL202)</f>
        <v>0</v>
      </c>
      <c r="BO202" s="47">
        <f>SUM(E202,G202,I202,K202,M202,O202,Q202,S202,U202,W202,Y202,AA202,AC202,AE202,AG202,AI202,AK202,AM202,AO202,AQ202,AS202,AU202,AW202,AY202,BA202,BC202,BE202,BG202,BI202,BK202,BM202)</f>
        <v>0</v>
      </c>
      <c r="BP202" s="631">
        <f>INDEX('1月'!$B$4:$BQ$375,MATCH('2月'!B202,'1月'!$B$4:$B$375,0),67)+BN202</f>
        <v>0</v>
      </c>
      <c r="BQ202" s="702">
        <f>INDEX('1月'!$B$4:$BQ$375,MATCH('2月'!B202,'1月'!$B$4:$B$375,0),68)+BO202</f>
        <v>0</v>
      </c>
    </row>
    <row r="203" spans="2:69" s="6" customFormat="1" ht="50.1" customHeight="1">
      <c r="B203" s="201" t="str">
        <f>'1月'!$B$203</f>
        <v>岩間　留理子</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18"/>
      <c r="AG203" s="15"/>
      <c r="AH203" s="18"/>
      <c r="AI203" s="14"/>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37"/>
      <c r="BK203" s="15"/>
      <c r="BL203" s="37"/>
      <c r="BM203" s="14"/>
      <c r="BN203" s="102">
        <f t="shared" ref="BN203:BN220" si="37">SUM(D203,F203,H203,J203,L203,N203,P203,R203,T203,V203,X203,Z203,AB203,AD203,AF203,AH203,AJ203,AL203,AN203,AP203,AR203,AT203,AV203,AX203,AZ203,BB203,BD203,BF203,BH203,BJ203,BL203)</f>
        <v>0</v>
      </c>
      <c r="BO203" s="47">
        <f t="shared" ref="BO203:BO220" si="38">SUM(E203,G203,I203,K203,M203,O203,Q203,S203,U203,W203,Y203,AA203,AC203,AE203,AG203,AI203,AK203,AM203,AO203,AQ203,AS203,AU203,AW203,AY203,BA203,BC203,BE203,BG203,BI203,BK203,BM203)</f>
        <v>0</v>
      </c>
      <c r="BP203" s="631">
        <f>INDEX('1月'!$B$4:$BQ$375,MATCH('2月'!B203,'1月'!$B$4:$B$375,0),67)+BN203</f>
        <v>0</v>
      </c>
      <c r="BQ203" s="702">
        <f>INDEX('1月'!$B$4:$BQ$375,MATCH('2月'!B203,'1月'!$B$4:$B$375,0),68)+BO203</f>
        <v>0</v>
      </c>
    </row>
    <row r="204" spans="2:69" s="6" customFormat="1" ht="50.1" customHeight="1">
      <c r="B204" s="201" t="str">
        <f>'1月'!$B$204</f>
        <v>奥谷　和広</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0"/>
      <c r="AG204" s="21"/>
      <c r="AH204" s="50"/>
      <c r="AI204" s="20"/>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38"/>
      <c r="BK204" s="21"/>
      <c r="BL204" s="38"/>
      <c r="BM204" s="20"/>
      <c r="BN204" s="102">
        <f t="shared" si="37"/>
        <v>0</v>
      </c>
      <c r="BO204" s="47">
        <f t="shared" si="38"/>
        <v>0</v>
      </c>
      <c r="BP204" s="631">
        <f>INDEX('1月'!$B$4:$BQ$375,MATCH('2月'!B204,'1月'!$B$4:$B$375,0),67)+BN204</f>
        <v>0</v>
      </c>
      <c r="BQ204" s="702">
        <f>INDEX('1月'!$B$4:$BQ$375,MATCH('2月'!B204,'1月'!$B$4:$B$375,0),68)+BO204</f>
        <v>0</v>
      </c>
    </row>
    <row r="205" spans="2:69" s="6" customFormat="1" ht="50.1" customHeight="1">
      <c r="B205" s="201" t="str">
        <f>'1月'!$B$205</f>
        <v>熊野　大助</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0"/>
      <c r="AG205" s="15"/>
      <c r="AH205" s="50"/>
      <c r="AI205" s="14"/>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37"/>
      <c r="BK205" s="15"/>
      <c r="BL205" s="37"/>
      <c r="BM205" s="14"/>
      <c r="BN205" s="102">
        <f t="shared" si="37"/>
        <v>0</v>
      </c>
      <c r="BO205" s="47">
        <f t="shared" si="38"/>
        <v>0</v>
      </c>
      <c r="BP205" s="631">
        <f>INDEX('1月'!$B$4:$BQ$375,MATCH('2月'!B205,'1月'!$B$4:$B$375,0),67)+BN205</f>
        <v>0</v>
      </c>
      <c r="BQ205" s="702">
        <f>INDEX('1月'!$B$4:$BQ$375,MATCH('2月'!B205,'1月'!$B$4:$B$375,0),68)+BO205</f>
        <v>0</v>
      </c>
    </row>
    <row r="206" spans="2:69" s="6" customFormat="1" ht="50.1" customHeight="1">
      <c r="B206" s="201" t="str">
        <f>'1月'!$B$206</f>
        <v>熊野　実佳</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37"/>
      <c r="BK206" s="15"/>
      <c r="BL206" s="37"/>
      <c r="BM206" s="14"/>
      <c r="BN206" s="102">
        <f t="shared" si="37"/>
        <v>0</v>
      </c>
      <c r="BO206" s="47">
        <f t="shared" si="38"/>
        <v>0</v>
      </c>
      <c r="BP206" s="631">
        <f>INDEX('1月'!$B$4:$BQ$375,MATCH('2月'!B206,'1月'!$B$4:$B$375,0),67)+BN206</f>
        <v>0</v>
      </c>
      <c r="BQ206" s="702">
        <f>INDEX('1月'!$B$4:$BQ$375,MATCH('2月'!B206,'1月'!$B$4:$B$375,0),68)+BO206</f>
        <v>0</v>
      </c>
    </row>
    <row r="207" spans="2:69" s="6" customFormat="1" ht="50.1" customHeight="1">
      <c r="B207" s="201" t="str">
        <f>'1月'!$B$207</f>
        <v>坂本　里美</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37"/>
      <c r="BK207" s="15"/>
      <c r="BL207" s="37"/>
      <c r="BM207" s="14"/>
      <c r="BN207" s="102">
        <f t="shared" si="37"/>
        <v>0</v>
      </c>
      <c r="BO207" s="47">
        <f t="shared" si="38"/>
        <v>0</v>
      </c>
      <c r="BP207" s="631">
        <f>INDEX('1月'!$B$4:$BQ$375,MATCH('2月'!B207,'1月'!$B$4:$B$375,0),67)+BN207</f>
        <v>0</v>
      </c>
      <c r="BQ207" s="702">
        <f>INDEX('1月'!$B$4:$BQ$375,MATCH('2月'!B207,'1月'!$B$4:$B$375,0),68)+BO207</f>
        <v>0</v>
      </c>
    </row>
    <row r="208" spans="2:69" s="6" customFormat="1" ht="50.1" customHeight="1">
      <c r="B208" s="201" t="str">
        <f>'1月'!$B$208</f>
        <v>佐々木　寛人</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37"/>
      <c r="BK208" s="15"/>
      <c r="BL208" s="37"/>
      <c r="BM208" s="14"/>
      <c r="BN208" s="102">
        <f t="shared" si="37"/>
        <v>0</v>
      </c>
      <c r="BO208" s="47">
        <f t="shared" si="38"/>
        <v>0</v>
      </c>
      <c r="BP208" s="631">
        <f>INDEX('1月'!$B$4:$BQ$375,MATCH('2月'!B208,'1月'!$B$4:$B$375,0),67)+BN208</f>
        <v>0</v>
      </c>
      <c r="BQ208" s="702">
        <f>INDEX('1月'!$B$4:$BQ$375,MATCH('2月'!B208,'1月'!$B$4:$B$375,0),68)+BO208</f>
        <v>0</v>
      </c>
    </row>
    <row r="209" spans="2:69" s="6" customFormat="1" ht="50.1" customHeight="1">
      <c r="B209" s="201" t="str">
        <f>'1月'!$B$209</f>
        <v>佐藤　範和</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37"/>
      <c r="BK209" s="15"/>
      <c r="BL209" s="37"/>
      <c r="BM209" s="14"/>
      <c r="BN209" s="102">
        <f t="shared" si="37"/>
        <v>0</v>
      </c>
      <c r="BO209" s="47">
        <f t="shared" si="38"/>
        <v>0</v>
      </c>
      <c r="BP209" s="631">
        <f>INDEX('1月'!$B$4:$BQ$375,MATCH('2月'!B209,'1月'!$B$4:$B$375,0),67)+BN209</f>
        <v>0</v>
      </c>
      <c r="BQ209" s="702">
        <f>INDEX('1月'!$B$4:$BQ$375,MATCH('2月'!B209,'1月'!$B$4:$B$375,0),68)+BO209</f>
        <v>0</v>
      </c>
    </row>
    <row r="210" spans="2:69" s="6" customFormat="1" ht="50.1" customHeight="1">
      <c r="B210" s="201" t="str">
        <f>'1月'!$B$210</f>
        <v>白坂　弘幸</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37"/>
      <c r="BK210" s="15"/>
      <c r="BL210" s="37"/>
      <c r="BM210" s="14"/>
      <c r="BN210" s="102">
        <f t="shared" si="37"/>
        <v>0</v>
      </c>
      <c r="BO210" s="47">
        <f t="shared" si="38"/>
        <v>0</v>
      </c>
      <c r="BP210" s="631">
        <f>INDEX('1月'!$B$4:$BQ$375,MATCH('2月'!B210,'1月'!$B$4:$B$375,0),67)+BN210</f>
        <v>3</v>
      </c>
      <c r="BQ210" s="702">
        <f>INDEX('1月'!$B$4:$BQ$375,MATCH('2月'!B210,'1月'!$B$4:$B$375,0),68)+BO210</f>
        <v>3</v>
      </c>
    </row>
    <row r="211" spans="2:69" s="6" customFormat="1" ht="50.1" customHeight="1">
      <c r="B211" s="201" t="str">
        <f>'1月'!$B$211</f>
        <v>髙橋　桐子</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37"/>
      <c r="BK211" s="15"/>
      <c r="BL211" s="37"/>
      <c r="BM211" s="14"/>
      <c r="BN211" s="102">
        <f t="shared" si="37"/>
        <v>0</v>
      </c>
      <c r="BO211" s="47">
        <f t="shared" si="38"/>
        <v>0</v>
      </c>
      <c r="BP211" s="631">
        <f>INDEX('1月'!$B$4:$BQ$375,MATCH('2月'!B211,'1月'!$B$4:$B$375,0),67)+BN211</f>
        <v>0</v>
      </c>
      <c r="BQ211" s="702">
        <f>INDEX('1月'!$B$4:$BQ$375,MATCH('2月'!B211,'1月'!$B$4:$B$375,0),68)+BO211</f>
        <v>0</v>
      </c>
    </row>
    <row r="212" spans="2:69" s="6" customFormat="1" ht="50.1" customHeight="1">
      <c r="B212" s="201" t="str">
        <f>'1月'!$B$212</f>
        <v>瀧口　健史</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0"/>
      <c r="AG212" s="21"/>
      <c r="AH212" s="50"/>
      <c r="AI212" s="20"/>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38"/>
      <c r="BK212" s="21"/>
      <c r="BL212" s="38"/>
      <c r="BM212" s="20"/>
      <c r="BN212" s="102">
        <f t="shared" si="37"/>
        <v>0</v>
      </c>
      <c r="BO212" s="47">
        <f t="shared" si="38"/>
        <v>0</v>
      </c>
      <c r="BP212" s="631">
        <f>INDEX('1月'!$B$4:$BQ$375,MATCH('2月'!B212,'1月'!$B$4:$B$375,0),67)+BN212</f>
        <v>0</v>
      </c>
      <c r="BQ212" s="702">
        <f>INDEX('1月'!$B$4:$BQ$375,MATCH('2月'!B212,'1月'!$B$4:$B$375,0),68)+BO212</f>
        <v>0</v>
      </c>
    </row>
    <row r="213" spans="2:69" s="6" customFormat="1" ht="50.1" customHeight="1">
      <c r="B213" s="201" t="str">
        <f>'1月'!$B$213</f>
        <v>田端　克昭</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0"/>
      <c r="AG213" s="15"/>
      <c r="AH213" s="50"/>
      <c r="AI213" s="14"/>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37"/>
      <c r="BK213" s="15"/>
      <c r="BL213" s="37"/>
      <c r="BM213" s="14"/>
      <c r="BN213" s="102">
        <f t="shared" si="37"/>
        <v>0</v>
      </c>
      <c r="BO213" s="47">
        <f t="shared" si="38"/>
        <v>0</v>
      </c>
      <c r="BP213" s="631">
        <f>INDEX('1月'!$B$4:$BQ$375,MATCH('2月'!B213,'1月'!$B$4:$B$375,0),67)+BN213</f>
        <v>0</v>
      </c>
      <c r="BQ213" s="702">
        <f>INDEX('1月'!$B$4:$BQ$375,MATCH('2月'!B213,'1月'!$B$4:$B$375,0),68)+BO213</f>
        <v>0</v>
      </c>
    </row>
    <row r="214" spans="2:69" s="6" customFormat="1" ht="50.1" customHeight="1">
      <c r="B214" s="201" t="str">
        <f>'1月'!$B$214</f>
        <v>中村　ゆかり</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37"/>
      <c r="BK214" s="15"/>
      <c r="BL214" s="37"/>
      <c r="BM214" s="14"/>
      <c r="BN214" s="102">
        <f t="shared" si="37"/>
        <v>0</v>
      </c>
      <c r="BO214" s="47">
        <f t="shared" si="38"/>
        <v>0</v>
      </c>
      <c r="BP214" s="631">
        <f>INDEX('1月'!$B$4:$BQ$375,MATCH('2月'!B214,'1月'!$B$4:$B$375,0),67)+BN214</f>
        <v>0</v>
      </c>
      <c r="BQ214" s="702">
        <f>INDEX('1月'!$B$4:$BQ$375,MATCH('2月'!B214,'1月'!$B$4:$B$375,0),68)+BO214</f>
        <v>0</v>
      </c>
    </row>
    <row r="215" spans="2:69" s="6" customFormat="1" ht="50.1" customHeight="1">
      <c r="B215" s="201" t="str">
        <f>'1月'!$B$215</f>
        <v>新井谷　恵美子</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37"/>
      <c r="BK215" s="15"/>
      <c r="BL215" s="37"/>
      <c r="BM215" s="14"/>
      <c r="BN215" s="102">
        <f t="shared" si="37"/>
        <v>0</v>
      </c>
      <c r="BO215" s="47">
        <f t="shared" si="38"/>
        <v>0</v>
      </c>
      <c r="BP215" s="631">
        <f>INDEX('1月'!$B$4:$BQ$375,MATCH('2月'!B215,'1月'!$B$4:$B$375,0),67)+BN215</f>
        <v>0</v>
      </c>
      <c r="BQ215" s="702">
        <f>INDEX('1月'!$B$4:$BQ$375,MATCH('2月'!B215,'1月'!$B$4:$B$375,0),68)+BO215</f>
        <v>0</v>
      </c>
    </row>
    <row r="216" spans="2:69" s="6" customFormat="1" ht="50.1" customHeight="1">
      <c r="B216" s="201" t="str">
        <f>'1月'!$B$216</f>
        <v>林　悠</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18"/>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37"/>
      <c r="BK216" s="15"/>
      <c r="BL216" s="37"/>
      <c r="BM216" s="14"/>
      <c r="BN216" s="102">
        <f t="shared" si="37"/>
        <v>0</v>
      </c>
      <c r="BO216" s="47">
        <f t="shared" si="38"/>
        <v>0</v>
      </c>
      <c r="BP216" s="631">
        <f>INDEX('1月'!$B$4:$BQ$375,MATCH('2月'!B216,'1月'!$B$4:$B$375,0),67)+BN216</f>
        <v>0</v>
      </c>
      <c r="BQ216" s="702">
        <f>INDEX('1月'!$B$4:$BQ$375,MATCH('2月'!B216,'1月'!$B$4:$B$375,0),68)+BO216</f>
        <v>0</v>
      </c>
    </row>
    <row r="217" spans="2:69" s="6" customFormat="1" ht="15.95" customHeight="1">
      <c r="B217" s="154">
        <f>'1月'!$B$217</f>
        <v>0</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37"/>
      <c r="BK217" s="15"/>
      <c r="BL217" s="37"/>
      <c r="BM217" s="14"/>
      <c r="BN217" s="102">
        <f t="shared" si="37"/>
        <v>0</v>
      </c>
      <c r="BO217" s="47">
        <f t="shared" si="38"/>
        <v>0</v>
      </c>
      <c r="BP217" s="631"/>
      <c r="BQ217" s="559"/>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37"/>
      <c r="BK218" s="15"/>
      <c r="BL218" s="37"/>
      <c r="BM218" s="14"/>
      <c r="BN218" s="102">
        <f t="shared" si="37"/>
        <v>0</v>
      </c>
      <c r="BO218" s="47">
        <f t="shared" si="38"/>
        <v>0</v>
      </c>
      <c r="BP218" s="631"/>
      <c r="BQ218" s="559"/>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37"/>
      <c r="BK219" s="15"/>
      <c r="BL219" s="37"/>
      <c r="BM219" s="14"/>
      <c r="BN219" s="102">
        <f t="shared" si="37"/>
        <v>0</v>
      </c>
      <c r="BO219" s="47">
        <f t="shared" si="38"/>
        <v>0</v>
      </c>
      <c r="BP219" s="631"/>
      <c r="BQ219" s="559"/>
    </row>
    <row r="220" spans="2:69" s="6" customFormat="1" ht="15.95" customHeight="1" thickBot="1">
      <c r="B220" s="157">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50"/>
      <c r="AI220" s="20"/>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38"/>
      <c r="BK220" s="21"/>
      <c r="BL220" s="38"/>
      <c r="BM220" s="20"/>
      <c r="BN220" s="102">
        <f t="shared" si="37"/>
        <v>0</v>
      </c>
      <c r="BO220" s="47">
        <f t="shared" si="38"/>
        <v>0</v>
      </c>
      <c r="BP220" s="631"/>
      <c r="BQ220" s="559"/>
    </row>
    <row r="221" spans="2:69" s="6" customFormat="1" ht="39" customHeight="1" thickBot="1">
      <c r="B221" s="119" t="s">
        <v>101</v>
      </c>
      <c r="C221" s="149"/>
      <c r="D221" s="29">
        <f t="shared" ref="D221:BM221" si="39">SUM(D202:D220)</f>
        <v>0</v>
      </c>
      <c r="E221" s="31">
        <f t="shared" si="39"/>
        <v>0</v>
      </c>
      <c r="F221" s="29">
        <f t="shared" si="39"/>
        <v>0</v>
      </c>
      <c r="G221" s="31">
        <f t="shared" si="39"/>
        <v>0</v>
      </c>
      <c r="H221" s="29">
        <f t="shared" si="39"/>
        <v>0</v>
      </c>
      <c r="I221" s="31">
        <f t="shared" si="39"/>
        <v>0</v>
      </c>
      <c r="J221" s="29">
        <f t="shared" si="39"/>
        <v>0</v>
      </c>
      <c r="K221" s="31">
        <f t="shared" si="39"/>
        <v>0</v>
      </c>
      <c r="L221" s="29">
        <f t="shared" si="39"/>
        <v>0</v>
      </c>
      <c r="M221" s="31">
        <f t="shared" si="39"/>
        <v>0</v>
      </c>
      <c r="N221" s="29">
        <f t="shared" si="39"/>
        <v>0</v>
      </c>
      <c r="O221" s="31">
        <f t="shared" si="39"/>
        <v>0</v>
      </c>
      <c r="P221" s="29">
        <f t="shared" si="39"/>
        <v>0</v>
      </c>
      <c r="Q221" s="31">
        <f t="shared" si="39"/>
        <v>0</v>
      </c>
      <c r="R221" s="29">
        <f t="shared" si="39"/>
        <v>0</v>
      </c>
      <c r="S221" s="31">
        <f t="shared" si="39"/>
        <v>0</v>
      </c>
      <c r="T221" s="29">
        <f t="shared" si="39"/>
        <v>0</v>
      </c>
      <c r="U221" s="31">
        <f t="shared" si="39"/>
        <v>0</v>
      </c>
      <c r="V221" s="29">
        <f t="shared" si="39"/>
        <v>0</v>
      </c>
      <c r="W221" s="31">
        <f t="shared" si="39"/>
        <v>0</v>
      </c>
      <c r="X221" s="29">
        <f t="shared" si="39"/>
        <v>0</v>
      </c>
      <c r="Y221" s="31">
        <f t="shared" si="39"/>
        <v>0</v>
      </c>
      <c r="Z221" s="29">
        <f t="shared" si="39"/>
        <v>0</v>
      </c>
      <c r="AA221" s="31">
        <f t="shared" si="39"/>
        <v>0</v>
      </c>
      <c r="AB221" s="29">
        <f t="shared" si="39"/>
        <v>0</v>
      </c>
      <c r="AC221" s="31">
        <f t="shared" si="39"/>
        <v>0</v>
      </c>
      <c r="AD221" s="29">
        <f t="shared" si="39"/>
        <v>0</v>
      </c>
      <c r="AE221" s="31">
        <f t="shared" si="39"/>
        <v>0</v>
      </c>
      <c r="AF221" s="29">
        <f t="shared" si="39"/>
        <v>0</v>
      </c>
      <c r="AG221" s="41">
        <f t="shared" si="39"/>
        <v>0</v>
      </c>
      <c r="AH221" s="29">
        <f t="shared" si="39"/>
        <v>0</v>
      </c>
      <c r="AI221" s="31">
        <f t="shared" si="39"/>
        <v>0</v>
      </c>
      <c r="AJ221" s="29">
        <f t="shared" si="39"/>
        <v>0</v>
      </c>
      <c r="AK221" s="31">
        <f t="shared" si="39"/>
        <v>0</v>
      </c>
      <c r="AL221" s="29">
        <f t="shared" si="39"/>
        <v>0</v>
      </c>
      <c r="AM221" s="31">
        <f t="shared" si="39"/>
        <v>0</v>
      </c>
      <c r="AN221" s="29">
        <f t="shared" si="39"/>
        <v>0</v>
      </c>
      <c r="AO221" s="31">
        <f t="shared" si="39"/>
        <v>0</v>
      </c>
      <c r="AP221" s="29">
        <f t="shared" si="39"/>
        <v>0</v>
      </c>
      <c r="AQ221" s="31">
        <f t="shared" si="39"/>
        <v>0</v>
      </c>
      <c r="AR221" s="29">
        <f t="shared" si="39"/>
        <v>0</v>
      </c>
      <c r="AS221" s="31">
        <f t="shared" si="39"/>
        <v>0</v>
      </c>
      <c r="AT221" s="29">
        <f t="shared" si="39"/>
        <v>0</v>
      </c>
      <c r="AU221" s="31">
        <f t="shared" si="39"/>
        <v>0</v>
      </c>
      <c r="AV221" s="29">
        <f t="shared" si="39"/>
        <v>0</v>
      </c>
      <c r="AW221" s="31">
        <f t="shared" si="39"/>
        <v>0</v>
      </c>
      <c r="AX221" s="29">
        <f t="shared" si="39"/>
        <v>0</v>
      </c>
      <c r="AY221" s="31">
        <f t="shared" si="39"/>
        <v>0</v>
      </c>
      <c r="AZ221" s="29">
        <f t="shared" si="39"/>
        <v>0</v>
      </c>
      <c r="BA221" s="31">
        <f t="shared" si="39"/>
        <v>0</v>
      </c>
      <c r="BB221" s="29">
        <f t="shared" si="39"/>
        <v>0</v>
      </c>
      <c r="BC221" s="31">
        <f t="shared" si="39"/>
        <v>0</v>
      </c>
      <c r="BD221" s="29">
        <f t="shared" si="39"/>
        <v>0</v>
      </c>
      <c r="BE221" s="31">
        <f t="shared" si="39"/>
        <v>0</v>
      </c>
      <c r="BF221" s="29">
        <f t="shared" si="39"/>
        <v>0</v>
      </c>
      <c r="BG221" s="31">
        <f t="shared" si="39"/>
        <v>0</v>
      </c>
      <c r="BH221" s="29">
        <f t="shared" si="39"/>
        <v>0</v>
      </c>
      <c r="BI221" s="31">
        <f t="shared" si="39"/>
        <v>0</v>
      </c>
      <c r="BJ221" s="39">
        <f t="shared" si="39"/>
        <v>0</v>
      </c>
      <c r="BK221" s="41">
        <f t="shared" si="39"/>
        <v>0</v>
      </c>
      <c r="BL221" s="30">
        <f t="shared" si="39"/>
        <v>0</v>
      </c>
      <c r="BM221" s="41">
        <f t="shared" si="39"/>
        <v>0</v>
      </c>
      <c r="BN221" s="32">
        <f>SUM(BN202:BN220)</f>
        <v>0</v>
      </c>
      <c r="BO221" s="40">
        <f>SUM(BO202:BO220)</f>
        <v>0</v>
      </c>
      <c r="BP221" s="256">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43" t="s">
        <v>89</v>
      </c>
      <c r="C224" s="749">
        <f>COUNTIF(B227:B245,"*")</f>
        <v>18</v>
      </c>
      <c r="D224" s="751">
        <v>1</v>
      </c>
      <c r="E224" s="738"/>
      <c r="F224" s="737">
        <v>2</v>
      </c>
      <c r="G224" s="738"/>
      <c r="H224" s="737">
        <v>3</v>
      </c>
      <c r="I224" s="738"/>
      <c r="J224" s="737">
        <v>4</v>
      </c>
      <c r="K224" s="738"/>
      <c r="L224" s="737">
        <v>5</v>
      </c>
      <c r="M224" s="738"/>
      <c r="N224" s="737">
        <v>6</v>
      </c>
      <c r="O224" s="738"/>
      <c r="P224" s="737">
        <v>7</v>
      </c>
      <c r="Q224" s="738"/>
      <c r="R224" s="737">
        <v>8</v>
      </c>
      <c r="S224" s="738"/>
      <c r="T224" s="737">
        <v>9</v>
      </c>
      <c r="U224" s="738"/>
      <c r="V224" s="737">
        <v>10</v>
      </c>
      <c r="W224" s="738"/>
      <c r="X224" s="737">
        <v>11</v>
      </c>
      <c r="Y224" s="738"/>
      <c r="Z224" s="737">
        <v>12</v>
      </c>
      <c r="AA224" s="738"/>
      <c r="AB224" s="737">
        <v>13</v>
      </c>
      <c r="AC224" s="738"/>
      <c r="AD224" s="737">
        <v>14</v>
      </c>
      <c r="AE224" s="738"/>
      <c r="AF224" s="737">
        <v>15</v>
      </c>
      <c r="AG224" s="784"/>
      <c r="AH224" s="787">
        <v>16</v>
      </c>
      <c r="AI224" s="761"/>
      <c r="AJ224" s="775">
        <v>17</v>
      </c>
      <c r="AK224" s="761"/>
      <c r="AL224" s="775">
        <v>18</v>
      </c>
      <c r="AM224" s="761"/>
      <c r="AN224" s="775">
        <v>19</v>
      </c>
      <c r="AO224" s="761"/>
      <c r="AP224" s="775">
        <v>20</v>
      </c>
      <c r="AQ224" s="761"/>
      <c r="AR224" s="775">
        <v>21</v>
      </c>
      <c r="AS224" s="761"/>
      <c r="AT224" s="775">
        <v>22</v>
      </c>
      <c r="AU224" s="761"/>
      <c r="AV224" s="775">
        <v>23</v>
      </c>
      <c r="AW224" s="761"/>
      <c r="AX224" s="775">
        <v>24</v>
      </c>
      <c r="AY224" s="761"/>
      <c r="AZ224" s="775">
        <v>25</v>
      </c>
      <c r="BA224" s="761"/>
      <c r="BB224" s="775">
        <v>26</v>
      </c>
      <c r="BC224" s="761"/>
      <c r="BD224" s="775">
        <v>27</v>
      </c>
      <c r="BE224" s="761"/>
      <c r="BF224" s="775">
        <v>28</v>
      </c>
      <c r="BG224" s="761"/>
      <c r="BH224" s="775">
        <v>29</v>
      </c>
      <c r="BI224" s="761"/>
      <c r="BJ224" s="775">
        <v>30</v>
      </c>
      <c r="BK224" s="761"/>
      <c r="BL224" s="741">
        <v>31</v>
      </c>
      <c r="BM224" s="741"/>
      <c r="BN224" s="738" t="s">
        <v>251</v>
      </c>
      <c r="BO224" s="760"/>
      <c r="BP224" s="771" t="s">
        <v>353</v>
      </c>
      <c r="BQ224" s="772"/>
    </row>
    <row r="225" spans="2:69" ht="24.95" customHeight="1">
      <c r="B225" s="744"/>
      <c r="C225" s="747"/>
      <c r="D225" s="752" t="str">
        <f>D2</f>
        <v>土</v>
      </c>
      <c r="E225" s="740"/>
      <c r="F225" s="739" t="str">
        <f>F2</f>
        <v>日</v>
      </c>
      <c r="G225" s="740"/>
      <c r="H225" s="739" t="str">
        <f>H2</f>
        <v>月</v>
      </c>
      <c r="I225" s="740"/>
      <c r="J225" s="739" t="str">
        <f>J2</f>
        <v>火</v>
      </c>
      <c r="K225" s="740"/>
      <c r="L225" s="739" t="str">
        <f>L2</f>
        <v>水</v>
      </c>
      <c r="M225" s="740"/>
      <c r="N225" s="739" t="str">
        <f>N2</f>
        <v>木</v>
      </c>
      <c r="O225" s="740"/>
      <c r="P225" s="739" t="str">
        <f>P2</f>
        <v>金</v>
      </c>
      <c r="Q225" s="740"/>
      <c r="R225" s="739" t="str">
        <f>R2</f>
        <v>土</v>
      </c>
      <c r="S225" s="740"/>
      <c r="T225" s="739" t="str">
        <f>T2</f>
        <v>日</v>
      </c>
      <c r="U225" s="740"/>
      <c r="V225" s="739" t="str">
        <f>V2</f>
        <v>月</v>
      </c>
      <c r="W225" s="740"/>
      <c r="X225" s="739" t="str">
        <f>X2</f>
        <v>火</v>
      </c>
      <c r="Y225" s="740"/>
      <c r="Z225" s="739" t="str">
        <f>Z2</f>
        <v>水</v>
      </c>
      <c r="AA225" s="740"/>
      <c r="AB225" s="739" t="str">
        <f>AB2</f>
        <v>木</v>
      </c>
      <c r="AC225" s="740"/>
      <c r="AD225" s="739" t="str">
        <f>AD2</f>
        <v>金</v>
      </c>
      <c r="AE225" s="740"/>
      <c r="AF225" s="739" t="str">
        <f>AF2</f>
        <v>土</v>
      </c>
      <c r="AG225" s="740"/>
      <c r="AH225" s="786" t="str">
        <f>AH2</f>
        <v>日</v>
      </c>
      <c r="AI225" s="767"/>
      <c r="AJ225" s="770" t="str">
        <f>AJ2</f>
        <v>月</v>
      </c>
      <c r="AK225" s="770"/>
      <c r="AL225" s="770" t="str">
        <f>AL2</f>
        <v>火</v>
      </c>
      <c r="AM225" s="770"/>
      <c r="AN225" s="770" t="str">
        <f>AN2</f>
        <v>水</v>
      </c>
      <c r="AO225" s="770"/>
      <c r="AP225" s="770" t="str">
        <f>AP2</f>
        <v>木</v>
      </c>
      <c r="AQ225" s="770"/>
      <c r="AR225" s="770" t="str">
        <f>AR2</f>
        <v>金</v>
      </c>
      <c r="AS225" s="770"/>
      <c r="AT225" s="770" t="str">
        <f>AT2</f>
        <v>土</v>
      </c>
      <c r="AU225" s="770"/>
      <c r="AV225" s="770" t="str">
        <f>AV2</f>
        <v>日</v>
      </c>
      <c r="AW225" s="770"/>
      <c r="AX225" s="770" t="str">
        <f>AX2</f>
        <v>月</v>
      </c>
      <c r="AY225" s="770"/>
      <c r="AZ225" s="770" t="str">
        <f>AZ2</f>
        <v>火</v>
      </c>
      <c r="BA225" s="770"/>
      <c r="BB225" s="770" t="str">
        <f>BB2</f>
        <v>水</v>
      </c>
      <c r="BC225" s="770"/>
      <c r="BD225" s="770" t="str">
        <f>BD2</f>
        <v>木</v>
      </c>
      <c r="BE225" s="770"/>
      <c r="BF225" s="770" t="str">
        <f>BF2</f>
        <v>金</v>
      </c>
      <c r="BG225" s="770"/>
      <c r="BH225" s="770" t="str">
        <f>BH2</f>
        <v>土</v>
      </c>
      <c r="BI225" s="770"/>
      <c r="BJ225" s="770" t="str">
        <f>BJ2</f>
        <v>日</v>
      </c>
      <c r="BK225" s="770"/>
      <c r="BL225" s="770" t="str">
        <f>BL2</f>
        <v>月</v>
      </c>
      <c r="BM225" s="770"/>
      <c r="BN225" s="761"/>
      <c r="BO225" s="762"/>
      <c r="BP225" s="773"/>
      <c r="BQ225" s="774"/>
    </row>
    <row r="226" spans="2:69" ht="24.95" customHeight="1" thickBot="1">
      <c r="B226" s="744"/>
      <c r="C226" s="747"/>
      <c r="D226" s="482" t="s">
        <v>72</v>
      </c>
      <c r="E226" s="512" t="s">
        <v>73</v>
      </c>
      <c r="F226" s="511" t="s">
        <v>72</v>
      </c>
      <c r="G226" s="512" t="s">
        <v>73</v>
      </c>
      <c r="H226" s="511" t="s">
        <v>72</v>
      </c>
      <c r="I226" s="512" t="s">
        <v>73</v>
      </c>
      <c r="J226" s="482" t="s">
        <v>72</v>
      </c>
      <c r="K226" s="512" t="s">
        <v>73</v>
      </c>
      <c r="L226" s="482" t="s">
        <v>72</v>
      </c>
      <c r="M226" s="512" t="s">
        <v>73</v>
      </c>
      <c r="N226" s="482" t="s">
        <v>72</v>
      </c>
      <c r="O226" s="512" t="s">
        <v>73</v>
      </c>
      <c r="P226" s="482" t="s">
        <v>72</v>
      </c>
      <c r="Q226" s="512" t="s">
        <v>73</v>
      </c>
      <c r="R226" s="482" t="s">
        <v>72</v>
      </c>
      <c r="S226" s="512" t="s">
        <v>73</v>
      </c>
      <c r="T226" s="482" t="s">
        <v>72</v>
      </c>
      <c r="U226" s="512" t="s">
        <v>73</v>
      </c>
      <c r="V226" s="482" t="s">
        <v>72</v>
      </c>
      <c r="W226" s="512" t="s">
        <v>73</v>
      </c>
      <c r="X226" s="482" t="s">
        <v>72</v>
      </c>
      <c r="Y226" s="512" t="s">
        <v>73</v>
      </c>
      <c r="Z226" s="482" t="s">
        <v>72</v>
      </c>
      <c r="AA226" s="513" t="s">
        <v>73</v>
      </c>
      <c r="AB226" s="194" t="s">
        <v>72</v>
      </c>
      <c r="AC226" s="513" t="s">
        <v>73</v>
      </c>
      <c r="AD226" s="194" t="s">
        <v>72</v>
      </c>
      <c r="AE226" s="513" t="s">
        <v>73</v>
      </c>
      <c r="AF226" s="194" t="s">
        <v>72</v>
      </c>
      <c r="AG226" s="513" t="s">
        <v>73</v>
      </c>
      <c r="AH226" s="482" t="s">
        <v>72</v>
      </c>
      <c r="AI226" s="512"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thickTop="1">
      <c r="B227" s="203" t="str">
        <f>'1月'!$B$227</f>
        <v>八田　守立</v>
      </c>
      <c r="C227" s="152"/>
      <c r="D227" s="46"/>
      <c r="E227" s="9"/>
      <c r="F227" s="46"/>
      <c r="G227" s="9"/>
      <c r="H227" s="46"/>
      <c r="I227" s="9"/>
      <c r="J227" s="46"/>
      <c r="K227" s="9"/>
      <c r="L227" s="46"/>
      <c r="M227" s="9"/>
      <c r="N227" s="46"/>
      <c r="O227" s="9"/>
      <c r="P227" s="46"/>
      <c r="Q227" s="9"/>
      <c r="R227" s="46"/>
      <c r="S227" s="9"/>
      <c r="T227" s="46"/>
      <c r="U227" s="9"/>
      <c r="V227" s="46"/>
      <c r="W227" s="9"/>
      <c r="X227" s="46"/>
      <c r="Y227" s="9"/>
      <c r="Z227" s="46"/>
      <c r="AA227" s="9"/>
      <c r="AB227" s="46"/>
      <c r="AC227" s="9"/>
      <c r="AD227" s="46"/>
      <c r="AE227" s="9"/>
      <c r="AF227" s="46"/>
      <c r="AG227" s="10"/>
      <c r="AH227" s="46"/>
      <c r="AI227" s="9"/>
      <c r="AJ227" s="46"/>
      <c r="AK227" s="9"/>
      <c r="AL227" s="46"/>
      <c r="AM227" s="9"/>
      <c r="AN227" s="46"/>
      <c r="AO227" s="9"/>
      <c r="AP227" s="46"/>
      <c r="AQ227" s="9"/>
      <c r="AR227" s="46"/>
      <c r="AS227" s="9"/>
      <c r="AT227" s="46"/>
      <c r="AU227" s="9"/>
      <c r="AV227" s="46"/>
      <c r="AW227" s="9"/>
      <c r="AX227" s="46"/>
      <c r="AY227" s="9"/>
      <c r="AZ227" s="46"/>
      <c r="BA227" s="9"/>
      <c r="BB227" s="46"/>
      <c r="BC227" s="9"/>
      <c r="BD227" s="46"/>
      <c r="BE227" s="9"/>
      <c r="BF227" s="46"/>
      <c r="BG227" s="9"/>
      <c r="BH227" s="46"/>
      <c r="BI227" s="9"/>
      <c r="BJ227" s="179"/>
      <c r="BK227" s="10"/>
      <c r="BL227" s="179"/>
      <c r="BM227" s="9"/>
      <c r="BN227" s="102">
        <f t="shared" ref="BN227:BN245" si="40">SUM(D227,F227,H227,J227,L227,N227,P227,R227,T227,V227,X227,Z227,AB227,AD227,AF227,AH227,AJ227,AL227,AN227,AP227,AR227,AT227,AV227,AX227,AZ227,BB227,BD227,BF227,BH227,BJ227,BL227)</f>
        <v>0</v>
      </c>
      <c r="BO227" s="47">
        <f t="shared" ref="BO227:BO245" si="41">SUM(E227,G227,I227,K227,M227,O227,Q227,S227,U227,W227,Y227,AA227,AC227,AE227,AG227,AI227,AK227,AM227,AO227,AQ227,AS227,AU227,AW227,AY227,BA227,BC227,BE227,BG227,BI227,BK227,BM227)</f>
        <v>0</v>
      </c>
      <c r="BP227" s="631">
        <f>INDEX('1月'!$B$4:$BQ$375,MATCH('2月'!B227,'1月'!$B$4:$B$375,0),67)+BN227</f>
        <v>2</v>
      </c>
      <c r="BQ227" s="702">
        <f>INDEX('1月'!$B$4:$BQ$375,MATCH('2月'!B227,'1月'!$B$4:$B$375,0),68)+BO227</f>
        <v>3</v>
      </c>
    </row>
    <row r="228" spans="2:69" s="6" customFormat="1" ht="50.1" customHeight="1">
      <c r="B228" s="203" t="str">
        <f>'1月'!$B$228</f>
        <v>中村　充穂</v>
      </c>
      <c r="C228" s="146"/>
      <c r="D228" s="18"/>
      <c r="E228" s="14"/>
      <c r="F228" s="76"/>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18"/>
      <c r="AG228" s="15"/>
      <c r="AH228" s="18"/>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37"/>
      <c r="BK228" s="15"/>
      <c r="BL228" s="37"/>
      <c r="BM228" s="14"/>
      <c r="BN228" s="102">
        <f t="shared" si="40"/>
        <v>0</v>
      </c>
      <c r="BO228" s="47">
        <f t="shared" si="41"/>
        <v>0</v>
      </c>
      <c r="BP228" s="631">
        <f>INDEX('1月'!$B$4:$BQ$375,MATCH('2月'!B228,'1月'!$B$4:$B$375,0),67)+BN228</f>
        <v>0</v>
      </c>
      <c r="BQ228" s="702">
        <f>INDEX('1月'!$B$4:$BQ$375,MATCH('2月'!B228,'1月'!$B$4:$B$375,0),68)+BO228</f>
        <v>0</v>
      </c>
    </row>
    <row r="229" spans="2:69" s="6" customFormat="1" ht="50.1" customHeight="1">
      <c r="B229" s="203" t="str">
        <f>'1月'!$B$229</f>
        <v>八田　香菜子</v>
      </c>
      <c r="C229" s="146"/>
      <c r="D229" s="18"/>
      <c r="E229" s="14"/>
      <c r="F229" s="18"/>
      <c r="G229" s="14"/>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18"/>
      <c r="AG229" s="15"/>
      <c r="AH229" s="18"/>
      <c r="AI229" s="14"/>
      <c r="AJ229" s="18"/>
      <c r="AK229" s="14"/>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37"/>
      <c r="BK229" s="15"/>
      <c r="BL229" s="37"/>
      <c r="BM229" s="14"/>
      <c r="BN229" s="102">
        <f t="shared" si="40"/>
        <v>0</v>
      </c>
      <c r="BO229" s="47">
        <f t="shared" si="41"/>
        <v>0</v>
      </c>
      <c r="BP229" s="631">
        <f>INDEX('1月'!$B$4:$BQ$375,MATCH('2月'!B229,'1月'!$B$4:$B$375,0),67)+BN229</f>
        <v>5</v>
      </c>
      <c r="BQ229" s="702">
        <f>INDEX('1月'!$B$4:$BQ$375,MATCH('2月'!B229,'1月'!$B$4:$B$375,0),68)+BO229</f>
        <v>5</v>
      </c>
    </row>
    <row r="230" spans="2:69" s="6" customFormat="1" ht="50.1" customHeight="1">
      <c r="B230" s="203" t="str">
        <f>'1月'!$B$230</f>
        <v>八田　雄太</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37"/>
      <c r="BK230" s="15"/>
      <c r="BL230" s="37"/>
      <c r="BM230" s="14"/>
      <c r="BN230" s="102">
        <f t="shared" si="40"/>
        <v>0</v>
      </c>
      <c r="BO230" s="47">
        <f t="shared" si="41"/>
        <v>0</v>
      </c>
      <c r="BP230" s="631">
        <f>INDEX('1月'!$B$4:$BQ$375,MATCH('2月'!B230,'1月'!$B$4:$B$375,0),67)+BN230</f>
        <v>0</v>
      </c>
      <c r="BQ230" s="702">
        <f>INDEX('1月'!$B$4:$BQ$375,MATCH('2月'!B230,'1月'!$B$4:$B$375,0),68)+BO230</f>
        <v>0</v>
      </c>
    </row>
    <row r="231" spans="2:69" s="6" customFormat="1" ht="50.1" customHeight="1">
      <c r="B231" s="203" t="str">
        <f>'1月'!$B$231</f>
        <v>桜庭　雅寛</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37"/>
      <c r="BK231" s="15"/>
      <c r="BL231" s="37"/>
      <c r="BM231" s="14"/>
      <c r="BN231" s="102">
        <f t="shared" si="40"/>
        <v>0</v>
      </c>
      <c r="BO231" s="47">
        <f t="shared" si="41"/>
        <v>0</v>
      </c>
      <c r="BP231" s="631">
        <f>INDEX('1月'!$B$4:$BQ$375,MATCH('2月'!B231,'1月'!$B$4:$B$375,0),67)+BN231</f>
        <v>1</v>
      </c>
      <c r="BQ231" s="702">
        <f>INDEX('1月'!$B$4:$BQ$375,MATCH('2月'!B231,'1月'!$B$4:$B$375,0),68)+BO231</f>
        <v>1</v>
      </c>
    </row>
    <row r="232" spans="2:69" s="6" customFormat="1" ht="50.1" customHeight="1">
      <c r="B232" s="203" t="str">
        <f>'1月'!$B$232</f>
        <v>鷹幸　弘尚</v>
      </c>
      <c r="C232" s="146"/>
      <c r="D232" s="18"/>
      <c r="E232" s="14"/>
      <c r="F232" s="50"/>
      <c r="G232" s="20"/>
      <c r="H232" s="50"/>
      <c r="I232" s="20"/>
      <c r="J232" s="50"/>
      <c r="K232" s="20"/>
      <c r="L232" s="50"/>
      <c r="M232" s="20"/>
      <c r="N232" s="50"/>
      <c r="O232" s="20"/>
      <c r="P232" s="50"/>
      <c r="Q232" s="20"/>
      <c r="R232" s="50"/>
      <c r="S232" s="20"/>
      <c r="T232" s="50"/>
      <c r="U232" s="20"/>
      <c r="V232" s="50"/>
      <c r="W232" s="20"/>
      <c r="X232" s="50"/>
      <c r="Y232" s="20"/>
      <c r="Z232" s="50"/>
      <c r="AA232" s="20"/>
      <c r="AB232" s="50"/>
      <c r="AC232" s="20"/>
      <c r="AD232" s="50"/>
      <c r="AE232" s="20"/>
      <c r="AF232" s="18"/>
      <c r="AG232" s="21"/>
      <c r="AH232" s="18"/>
      <c r="AI232" s="20"/>
      <c r="AJ232" s="50"/>
      <c r="AK232" s="20"/>
      <c r="AL232" s="50"/>
      <c r="AM232" s="20"/>
      <c r="AN232" s="50"/>
      <c r="AO232" s="20"/>
      <c r="AP232" s="50"/>
      <c r="AQ232" s="20"/>
      <c r="AR232" s="50"/>
      <c r="AS232" s="20"/>
      <c r="AT232" s="50"/>
      <c r="AU232" s="20"/>
      <c r="AV232" s="50"/>
      <c r="AW232" s="20"/>
      <c r="AX232" s="50"/>
      <c r="AY232" s="20"/>
      <c r="AZ232" s="50"/>
      <c r="BA232" s="20"/>
      <c r="BB232" s="50"/>
      <c r="BC232" s="20"/>
      <c r="BD232" s="50"/>
      <c r="BE232" s="20"/>
      <c r="BF232" s="50"/>
      <c r="BG232" s="20"/>
      <c r="BH232" s="50"/>
      <c r="BI232" s="20"/>
      <c r="BJ232" s="38"/>
      <c r="BK232" s="21"/>
      <c r="BL232" s="38"/>
      <c r="BM232" s="20"/>
      <c r="BN232" s="102">
        <f t="shared" si="40"/>
        <v>0</v>
      </c>
      <c r="BO232" s="47">
        <f t="shared" si="41"/>
        <v>0</v>
      </c>
      <c r="BP232" s="631">
        <f>INDEX('1月'!$B$4:$BQ$375,MATCH('2月'!B232,'1月'!$B$4:$B$375,0),67)+BN232</f>
        <v>0</v>
      </c>
      <c r="BQ232" s="702">
        <f>INDEX('1月'!$B$4:$BQ$375,MATCH('2月'!B232,'1月'!$B$4:$B$375,0),68)+BO232</f>
        <v>0</v>
      </c>
    </row>
    <row r="233" spans="2:69" s="6" customFormat="1" ht="50.1" customHeight="1">
      <c r="B233" s="203" t="str">
        <f>'1月'!$B$233</f>
        <v>細越　利章</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37"/>
      <c r="BK233" s="15"/>
      <c r="BL233" s="37"/>
      <c r="BM233" s="14"/>
      <c r="BN233" s="102">
        <f t="shared" si="40"/>
        <v>0</v>
      </c>
      <c r="BO233" s="47">
        <f t="shared" si="41"/>
        <v>0</v>
      </c>
      <c r="BP233" s="631">
        <f>INDEX('1月'!$B$4:$BQ$375,MATCH('2月'!B233,'1月'!$B$4:$B$375,0),67)+BN233</f>
        <v>1</v>
      </c>
      <c r="BQ233" s="702">
        <f>INDEX('1月'!$B$4:$BQ$375,MATCH('2月'!B233,'1月'!$B$4:$B$375,0),68)+BO233</f>
        <v>1</v>
      </c>
    </row>
    <row r="234" spans="2:69" s="6" customFormat="1" ht="50.1" customHeight="1">
      <c r="B234" s="203" t="str">
        <f>'1月'!$B$234</f>
        <v>八田　安啓</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18"/>
      <c r="AG234" s="15"/>
      <c r="AH234" s="18"/>
      <c r="AI234" s="14"/>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37"/>
      <c r="BK234" s="15"/>
      <c r="BL234" s="37"/>
      <c r="BM234" s="14"/>
      <c r="BN234" s="102">
        <f t="shared" si="40"/>
        <v>0</v>
      </c>
      <c r="BO234" s="47">
        <f t="shared" si="41"/>
        <v>0</v>
      </c>
      <c r="BP234" s="631">
        <f>INDEX('1月'!$B$4:$BQ$375,MATCH('2月'!B234,'1月'!$B$4:$B$375,0),67)+BN234</f>
        <v>0</v>
      </c>
      <c r="BQ234" s="702">
        <f>INDEX('1月'!$B$4:$BQ$375,MATCH('2月'!B234,'1月'!$B$4:$B$375,0),68)+BO234</f>
        <v>0</v>
      </c>
    </row>
    <row r="235" spans="2:69" s="6" customFormat="1" ht="50.1" customHeight="1">
      <c r="B235" s="203" t="str">
        <f>'1月'!$B$235</f>
        <v>中村　英満</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37"/>
      <c r="BK235" s="15"/>
      <c r="BL235" s="37"/>
      <c r="BM235" s="14"/>
      <c r="BN235" s="102">
        <f t="shared" si="40"/>
        <v>0</v>
      </c>
      <c r="BO235" s="47">
        <f t="shared" si="41"/>
        <v>0</v>
      </c>
      <c r="BP235" s="631">
        <f>INDEX('1月'!$B$4:$BQ$375,MATCH('2月'!B235,'1月'!$B$4:$B$375,0),67)+BN235</f>
        <v>0</v>
      </c>
      <c r="BQ235" s="702">
        <f>INDEX('1月'!$B$4:$BQ$375,MATCH('2月'!B235,'1月'!$B$4:$B$375,0),68)+BO235</f>
        <v>0</v>
      </c>
    </row>
    <row r="236" spans="2:69" s="6" customFormat="1" ht="50.1" customHeight="1">
      <c r="B236" s="203" t="s">
        <v>543</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37"/>
      <c r="BK236" s="15"/>
      <c r="BL236" s="37"/>
      <c r="BM236" s="14"/>
      <c r="BN236" s="102">
        <f>SUM(D236,F236,H236,J236,L236,N236,P236,R236,T236,V236,X236,Z236,AB236,AD236,AF236,AH236,AJ236,AL236,AN236,AP236,AR236,AT236,AV236,AX236,AZ236,BB236,BD236,BF236,BH236,BJ236,BL236)</f>
        <v>0</v>
      </c>
      <c r="BO236" s="47">
        <f>SUM(E236,G236,I236,K236,M236,O236,Q236,S236,U236,W236,Y236,AA236,AC236,AE236,AG236,AI236,AK236,AM236,AO236,AQ236,AS236,AU236,AW236,AY236,BA236,BC236,BE236,BG236,BI236,BK236,BM236)</f>
        <v>0</v>
      </c>
      <c r="BP236" s="631">
        <f>INDEX('1月'!$B$4:$BQ$375,MATCH('2月'!B236,'1月'!$B$4:$B$375,0),67)+BN236</f>
        <v>1</v>
      </c>
      <c r="BQ236" s="702">
        <f>INDEX('1月'!$B$4:$BQ$375,MATCH('2月'!B236,'1月'!$B$4:$B$375,0),68)+BO236</f>
        <v>1</v>
      </c>
    </row>
    <row r="237" spans="2:69" s="6" customFormat="1" ht="50.1" customHeight="1">
      <c r="B237" s="203">
        <f>'1月'!$B$237</f>
        <v>0</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37"/>
      <c r="BK237" s="15"/>
      <c r="BL237" s="37"/>
      <c r="BM237" s="14"/>
      <c r="BN237" s="102">
        <f t="shared" si="40"/>
        <v>0</v>
      </c>
      <c r="BO237" s="47">
        <f t="shared" si="41"/>
        <v>0</v>
      </c>
      <c r="BP237" s="631"/>
      <c r="BQ237" s="702"/>
    </row>
    <row r="238" spans="2:69" s="6" customFormat="1" ht="50.1" customHeight="1">
      <c r="B238" s="203" t="str">
        <f>'1月'!$B$238</f>
        <v>久保　沙織</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37"/>
      <c r="BK238" s="15"/>
      <c r="BL238" s="37"/>
      <c r="BM238" s="14"/>
      <c r="BN238" s="102">
        <f t="shared" si="40"/>
        <v>0</v>
      </c>
      <c r="BO238" s="47">
        <f t="shared" si="41"/>
        <v>0</v>
      </c>
      <c r="BP238" s="631">
        <f>INDEX('1月'!$B$4:$BQ$375,MATCH('2月'!B238,'1月'!$B$4:$B$375,0),67)+BN238</f>
        <v>0</v>
      </c>
      <c r="BQ238" s="702">
        <f>INDEX('1月'!$B$4:$BQ$375,MATCH('2月'!B238,'1月'!$B$4:$B$375,0),68)+BO238</f>
        <v>0</v>
      </c>
    </row>
    <row r="239" spans="2:69" s="6" customFormat="1" ht="50.1" customHeight="1">
      <c r="B239" s="203" t="str">
        <f>'1月'!$B$239</f>
        <v>坂ノ上　愛莉</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37"/>
      <c r="BK239" s="15"/>
      <c r="BL239" s="37"/>
      <c r="BM239" s="14"/>
      <c r="BN239" s="102">
        <f t="shared" si="40"/>
        <v>0</v>
      </c>
      <c r="BO239" s="47">
        <f t="shared" si="41"/>
        <v>0</v>
      </c>
      <c r="BP239" s="631">
        <f>INDEX('1月'!$B$4:$BQ$375,MATCH('2月'!B239,'1月'!$B$4:$B$375,0),67)+BN239</f>
        <v>0</v>
      </c>
      <c r="BQ239" s="702">
        <f>INDEX('1月'!$B$4:$BQ$375,MATCH('2月'!B239,'1月'!$B$4:$B$375,0),68)+BO239</f>
        <v>0</v>
      </c>
    </row>
    <row r="240" spans="2:69" s="6" customFormat="1" ht="50.1" customHeight="1">
      <c r="B240" s="203" t="str">
        <f>'1月'!$B$240</f>
        <v>種市　由希枝</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37"/>
      <c r="BK240" s="15"/>
      <c r="BL240" s="37"/>
      <c r="BM240" s="14"/>
      <c r="BN240" s="102">
        <f t="shared" si="40"/>
        <v>0</v>
      </c>
      <c r="BO240" s="47">
        <f t="shared" si="41"/>
        <v>0</v>
      </c>
      <c r="BP240" s="631">
        <f>INDEX('1月'!$B$4:$BQ$375,MATCH('2月'!B240,'1月'!$B$4:$B$375,0),67)+BN240</f>
        <v>0</v>
      </c>
      <c r="BQ240" s="702">
        <f>INDEX('1月'!$B$4:$BQ$375,MATCH('2月'!B240,'1月'!$B$4:$B$375,0),68)+BO240</f>
        <v>0</v>
      </c>
    </row>
    <row r="241" spans="2:69" s="6" customFormat="1" ht="50.1" customHeight="1">
      <c r="B241" s="203" t="str">
        <f>'1月'!$B$241</f>
        <v>西村　夏希</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37"/>
      <c r="BK241" s="15"/>
      <c r="BL241" s="37"/>
      <c r="BM241" s="14"/>
      <c r="BN241" s="102">
        <f t="shared" si="40"/>
        <v>0</v>
      </c>
      <c r="BO241" s="47">
        <f t="shared" si="41"/>
        <v>0</v>
      </c>
      <c r="BP241" s="631">
        <f>INDEX('1月'!$B$4:$BQ$375,MATCH('2月'!B241,'1月'!$B$4:$B$375,0),67)+BN241</f>
        <v>0</v>
      </c>
      <c r="BQ241" s="702">
        <f>INDEX('1月'!$B$4:$BQ$375,MATCH('2月'!B241,'1月'!$B$4:$B$375,0),68)+BO241</f>
        <v>0</v>
      </c>
    </row>
    <row r="242" spans="2:69" s="6" customFormat="1" ht="50.1" customHeight="1">
      <c r="B242" s="203" t="str">
        <f>'1月'!$B$242</f>
        <v>三浦　賢子</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37"/>
      <c r="BK242" s="15"/>
      <c r="BL242" s="37"/>
      <c r="BM242" s="14"/>
      <c r="BN242" s="102">
        <f t="shared" si="40"/>
        <v>0</v>
      </c>
      <c r="BO242" s="47">
        <f t="shared" si="41"/>
        <v>0</v>
      </c>
      <c r="BP242" s="631">
        <f>INDEX('1月'!$B$4:$BQ$375,MATCH('2月'!B242,'1月'!$B$4:$B$375,0),67)+BN242</f>
        <v>2</v>
      </c>
      <c r="BQ242" s="702">
        <f>INDEX('1月'!$B$4:$BQ$375,MATCH('2月'!B242,'1月'!$B$4:$B$375,0),68)+BO242</f>
        <v>4</v>
      </c>
    </row>
    <row r="243" spans="2:69" s="6" customFormat="1" ht="50.1" customHeight="1">
      <c r="B243" s="203" t="str">
        <f>'1月'!$B$243</f>
        <v>山田　隆広</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37"/>
      <c r="BK243" s="15"/>
      <c r="BL243" s="37"/>
      <c r="BM243" s="14"/>
      <c r="BN243" s="102">
        <f t="shared" si="40"/>
        <v>0</v>
      </c>
      <c r="BO243" s="47">
        <f t="shared" si="41"/>
        <v>0</v>
      </c>
      <c r="BP243" s="631">
        <f>INDEX('1月'!$B$4:$BQ$375,MATCH('2月'!B243,'1月'!$B$4:$B$375,0),67)+BN243</f>
        <v>0</v>
      </c>
      <c r="BQ243" s="702">
        <f>INDEX('1月'!$B$4:$BQ$375,MATCH('2月'!B243,'1月'!$B$4:$B$375,0),68)+BO243</f>
        <v>0</v>
      </c>
    </row>
    <row r="244" spans="2:69" s="6" customFormat="1" ht="50.1" customHeight="1">
      <c r="B244" s="203" t="str">
        <f>'1月'!$B$244</f>
        <v>本部</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37"/>
      <c r="BK244" s="15"/>
      <c r="BL244" s="37"/>
      <c r="BM244" s="14"/>
      <c r="BN244" s="102">
        <f t="shared" si="40"/>
        <v>0</v>
      </c>
      <c r="BO244" s="47">
        <f t="shared" si="41"/>
        <v>0</v>
      </c>
      <c r="BP244" s="631">
        <f>INDEX('1月'!$B$4:$BQ$375,MATCH('2月'!B244,'1月'!$B$4:$B$375,0),67)+BN244</f>
        <v>2</v>
      </c>
      <c r="BQ244" s="702">
        <f>INDEX('1月'!$B$4:$BQ$375,MATCH('2月'!B244,'1月'!$B$4:$B$375,0),68)+BO244</f>
        <v>2</v>
      </c>
    </row>
    <row r="245" spans="2:69" s="6" customFormat="1" ht="50.1" customHeight="1" thickBot="1">
      <c r="B245" s="203" t="str">
        <f>'1月'!$B$245</f>
        <v>受籍</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37"/>
      <c r="BK245" s="15"/>
      <c r="BL245" s="37"/>
      <c r="BM245" s="14"/>
      <c r="BN245" s="102">
        <f t="shared" si="40"/>
        <v>0</v>
      </c>
      <c r="BO245" s="47">
        <f t="shared" si="41"/>
        <v>0</v>
      </c>
      <c r="BP245" s="631">
        <f>INDEX('1月'!$B$4:$BQ$375,MATCH('2月'!B245,'1月'!$B$4:$B$375,0),67)+BN245</f>
        <v>0</v>
      </c>
      <c r="BQ245" s="702">
        <f>INDEX('1月'!$B$4:$BQ$375,MATCH('2月'!B245,'1月'!$B$4:$B$375,0),68)+BO245</f>
        <v>0</v>
      </c>
    </row>
    <row r="246" spans="2:69" s="6" customFormat="1" ht="50.1" customHeight="1" thickBot="1">
      <c r="B246" s="119" t="s">
        <v>101</v>
      </c>
      <c r="C246" s="149"/>
      <c r="D246" s="29">
        <f t="shared" ref="D246:AI246" si="42">SUM(D227:D245)</f>
        <v>0</v>
      </c>
      <c r="E246" s="31">
        <f t="shared" si="42"/>
        <v>0</v>
      </c>
      <c r="F246" s="29">
        <f t="shared" si="42"/>
        <v>0</v>
      </c>
      <c r="G246" s="31">
        <f t="shared" si="42"/>
        <v>0</v>
      </c>
      <c r="H246" s="29">
        <f t="shared" si="42"/>
        <v>0</v>
      </c>
      <c r="I246" s="31">
        <f t="shared" si="42"/>
        <v>0</v>
      </c>
      <c r="J246" s="29">
        <f t="shared" si="42"/>
        <v>0</v>
      </c>
      <c r="K246" s="31">
        <f t="shared" si="42"/>
        <v>0</v>
      </c>
      <c r="L246" s="29">
        <f t="shared" si="42"/>
        <v>0</v>
      </c>
      <c r="M246" s="31">
        <f t="shared" si="42"/>
        <v>0</v>
      </c>
      <c r="N246" s="29">
        <f t="shared" si="42"/>
        <v>0</v>
      </c>
      <c r="O246" s="31">
        <f t="shared" si="42"/>
        <v>0</v>
      </c>
      <c r="P246" s="29">
        <f t="shared" si="42"/>
        <v>0</v>
      </c>
      <c r="Q246" s="31">
        <f t="shared" si="42"/>
        <v>0</v>
      </c>
      <c r="R246" s="29">
        <f t="shared" si="42"/>
        <v>0</v>
      </c>
      <c r="S246" s="31">
        <f t="shared" si="42"/>
        <v>0</v>
      </c>
      <c r="T246" s="29">
        <f t="shared" si="42"/>
        <v>0</v>
      </c>
      <c r="U246" s="31">
        <f t="shared" si="42"/>
        <v>0</v>
      </c>
      <c r="V246" s="29">
        <f t="shared" si="42"/>
        <v>0</v>
      </c>
      <c r="W246" s="31">
        <f t="shared" si="42"/>
        <v>0</v>
      </c>
      <c r="X246" s="29">
        <f t="shared" si="42"/>
        <v>0</v>
      </c>
      <c r="Y246" s="31">
        <f t="shared" si="42"/>
        <v>0</v>
      </c>
      <c r="Z246" s="29">
        <f t="shared" si="42"/>
        <v>0</v>
      </c>
      <c r="AA246" s="31">
        <f t="shared" si="42"/>
        <v>0</v>
      </c>
      <c r="AB246" s="29">
        <f t="shared" si="42"/>
        <v>0</v>
      </c>
      <c r="AC246" s="31">
        <f t="shared" si="42"/>
        <v>0</v>
      </c>
      <c r="AD246" s="29">
        <f t="shared" si="42"/>
        <v>0</v>
      </c>
      <c r="AE246" s="31">
        <f t="shared" si="42"/>
        <v>0</v>
      </c>
      <c r="AF246" s="29">
        <f t="shared" si="42"/>
        <v>0</v>
      </c>
      <c r="AG246" s="41">
        <f t="shared" si="42"/>
        <v>0</v>
      </c>
      <c r="AH246" s="29">
        <f t="shared" si="42"/>
        <v>0</v>
      </c>
      <c r="AI246" s="31">
        <f t="shared" si="42"/>
        <v>0</v>
      </c>
      <c r="AJ246" s="29">
        <f t="shared" ref="AJ246:BO246" si="43">SUM(AJ227:AJ245)</f>
        <v>0</v>
      </c>
      <c r="AK246" s="31">
        <f t="shared" si="43"/>
        <v>0</v>
      </c>
      <c r="AL246" s="29">
        <f t="shared" si="43"/>
        <v>0</v>
      </c>
      <c r="AM246" s="31">
        <f t="shared" si="43"/>
        <v>0</v>
      </c>
      <c r="AN246" s="29">
        <f t="shared" si="43"/>
        <v>0</v>
      </c>
      <c r="AO246" s="31">
        <f t="shared" si="43"/>
        <v>0</v>
      </c>
      <c r="AP246" s="29">
        <f t="shared" si="43"/>
        <v>0</v>
      </c>
      <c r="AQ246" s="29">
        <f t="shared" si="43"/>
        <v>0</v>
      </c>
      <c r="AR246" s="29">
        <f t="shared" si="43"/>
        <v>0</v>
      </c>
      <c r="AS246" s="31">
        <f t="shared" si="43"/>
        <v>0</v>
      </c>
      <c r="AT246" s="29">
        <f t="shared" si="43"/>
        <v>0</v>
      </c>
      <c r="AU246" s="31">
        <f t="shared" si="43"/>
        <v>0</v>
      </c>
      <c r="AV246" s="29">
        <f t="shared" si="43"/>
        <v>0</v>
      </c>
      <c r="AW246" s="31">
        <f t="shared" si="43"/>
        <v>0</v>
      </c>
      <c r="AX246" s="29">
        <f t="shared" si="43"/>
        <v>0</v>
      </c>
      <c r="AY246" s="31">
        <f t="shared" si="43"/>
        <v>0</v>
      </c>
      <c r="AZ246" s="29">
        <f t="shared" si="43"/>
        <v>0</v>
      </c>
      <c r="BA246" s="31">
        <f t="shared" si="43"/>
        <v>0</v>
      </c>
      <c r="BB246" s="29">
        <f t="shared" si="43"/>
        <v>0</v>
      </c>
      <c r="BC246" s="31">
        <f t="shared" si="43"/>
        <v>0</v>
      </c>
      <c r="BD246" s="29">
        <f t="shared" si="43"/>
        <v>0</v>
      </c>
      <c r="BE246" s="31">
        <f t="shared" si="43"/>
        <v>0</v>
      </c>
      <c r="BF246" s="29">
        <f t="shared" si="43"/>
        <v>0</v>
      </c>
      <c r="BG246" s="31">
        <f t="shared" si="43"/>
        <v>0</v>
      </c>
      <c r="BH246" s="29">
        <f t="shared" si="43"/>
        <v>0</v>
      </c>
      <c r="BI246" s="31">
        <f t="shared" si="43"/>
        <v>0</v>
      </c>
      <c r="BJ246" s="39">
        <f t="shared" si="43"/>
        <v>0</v>
      </c>
      <c r="BK246" s="41">
        <f t="shared" si="43"/>
        <v>0</v>
      </c>
      <c r="BL246" s="39">
        <f t="shared" si="43"/>
        <v>0</v>
      </c>
      <c r="BM246" s="31">
        <f t="shared" si="43"/>
        <v>0</v>
      </c>
      <c r="BN246" s="32">
        <f t="shared" si="43"/>
        <v>0</v>
      </c>
      <c r="BO246" s="41">
        <f t="shared" si="43"/>
        <v>0</v>
      </c>
      <c r="BP246" s="257">
        <f>SUM(BP227:BP245)</f>
        <v>14</v>
      </c>
      <c r="BQ246" s="240">
        <f>SUM(BQ227:BQ245)</f>
        <v>17</v>
      </c>
    </row>
    <row r="247" spans="2:69" s="6" customFormat="1" ht="39" customHeight="1">
      <c r="B247" s="120"/>
      <c r="C247" s="150"/>
      <c r="D247" s="7"/>
      <c r="E247" s="7"/>
      <c r="F247" s="7"/>
      <c r="G247" s="7"/>
      <c r="H247" s="7"/>
      <c r="I247" s="7"/>
      <c r="J247" s="7"/>
      <c r="K247" s="7"/>
      <c r="L247" s="7"/>
      <c r="M247" s="7"/>
      <c r="N247" s="7"/>
      <c r="O247" s="7"/>
      <c r="P247" s="7"/>
      <c r="Q247" s="7"/>
      <c r="R247" s="7"/>
      <c r="S247" s="7"/>
      <c r="T247" s="7"/>
      <c r="U247" s="7"/>
      <c r="V247" s="7"/>
      <c r="W247" s="7"/>
      <c r="X247" s="7"/>
      <c r="Y247" s="7"/>
      <c r="Z247" s="7"/>
      <c r="AA247" s="7"/>
      <c r="AB247" s="7"/>
      <c r="AC247" s="7"/>
      <c r="AD247" s="7"/>
      <c r="AE247" s="7"/>
      <c r="AF247" s="7"/>
      <c r="AG247" s="34"/>
      <c r="AH247" s="7"/>
      <c r="AI247" s="7"/>
      <c r="AJ247" s="7"/>
      <c r="AK247" s="7"/>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75" customHeight="1">
      <c r="B249" s="743" t="s">
        <v>54</v>
      </c>
      <c r="C249" s="749">
        <f>COUNTIF(B252:B257,"*")</f>
        <v>4</v>
      </c>
      <c r="D249" s="751">
        <v>1</v>
      </c>
      <c r="E249" s="738"/>
      <c r="F249" s="737">
        <v>2</v>
      </c>
      <c r="G249" s="738"/>
      <c r="H249" s="737">
        <v>3</v>
      </c>
      <c r="I249" s="738"/>
      <c r="J249" s="737">
        <v>4</v>
      </c>
      <c r="K249" s="738"/>
      <c r="L249" s="737">
        <v>5</v>
      </c>
      <c r="M249" s="738"/>
      <c r="N249" s="737">
        <v>6</v>
      </c>
      <c r="O249" s="738"/>
      <c r="P249" s="737">
        <v>7</v>
      </c>
      <c r="Q249" s="738"/>
      <c r="R249" s="737">
        <v>8</v>
      </c>
      <c r="S249" s="738"/>
      <c r="T249" s="737">
        <v>9</v>
      </c>
      <c r="U249" s="738"/>
      <c r="V249" s="737">
        <v>10</v>
      </c>
      <c r="W249" s="738"/>
      <c r="X249" s="737">
        <v>11</v>
      </c>
      <c r="Y249" s="738"/>
      <c r="Z249" s="737">
        <v>12</v>
      </c>
      <c r="AA249" s="738"/>
      <c r="AB249" s="737">
        <v>13</v>
      </c>
      <c r="AC249" s="738"/>
      <c r="AD249" s="737">
        <v>14</v>
      </c>
      <c r="AE249" s="738"/>
      <c r="AF249" s="737">
        <v>15</v>
      </c>
      <c r="AG249" s="784"/>
      <c r="AH249" s="741">
        <v>16</v>
      </c>
      <c r="AI249" s="741"/>
      <c r="AJ249" s="741">
        <v>17</v>
      </c>
      <c r="AK249" s="741"/>
      <c r="AL249" s="741">
        <v>18</v>
      </c>
      <c r="AM249" s="741"/>
      <c r="AN249" s="741">
        <v>19</v>
      </c>
      <c r="AO249" s="741"/>
      <c r="AP249" s="741">
        <v>20</v>
      </c>
      <c r="AQ249" s="741"/>
      <c r="AR249" s="741">
        <v>21</v>
      </c>
      <c r="AS249" s="741"/>
      <c r="AT249" s="741">
        <v>22</v>
      </c>
      <c r="AU249" s="741"/>
      <c r="AV249" s="741">
        <v>23</v>
      </c>
      <c r="AW249" s="741"/>
      <c r="AX249" s="741">
        <v>24</v>
      </c>
      <c r="AY249" s="741"/>
      <c r="AZ249" s="741">
        <v>25</v>
      </c>
      <c r="BA249" s="741"/>
      <c r="BB249" s="741">
        <v>26</v>
      </c>
      <c r="BC249" s="741"/>
      <c r="BD249" s="741">
        <v>27</v>
      </c>
      <c r="BE249" s="741"/>
      <c r="BF249" s="741">
        <v>28</v>
      </c>
      <c r="BG249" s="741"/>
      <c r="BH249" s="741">
        <v>29</v>
      </c>
      <c r="BI249" s="741"/>
      <c r="BJ249" s="741">
        <v>30</v>
      </c>
      <c r="BK249" s="741"/>
      <c r="BL249" s="741">
        <v>31</v>
      </c>
      <c r="BM249" s="741"/>
      <c r="BN249" s="738" t="s">
        <v>251</v>
      </c>
      <c r="BO249" s="760"/>
      <c r="BP249" s="771" t="s">
        <v>353</v>
      </c>
      <c r="BQ249" s="772"/>
    </row>
    <row r="250" spans="2:69" ht="24.95" customHeight="1">
      <c r="B250" s="744"/>
      <c r="C250" s="747"/>
      <c r="D250" s="752" t="str">
        <f>D2</f>
        <v>土</v>
      </c>
      <c r="E250" s="740"/>
      <c r="F250" s="739" t="str">
        <f>F2</f>
        <v>日</v>
      </c>
      <c r="G250" s="740"/>
      <c r="H250" s="739" t="str">
        <f>H2</f>
        <v>月</v>
      </c>
      <c r="I250" s="740"/>
      <c r="J250" s="739" t="str">
        <f>J2</f>
        <v>火</v>
      </c>
      <c r="K250" s="740"/>
      <c r="L250" s="739" t="str">
        <f>L2</f>
        <v>水</v>
      </c>
      <c r="M250" s="740"/>
      <c r="N250" s="739" t="str">
        <f>N2</f>
        <v>木</v>
      </c>
      <c r="O250" s="740"/>
      <c r="P250" s="739" t="str">
        <f>P2</f>
        <v>金</v>
      </c>
      <c r="Q250" s="740"/>
      <c r="R250" s="739" t="str">
        <f>R2</f>
        <v>土</v>
      </c>
      <c r="S250" s="740"/>
      <c r="T250" s="739" t="str">
        <f>T2</f>
        <v>日</v>
      </c>
      <c r="U250" s="740"/>
      <c r="V250" s="739" t="str">
        <f>V2</f>
        <v>月</v>
      </c>
      <c r="W250" s="740"/>
      <c r="X250" s="739" t="str">
        <f>X2</f>
        <v>火</v>
      </c>
      <c r="Y250" s="740"/>
      <c r="Z250" s="739" t="str">
        <f>Z2</f>
        <v>水</v>
      </c>
      <c r="AA250" s="740"/>
      <c r="AB250" s="739" t="str">
        <f>AB2</f>
        <v>木</v>
      </c>
      <c r="AC250" s="740"/>
      <c r="AD250" s="739" t="str">
        <f>AD2</f>
        <v>金</v>
      </c>
      <c r="AE250" s="740"/>
      <c r="AF250" s="739" t="str">
        <f>AF2</f>
        <v>土</v>
      </c>
      <c r="AG250" s="740"/>
      <c r="AH250" s="786" t="str">
        <f>AH2</f>
        <v>日</v>
      </c>
      <c r="AI250" s="767"/>
      <c r="AJ250" s="770" t="str">
        <f>AJ2</f>
        <v>月</v>
      </c>
      <c r="AK250" s="770"/>
      <c r="AL250" s="770" t="str">
        <f>AL2</f>
        <v>火</v>
      </c>
      <c r="AM250" s="770"/>
      <c r="AN250" s="770" t="str">
        <f>AN2</f>
        <v>水</v>
      </c>
      <c r="AO250" s="770"/>
      <c r="AP250" s="770" t="str">
        <f>AP2</f>
        <v>木</v>
      </c>
      <c r="AQ250" s="770"/>
      <c r="AR250" s="770" t="str">
        <f>AR2</f>
        <v>金</v>
      </c>
      <c r="AS250" s="770"/>
      <c r="AT250" s="770" t="str">
        <f>AT2</f>
        <v>土</v>
      </c>
      <c r="AU250" s="770"/>
      <c r="AV250" s="770" t="str">
        <f>AV2</f>
        <v>日</v>
      </c>
      <c r="AW250" s="770"/>
      <c r="AX250" s="770" t="str">
        <f>AX2</f>
        <v>月</v>
      </c>
      <c r="AY250" s="770"/>
      <c r="AZ250" s="770" t="str">
        <f>AZ2</f>
        <v>火</v>
      </c>
      <c r="BA250" s="770"/>
      <c r="BB250" s="770" t="str">
        <f>BB2</f>
        <v>水</v>
      </c>
      <c r="BC250" s="770"/>
      <c r="BD250" s="770" t="str">
        <f>BD2</f>
        <v>木</v>
      </c>
      <c r="BE250" s="770"/>
      <c r="BF250" s="770" t="str">
        <f>BF2</f>
        <v>金</v>
      </c>
      <c r="BG250" s="770"/>
      <c r="BH250" s="770" t="str">
        <f>BH2</f>
        <v>土</v>
      </c>
      <c r="BI250" s="770"/>
      <c r="BJ250" s="770" t="str">
        <f>BJ2</f>
        <v>日</v>
      </c>
      <c r="BK250" s="770"/>
      <c r="BL250" s="770" t="str">
        <f>BL2</f>
        <v>月</v>
      </c>
      <c r="BM250" s="770"/>
      <c r="BN250" s="761"/>
      <c r="BO250" s="762"/>
      <c r="BP250" s="773"/>
      <c r="BQ250" s="774"/>
    </row>
    <row r="251" spans="2:69" ht="24.95" customHeight="1" thickBot="1">
      <c r="B251" s="748"/>
      <c r="C251" s="750"/>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4" t="s">
        <v>73</v>
      </c>
      <c r="AH251" s="92"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ht="45" customHeight="1" thickTop="1">
      <c r="B252" s="201" t="str">
        <f>'1月'!$B$252</f>
        <v>林　覚弘</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18"/>
      <c r="AG252" s="15"/>
      <c r="AH252" s="18"/>
      <c r="AI252" s="14"/>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79"/>
      <c r="BK252" s="10"/>
      <c r="BL252" s="179"/>
      <c r="BM252" s="9"/>
      <c r="BN252" s="102">
        <f t="shared" ref="BN252:BO257" si="44">SUM(D252,F252,H252,J252,L252,N252,P252,R252,T252,V252,X252,Z252,AB252,AD252,AF252,AH252,AJ252,AL252,AN252,AP252,AR252,AT252,AV252,AX252,AZ252,BB252,BD252,BF252,BH252,BJ252,BL252)</f>
        <v>0</v>
      </c>
      <c r="BO252" s="47">
        <f t="shared" si="44"/>
        <v>0</v>
      </c>
      <c r="BP252" s="631">
        <f>INDEX('1月'!$B$4:$BQ$375,MATCH('2月'!B252,'1月'!$B$4:$B$375,0),67)+BN252</f>
        <v>0</v>
      </c>
      <c r="BQ252" s="702">
        <f>INDEX('1月'!$B$4:$BQ$375,MATCH('2月'!B252,'1月'!$B$4:$B$375,0),68)+BO252</f>
        <v>0</v>
      </c>
    </row>
    <row r="253" spans="2:69" s="6" customFormat="1" ht="50.1" customHeight="1">
      <c r="B253" s="201" t="str">
        <f>'1月'!$B$253</f>
        <v>松橋　誠</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37"/>
      <c r="BK253" s="15"/>
      <c r="BL253" s="37"/>
      <c r="BM253" s="14"/>
      <c r="BN253" s="102">
        <f t="shared" si="44"/>
        <v>0</v>
      </c>
      <c r="BO253" s="47">
        <f t="shared" si="44"/>
        <v>0</v>
      </c>
      <c r="BP253" s="631">
        <f>INDEX('1月'!$B$4:$BQ$375,MATCH('2月'!B253,'1月'!$B$4:$B$375,0),67)+BN253</f>
        <v>2</v>
      </c>
      <c r="BQ253" s="702">
        <f>INDEX('1月'!$B$4:$BQ$375,MATCH('2月'!B253,'1月'!$B$4:$B$375,0),68)+BO253</f>
        <v>4</v>
      </c>
    </row>
    <row r="254" spans="2:69" s="6" customFormat="1" ht="50.1" customHeight="1">
      <c r="B254" s="201" t="str">
        <f>'1月'!$B$254</f>
        <v>三田　亮</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37"/>
      <c r="BK254" s="15"/>
      <c r="BL254" s="37"/>
      <c r="BM254" s="14"/>
      <c r="BN254" s="102">
        <f t="shared" si="44"/>
        <v>0</v>
      </c>
      <c r="BO254" s="47">
        <f t="shared" si="44"/>
        <v>0</v>
      </c>
      <c r="BP254" s="631">
        <f>INDEX('1月'!$B$4:$BQ$375,MATCH('2月'!B254,'1月'!$B$4:$B$375,0),67)+BN254</f>
        <v>0</v>
      </c>
      <c r="BQ254" s="702">
        <f>INDEX('1月'!$B$4:$BQ$375,MATCH('2月'!B254,'1月'!$B$4:$B$375,0),68)+BO254</f>
        <v>0</v>
      </c>
    </row>
    <row r="255" spans="2:69" s="6" customFormat="1" ht="50.1" customHeight="1">
      <c r="B255" s="201" t="str">
        <f>'1月'!$B$255</f>
        <v>橋本　収史</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18"/>
      <c r="AG255" s="21"/>
      <c r="AH255" s="50"/>
      <c r="AI255" s="20"/>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38"/>
      <c r="BK255" s="21"/>
      <c r="BL255" s="38"/>
      <c r="BM255" s="20"/>
      <c r="BN255" s="102">
        <f t="shared" si="44"/>
        <v>0</v>
      </c>
      <c r="BO255" s="47">
        <f t="shared" si="44"/>
        <v>0</v>
      </c>
      <c r="BP255" s="631">
        <f>INDEX('1月'!$B$4:$BQ$375,MATCH('2月'!B255,'1月'!$B$4:$B$375,0),67)+BN255</f>
        <v>0</v>
      </c>
      <c r="BQ255" s="702">
        <f>INDEX('1月'!$B$4:$BQ$375,MATCH('2月'!B255,'1月'!$B$4:$B$375,0),68)+BO255</f>
        <v>0</v>
      </c>
    </row>
    <row r="256" spans="2:69" s="6" customFormat="1" ht="50.1" customHeight="1">
      <c r="B256" s="201">
        <f>'1月'!$B$256</f>
        <v>0</v>
      </c>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18"/>
      <c r="AG256" s="15"/>
      <c r="AH256" s="18"/>
      <c r="AI256" s="14"/>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37"/>
      <c r="BK256" s="15"/>
      <c r="BL256" s="37"/>
      <c r="BM256" s="14"/>
      <c r="BN256" s="102">
        <f t="shared" si="44"/>
        <v>0</v>
      </c>
      <c r="BO256" s="47">
        <f t="shared" si="44"/>
        <v>0</v>
      </c>
      <c r="BP256" s="631"/>
      <c r="BQ256" s="559"/>
    </row>
    <row r="257" spans="2:69" s="6" customFormat="1" ht="15.95" customHeight="1" thickBot="1">
      <c r="B257" s="201">
        <f>'1月'!$B$257</f>
        <v>0</v>
      </c>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0"/>
      <c r="AG257" s="21"/>
      <c r="AH257" s="50"/>
      <c r="AI257" s="20"/>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38"/>
      <c r="BK257" s="21"/>
      <c r="BL257" s="38"/>
      <c r="BM257" s="20"/>
      <c r="BN257" s="102">
        <f t="shared" si="44"/>
        <v>0</v>
      </c>
      <c r="BO257" s="47">
        <f t="shared" si="44"/>
        <v>0</v>
      </c>
      <c r="BP257" s="631"/>
      <c r="BQ257" s="559"/>
    </row>
    <row r="258" spans="2:69" s="6" customFormat="1" ht="15.95" customHeight="1" thickBot="1">
      <c r="B258" s="119" t="s">
        <v>101</v>
      </c>
      <c r="C258" s="149"/>
      <c r="D258" s="29">
        <f t="shared" ref="D258:BM258" si="45">SUM(D252:D257)</f>
        <v>0</v>
      </c>
      <c r="E258" s="31">
        <f t="shared" si="45"/>
        <v>0</v>
      </c>
      <c r="F258" s="29">
        <f t="shared" si="45"/>
        <v>0</v>
      </c>
      <c r="G258" s="31">
        <f t="shared" si="45"/>
        <v>0</v>
      </c>
      <c r="H258" s="29">
        <f t="shared" si="45"/>
        <v>0</v>
      </c>
      <c r="I258" s="31">
        <f t="shared" si="45"/>
        <v>0</v>
      </c>
      <c r="J258" s="29">
        <f t="shared" si="45"/>
        <v>0</v>
      </c>
      <c r="K258" s="31">
        <f t="shared" si="45"/>
        <v>0</v>
      </c>
      <c r="L258" s="29">
        <f t="shared" si="45"/>
        <v>0</v>
      </c>
      <c r="M258" s="31">
        <f t="shared" si="45"/>
        <v>0</v>
      </c>
      <c r="N258" s="29">
        <f>SUM(N252:N257)</f>
        <v>0</v>
      </c>
      <c r="O258" s="31">
        <f t="shared" si="45"/>
        <v>0</v>
      </c>
      <c r="P258" s="29">
        <f t="shared" si="45"/>
        <v>0</v>
      </c>
      <c r="Q258" s="31">
        <f t="shared" si="45"/>
        <v>0</v>
      </c>
      <c r="R258" s="29">
        <f t="shared" si="45"/>
        <v>0</v>
      </c>
      <c r="S258" s="31">
        <f t="shared" si="45"/>
        <v>0</v>
      </c>
      <c r="T258" s="29">
        <f t="shared" si="45"/>
        <v>0</v>
      </c>
      <c r="U258" s="31">
        <f t="shared" si="45"/>
        <v>0</v>
      </c>
      <c r="V258" s="29">
        <f t="shared" si="45"/>
        <v>0</v>
      </c>
      <c r="W258" s="31">
        <f t="shared" si="45"/>
        <v>0</v>
      </c>
      <c r="X258" s="29">
        <f t="shared" si="45"/>
        <v>0</v>
      </c>
      <c r="Y258" s="31">
        <f t="shared" si="45"/>
        <v>0</v>
      </c>
      <c r="Z258" s="29">
        <f t="shared" si="45"/>
        <v>0</v>
      </c>
      <c r="AA258" s="31">
        <f t="shared" si="45"/>
        <v>0</v>
      </c>
      <c r="AB258" s="29">
        <f t="shared" si="45"/>
        <v>0</v>
      </c>
      <c r="AC258" s="31">
        <f t="shared" si="45"/>
        <v>0</v>
      </c>
      <c r="AD258" s="29">
        <f t="shared" si="45"/>
        <v>0</v>
      </c>
      <c r="AE258" s="31">
        <f t="shared" si="45"/>
        <v>0</v>
      </c>
      <c r="AF258" s="29">
        <f t="shared" si="45"/>
        <v>0</v>
      </c>
      <c r="AG258" s="41">
        <f t="shared" si="45"/>
        <v>0</v>
      </c>
      <c r="AH258" s="29">
        <f t="shared" si="45"/>
        <v>0</v>
      </c>
      <c r="AI258" s="31">
        <f t="shared" si="45"/>
        <v>0</v>
      </c>
      <c r="AJ258" s="29">
        <f t="shared" si="45"/>
        <v>0</v>
      </c>
      <c r="AK258" s="31">
        <f t="shared" si="45"/>
        <v>0</v>
      </c>
      <c r="AL258" s="29">
        <f t="shared" si="45"/>
        <v>0</v>
      </c>
      <c r="AM258" s="31">
        <f t="shared" si="45"/>
        <v>0</v>
      </c>
      <c r="AN258" s="29">
        <f t="shared" si="45"/>
        <v>0</v>
      </c>
      <c r="AO258" s="31">
        <f t="shared" si="45"/>
        <v>0</v>
      </c>
      <c r="AP258" s="29">
        <f t="shared" si="45"/>
        <v>0</v>
      </c>
      <c r="AQ258" s="31">
        <f t="shared" si="45"/>
        <v>0</v>
      </c>
      <c r="AR258" s="29">
        <f>SUM(AR252:AR257)</f>
        <v>0</v>
      </c>
      <c r="AS258" s="31">
        <f t="shared" si="45"/>
        <v>0</v>
      </c>
      <c r="AT258" s="29">
        <f t="shared" si="45"/>
        <v>0</v>
      </c>
      <c r="AU258" s="31">
        <f t="shared" si="45"/>
        <v>0</v>
      </c>
      <c r="AV258" s="29">
        <f t="shared" si="45"/>
        <v>0</v>
      </c>
      <c r="AW258" s="31">
        <f t="shared" si="45"/>
        <v>0</v>
      </c>
      <c r="AX258" s="29">
        <f t="shared" si="45"/>
        <v>0</v>
      </c>
      <c r="AY258" s="31">
        <f t="shared" si="45"/>
        <v>0</v>
      </c>
      <c r="AZ258" s="29">
        <f t="shared" si="45"/>
        <v>0</v>
      </c>
      <c r="BA258" s="31">
        <f t="shared" si="45"/>
        <v>0</v>
      </c>
      <c r="BB258" s="29">
        <f t="shared" si="45"/>
        <v>0</v>
      </c>
      <c r="BC258" s="31">
        <f t="shared" si="45"/>
        <v>0</v>
      </c>
      <c r="BD258" s="29">
        <f t="shared" si="45"/>
        <v>0</v>
      </c>
      <c r="BE258" s="31">
        <f t="shared" si="45"/>
        <v>0</v>
      </c>
      <c r="BF258" s="29">
        <f t="shared" si="45"/>
        <v>0</v>
      </c>
      <c r="BG258" s="31">
        <f t="shared" si="45"/>
        <v>0</v>
      </c>
      <c r="BH258" s="29">
        <f t="shared" si="45"/>
        <v>0</v>
      </c>
      <c r="BI258" s="31">
        <f t="shared" si="45"/>
        <v>0</v>
      </c>
      <c r="BJ258" s="39">
        <f t="shared" si="45"/>
        <v>0</v>
      </c>
      <c r="BK258" s="41">
        <f t="shared" si="45"/>
        <v>0</v>
      </c>
      <c r="BL258" s="39">
        <f t="shared" si="45"/>
        <v>0</v>
      </c>
      <c r="BM258" s="31">
        <f t="shared" si="45"/>
        <v>0</v>
      </c>
      <c r="BN258" s="43">
        <f>SUM(BN252:BN257)</f>
        <v>0</v>
      </c>
      <c r="BO258" s="108">
        <f>SUM(BO252:BO257)</f>
        <v>0</v>
      </c>
      <c r="BP258" s="257">
        <f>SUM(BP252:BP257)</f>
        <v>2</v>
      </c>
      <c r="BQ258" s="240">
        <f>SUM(BQ252:BQ257)</f>
        <v>4</v>
      </c>
    </row>
    <row r="259" spans="2:69" s="6" customFormat="1" ht="39" customHeight="1">
      <c r="B259" s="120"/>
      <c r="C259" s="150"/>
      <c r="D259" s="7"/>
      <c r="E259" s="7"/>
      <c r="F259" s="7"/>
      <c r="G259" s="7"/>
      <c r="H259" s="7"/>
      <c r="I259" s="7"/>
      <c r="J259" s="7"/>
      <c r="K259" s="7"/>
      <c r="L259" s="7"/>
      <c r="M259" s="7"/>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c r="BP259"/>
      <c r="BQ259"/>
    </row>
    <row r="260" spans="2:69" ht="23.25" customHeight="1" thickBo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43" t="s">
        <v>69</v>
      </c>
      <c r="C261" s="749">
        <f>COUNTIF(B264:B291,"*")</f>
        <v>19</v>
      </c>
      <c r="D261" s="751">
        <v>1</v>
      </c>
      <c r="E261" s="738"/>
      <c r="F261" s="737">
        <v>2</v>
      </c>
      <c r="G261" s="738"/>
      <c r="H261" s="737">
        <v>3</v>
      </c>
      <c r="I261" s="738"/>
      <c r="J261" s="737">
        <v>4</v>
      </c>
      <c r="K261" s="738"/>
      <c r="L261" s="737">
        <v>5</v>
      </c>
      <c r="M261" s="738"/>
      <c r="N261" s="737">
        <v>6</v>
      </c>
      <c r="O261" s="738"/>
      <c r="P261" s="737">
        <v>7</v>
      </c>
      <c r="Q261" s="738"/>
      <c r="R261" s="737">
        <v>8</v>
      </c>
      <c r="S261" s="738"/>
      <c r="T261" s="737">
        <v>9</v>
      </c>
      <c r="U261" s="738"/>
      <c r="V261" s="737">
        <v>10</v>
      </c>
      <c r="W261" s="738"/>
      <c r="X261" s="737">
        <v>11</v>
      </c>
      <c r="Y261" s="738"/>
      <c r="Z261" s="737">
        <v>12</v>
      </c>
      <c r="AA261" s="738"/>
      <c r="AB261" s="737">
        <v>13</v>
      </c>
      <c r="AC261" s="738"/>
      <c r="AD261" s="737">
        <v>14</v>
      </c>
      <c r="AE261" s="738"/>
      <c r="AF261" s="737">
        <v>15</v>
      </c>
      <c r="AG261" s="784"/>
      <c r="AH261" s="741">
        <v>16</v>
      </c>
      <c r="AI261" s="741"/>
      <c r="AJ261" s="741">
        <v>17</v>
      </c>
      <c r="AK261" s="741"/>
      <c r="AL261" s="741">
        <v>18</v>
      </c>
      <c r="AM261" s="741"/>
      <c r="AN261" s="741">
        <v>19</v>
      </c>
      <c r="AO261" s="741"/>
      <c r="AP261" s="741">
        <v>20</v>
      </c>
      <c r="AQ261" s="741"/>
      <c r="AR261" s="741">
        <v>21</v>
      </c>
      <c r="AS261" s="741"/>
      <c r="AT261" s="741">
        <v>22</v>
      </c>
      <c r="AU261" s="741"/>
      <c r="AV261" s="741">
        <v>23</v>
      </c>
      <c r="AW261" s="741"/>
      <c r="AX261" s="741">
        <v>24</v>
      </c>
      <c r="AY261" s="741"/>
      <c r="AZ261" s="741">
        <v>25</v>
      </c>
      <c r="BA261" s="741"/>
      <c r="BB261" s="741">
        <v>26</v>
      </c>
      <c r="BC261" s="741"/>
      <c r="BD261" s="741">
        <v>27</v>
      </c>
      <c r="BE261" s="741"/>
      <c r="BF261" s="741">
        <v>28</v>
      </c>
      <c r="BG261" s="741"/>
      <c r="BH261" s="741">
        <v>29</v>
      </c>
      <c r="BI261" s="741"/>
      <c r="BJ261" s="741">
        <v>30</v>
      </c>
      <c r="BK261" s="741"/>
      <c r="BL261" s="741">
        <v>31</v>
      </c>
      <c r="BM261" s="741"/>
      <c r="BN261" s="738" t="s">
        <v>251</v>
      </c>
      <c r="BO261" s="760"/>
      <c r="BP261" s="771" t="s">
        <v>353</v>
      </c>
      <c r="BQ261" s="772"/>
    </row>
    <row r="262" spans="2:69" ht="24.95" customHeight="1">
      <c r="B262" s="744"/>
      <c r="C262" s="747"/>
      <c r="D262" s="752" t="str">
        <f>D2</f>
        <v>土</v>
      </c>
      <c r="E262" s="740"/>
      <c r="F262" s="739" t="str">
        <f>F2</f>
        <v>日</v>
      </c>
      <c r="G262" s="740"/>
      <c r="H262" s="739" t="str">
        <f>H2</f>
        <v>月</v>
      </c>
      <c r="I262" s="740"/>
      <c r="J262" s="739" t="str">
        <f>J2</f>
        <v>火</v>
      </c>
      <c r="K262" s="740"/>
      <c r="L262" s="739" t="str">
        <f>L2</f>
        <v>水</v>
      </c>
      <c r="M262" s="740"/>
      <c r="N262" s="739" t="str">
        <f>N2</f>
        <v>木</v>
      </c>
      <c r="O262" s="740"/>
      <c r="P262" s="739" t="str">
        <f>P2</f>
        <v>金</v>
      </c>
      <c r="Q262" s="740"/>
      <c r="R262" s="739" t="str">
        <f>R2</f>
        <v>土</v>
      </c>
      <c r="S262" s="740"/>
      <c r="T262" s="739" t="str">
        <f>T2</f>
        <v>日</v>
      </c>
      <c r="U262" s="740"/>
      <c r="V262" s="739" t="str">
        <f>V2</f>
        <v>月</v>
      </c>
      <c r="W262" s="740"/>
      <c r="X262" s="739" t="str">
        <f>X2</f>
        <v>火</v>
      </c>
      <c r="Y262" s="740"/>
      <c r="Z262" s="739" t="str">
        <f>Z2</f>
        <v>水</v>
      </c>
      <c r="AA262" s="740"/>
      <c r="AB262" s="739" t="str">
        <f>AB2</f>
        <v>木</v>
      </c>
      <c r="AC262" s="740"/>
      <c r="AD262" s="739" t="str">
        <f>AD2</f>
        <v>金</v>
      </c>
      <c r="AE262" s="740"/>
      <c r="AF262" s="739" t="str">
        <f>AF2</f>
        <v>土</v>
      </c>
      <c r="AG262" s="740"/>
      <c r="AH262" s="786" t="str">
        <f>AH2</f>
        <v>日</v>
      </c>
      <c r="AI262" s="767"/>
      <c r="AJ262" s="770" t="str">
        <f>AJ2</f>
        <v>月</v>
      </c>
      <c r="AK262" s="770"/>
      <c r="AL262" s="770" t="str">
        <f>AL2</f>
        <v>火</v>
      </c>
      <c r="AM262" s="770"/>
      <c r="AN262" s="770" t="str">
        <f>AN2</f>
        <v>水</v>
      </c>
      <c r="AO262" s="770"/>
      <c r="AP262" s="770" t="str">
        <f>AP2</f>
        <v>木</v>
      </c>
      <c r="AQ262" s="770"/>
      <c r="AR262" s="770" t="str">
        <f>AR2</f>
        <v>金</v>
      </c>
      <c r="AS262" s="770"/>
      <c r="AT262" s="770" t="str">
        <f>AT2</f>
        <v>土</v>
      </c>
      <c r="AU262" s="770"/>
      <c r="AV262" s="770" t="str">
        <f>AV2</f>
        <v>日</v>
      </c>
      <c r="AW262" s="770"/>
      <c r="AX262" s="770" t="str">
        <f>AX2</f>
        <v>月</v>
      </c>
      <c r="AY262" s="770"/>
      <c r="AZ262" s="770" t="str">
        <f>AZ2</f>
        <v>火</v>
      </c>
      <c r="BA262" s="770"/>
      <c r="BB262" s="770" t="str">
        <f>BB2</f>
        <v>水</v>
      </c>
      <c r="BC262" s="770"/>
      <c r="BD262" s="770" t="str">
        <f>BD2</f>
        <v>木</v>
      </c>
      <c r="BE262" s="770"/>
      <c r="BF262" s="770" t="str">
        <f>BF2</f>
        <v>金</v>
      </c>
      <c r="BG262" s="770"/>
      <c r="BH262" s="770" t="str">
        <f>BH2</f>
        <v>土</v>
      </c>
      <c r="BI262" s="770"/>
      <c r="BJ262" s="770" t="str">
        <f>BJ2</f>
        <v>日</v>
      </c>
      <c r="BK262" s="770"/>
      <c r="BL262" s="770" t="str">
        <f>BL2</f>
        <v>月</v>
      </c>
      <c r="BM262" s="770"/>
      <c r="BN262" s="761"/>
      <c r="BO262" s="762"/>
      <c r="BP262" s="773"/>
      <c r="BQ262" s="774"/>
    </row>
    <row r="263" spans="2:69" ht="24.95" customHeight="1">
      <c r="B263" s="744"/>
      <c r="C263" s="747"/>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4" t="s">
        <v>73</v>
      </c>
      <c r="AH263" s="48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ht="45" customHeight="1">
      <c r="B264" s="203" t="str">
        <f>'1月'!$B$264</f>
        <v>赤坂　和子</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42"/>
      <c r="AH264" s="89"/>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35"/>
      <c r="BK264" s="42"/>
      <c r="BL264" s="35"/>
      <c r="BM264" s="36"/>
      <c r="BN264" s="70">
        <f>SUM(D264,F264,H264,J264,L264,N264,P264,R264,T264,V264,X264,Z264,AB264,AD264,AF264,AH264,AJ264,AL264,AN264,AP264,AR264,AT264,AV264,AX264,AZ264,BB264,BD264,BF264,BH264,BJ264,BL264)</f>
        <v>0</v>
      </c>
      <c r="BO264" s="73">
        <f>SUM(E264,G264,I264,K264,M264,O264,Q264,S264,U264,W264,Y264,AA264,AC264,AE264,AG264,AI264,AK264,AM264,AO264,AQ264,AS264,AU264,AW264,AY264,BA264,BC264,BE264,BG264,BI264,BK264,BM264)</f>
        <v>0</v>
      </c>
      <c r="BP264" s="631">
        <f>INDEX('1月'!$B$4:$BQ$375,MATCH('2月'!B264,'1月'!$B$4:$B$375,0),67)+BN264</f>
        <v>0</v>
      </c>
      <c r="BQ264" s="702">
        <f>INDEX('1月'!$B$4:$BQ$375,MATCH('2月'!B264,'1月'!$B$4:$B$375,0),68)+BO264</f>
        <v>0</v>
      </c>
    </row>
    <row r="265" spans="2:69" s="6" customFormat="1" ht="50.1" customHeight="1">
      <c r="B265" s="201" t="str">
        <f>'1月'!$B$265</f>
        <v>赤坂　純子</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18"/>
      <c r="AG265" s="15"/>
      <c r="AH265" s="18"/>
      <c r="AI265" s="14"/>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37"/>
      <c r="BK265" s="15"/>
      <c r="BL265" s="37"/>
      <c r="BM265" s="14"/>
      <c r="BN265" s="102">
        <f t="shared" ref="BN265:BN291" si="46">SUM(D265,F265,H265,J265,L265,N265,P265,R265,T265,V265,X265,Z265,AB265,AD265,AF265,AH265,AJ265,AL265,AN265,AP265,AR265,AT265,AV265,AX265,AZ265,BB265,BD265,BF265,BH265,BJ265,BL265)</f>
        <v>0</v>
      </c>
      <c r="BO265" s="47">
        <f t="shared" ref="BO265:BO291" si="47">SUM(E265,G265,I265,K265,M265,O265,Q265,S265,U265,W265,Y265,AA265,AC265,AE265,AG265,AI265,AK265,AM265,AO265,AQ265,AS265,AU265,AW265,AY265,BA265,BC265,BE265,BG265,BI265,BK265,BM265)</f>
        <v>0</v>
      </c>
      <c r="BP265" s="631">
        <f>INDEX('1月'!$B$4:$BQ$375,MATCH('2月'!B265,'1月'!$B$4:$B$375,0),67)+BN265</f>
        <v>0</v>
      </c>
      <c r="BQ265" s="702">
        <f>INDEX('1月'!$B$4:$BQ$375,MATCH('2月'!B265,'1月'!$B$4:$B$375,0),68)+BO265</f>
        <v>0</v>
      </c>
    </row>
    <row r="266" spans="2:69" s="6" customFormat="1" ht="50.1" customHeight="1">
      <c r="B266" s="209" t="str">
        <f>'1月'!$B$266</f>
        <v>榎本　明美</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37"/>
      <c r="BK266" s="15"/>
      <c r="BL266" s="37"/>
      <c r="BM266" s="14"/>
      <c r="BN266" s="102">
        <f t="shared" si="46"/>
        <v>0</v>
      </c>
      <c r="BO266" s="47">
        <f t="shared" si="47"/>
        <v>0</v>
      </c>
      <c r="BP266" s="631">
        <f>INDEX('1月'!$B$4:$BQ$375,MATCH('2月'!B266,'1月'!$B$4:$B$375,0),67)+BN266</f>
        <v>2</v>
      </c>
      <c r="BQ266" s="702">
        <f>INDEX('1月'!$B$4:$BQ$375,MATCH('2月'!B266,'1月'!$B$4:$B$375,0),68)+BO266</f>
        <v>3</v>
      </c>
    </row>
    <row r="267" spans="2:69" s="6" customFormat="1" ht="50.1" customHeight="1">
      <c r="B267" s="201" t="str">
        <f>'1月'!$B$267</f>
        <v>大前　順子</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37"/>
      <c r="BK267" s="15"/>
      <c r="BL267" s="37"/>
      <c r="BM267" s="14"/>
      <c r="BN267" s="102">
        <f t="shared" si="46"/>
        <v>0</v>
      </c>
      <c r="BO267" s="47">
        <f t="shared" si="47"/>
        <v>0</v>
      </c>
      <c r="BP267" s="631">
        <f>INDEX('1月'!$B$4:$BQ$375,MATCH('2月'!B267,'1月'!$B$4:$B$375,0),67)+BN267</f>
        <v>0</v>
      </c>
      <c r="BQ267" s="702">
        <f>INDEX('1月'!$B$4:$BQ$375,MATCH('2月'!B267,'1月'!$B$4:$B$375,0),68)+BO267</f>
        <v>0</v>
      </c>
    </row>
    <row r="268" spans="2:69" s="6" customFormat="1" ht="50.1" customHeight="1">
      <c r="B268" s="201" t="str">
        <f>'1月'!$B$268</f>
        <v>小笠原　桂子</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18"/>
      <c r="AG268" s="21"/>
      <c r="AH268" s="50"/>
      <c r="AI268" s="20"/>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38"/>
      <c r="BK268" s="21"/>
      <c r="BL268" s="38"/>
      <c r="BM268" s="20"/>
      <c r="BN268" s="102">
        <f t="shared" si="46"/>
        <v>0</v>
      </c>
      <c r="BO268" s="47">
        <f t="shared" si="47"/>
        <v>0</v>
      </c>
      <c r="BP268" s="631">
        <f>INDEX('1月'!$B$4:$BQ$375,MATCH('2月'!B268,'1月'!$B$4:$B$375,0),67)+BN268</f>
        <v>0</v>
      </c>
      <c r="BQ268" s="702">
        <f>INDEX('1月'!$B$4:$BQ$375,MATCH('2月'!B268,'1月'!$B$4:$B$375,0),68)+BO268</f>
        <v>0</v>
      </c>
    </row>
    <row r="269" spans="2:69" s="6" customFormat="1" ht="50.1" customHeight="1">
      <c r="B269" s="201" t="str">
        <f>'1月'!$B$269</f>
        <v>小笠原　幹子</v>
      </c>
      <c r="C269" s="146"/>
      <c r="D269" s="18"/>
      <c r="E269" s="14"/>
      <c r="F269" s="18"/>
      <c r="G269" s="14"/>
      <c r="H269" s="18"/>
      <c r="I269" s="14"/>
      <c r="J269" s="18"/>
      <c r="K269" s="14"/>
      <c r="L269" s="18"/>
      <c r="M269" s="14"/>
      <c r="N269" s="18"/>
      <c r="O269" s="14"/>
      <c r="P269" s="18"/>
      <c r="Q269" s="14"/>
      <c r="R269" s="18"/>
      <c r="S269" s="14"/>
      <c r="T269" s="18"/>
      <c r="U269" s="14"/>
      <c r="V269" s="18"/>
      <c r="W269" s="14"/>
      <c r="X269" s="18"/>
      <c r="Y269" s="14"/>
      <c r="Z269" s="18"/>
      <c r="AA269" s="14"/>
      <c r="AB269" s="18"/>
      <c r="AC269" s="14"/>
      <c r="AD269" s="18"/>
      <c r="AE269" s="14"/>
      <c r="AF269" s="18"/>
      <c r="AG269" s="15"/>
      <c r="AH269" s="18"/>
      <c r="AI269" s="14"/>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37"/>
      <c r="BK269" s="15"/>
      <c r="BL269" s="37"/>
      <c r="BM269" s="14"/>
      <c r="BN269" s="102">
        <f t="shared" si="46"/>
        <v>0</v>
      </c>
      <c r="BO269" s="47">
        <f t="shared" si="47"/>
        <v>0</v>
      </c>
      <c r="BP269" s="631">
        <f>INDEX('1月'!$B$4:$BQ$375,MATCH('2月'!B269,'1月'!$B$4:$B$375,0),67)+BN269</f>
        <v>2</v>
      </c>
      <c r="BQ269" s="702">
        <f>INDEX('1月'!$B$4:$BQ$375,MATCH('2月'!B269,'1月'!$B$4:$B$375,0),68)+BO269</f>
        <v>3</v>
      </c>
    </row>
    <row r="270" spans="2:69" s="6" customFormat="1" ht="50.1" customHeight="1">
      <c r="B270" s="201" t="str">
        <f>'1月'!$B$270</f>
        <v>貝守　美奈子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37"/>
      <c r="BK270" s="15"/>
      <c r="BL270" s="37"/>
      <c r="BM270" s="14"/>
      <c r="BN270" s="102">
        <f t="shared" si="46"/>
        <v>0</v>
      </c>
      <c r="BO270" s="47">
        <f t="shared" si="47"/>
        <v>0</v>
      </c>
      <c r="BP270" s="631">
        <f>INDEX('1月'!$B$4:$BQ$375,MATCH('2月'!B270,'1月'!$B$4:$B$375,0),67)+BN270</f>
        <v>0</v>
      </c>
      <c r="BQ270" s="702">
        <f>INDEX('1月'!$B$4:$BQ$375,MATCH('2月'!B270,'1月'!$B$4:$B$375,0),68)+BO270</f>
        <v>0</v>
      </c>
    </row>
    <row r="271" spans="2:69" s="6" customFormat="1" ht="50.1" customHeight="1">
      <c r="B271" s="201" t="str">
        <f>'1月'!$B$271</f>
        <v>川守田　潤子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37"/>
      <c r="BK271" s="15"/>
      <c r="BL271" s="37"/>
      <c r="BM271" s="14"/>
      <c r="BN271" s="102">
        <f t="shared" si="46"/>
        <v>0</v>
      </c>
      <c r="BO271" s="47">
        <f t="shared" si="47"/>
        <v>0</v>
      </c>
      <c r="BP271" s="631">
        <f>INDEX('1月'!$B$4:$BQ$375,MATCH('2月'!B271,'1月'!$B$4:$B$375,0),67)+BN271</f>
        <v>1</v>
      </c>
      <c r="BQ271" s="702">
        <f>INDEX('1月'!$B$4:$BQ$375,MATCH('2月'!B271,'1月'!$B$4:$B$375,0),68)+BO271</f>
        <v>2</v>
      </c>
    </row>
    <row r="272" spans="2:69" s="6" customFormat="1" ht="50.1" customHeight="1">
      <c r="B272" s="201" t="str">
        <f>'1月'!$B$272</f>
        <v>木村　かつ</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37"/>
      <c r="BK272" s="15"/>
      <c r="BL272" s="37"/>
      <c r="BM272" s="14"/>
      <c r="BN272" s="102">
        <f t="shared" si="46"/>
        <v>0</v>
      </c>
      <c r="BO272" s="47">
        <f t="shared" si="47"/>
        <v>0</v>
      </c>
      <c r="BP272" s="631">
        <f>INDEX('1月'!$B$4:$BQ$375,MATCH('2月'!B272,'1月'!$B$4:$B$375,0),67)+BN272</f>
        <v>0</v>
      </c>
      <c r="BQ272" s="702">
        <f>INDEX('1月'!$B$4:$BQ$375,MATCH('2月'!B272,'1月'!$B$4:$B$375,0),68)+BO272</f>
        <v>0</v>
      </c>
    </row>
    <row r="273" spans="2:69" s="6" customFormat="1" ht="50.1" customHeight="1">
      <c r="B273" s="201" t="str">
        <f>'1月'!$B$273</f>
        <v>木村　紀子</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37"/>
      <c r="BK273" s="15"/>
      <c r="BL273" s="37"/>
      <c r="BM273" s="14"/>
      <c r="BN273" s="102">
        <f t="shared" si="46"/>
        <v>0</v>
      </c>
      <c r="BO273" s="47">
        <f t="shared" si="47"/>
        <v>0</v>
      </c>
      <c r="BP273" s="631">
        <f>INDEX('1月'!$B$4:$BQ$375,MATCH('2月'!B273,'1月'!$B$4:$B$375,0),67)+BN273</f>
        <v>2</v>
      </c>
      <c r="BQ273" s="702">
        <f>INDEX('1月'!$B$4:$BQ$375,MATCH('2月'!B273,'1月'!$B$4:$B$375,0),68)+BO273</f>
        <v>2</v>
      </c>
    </row>
    <row r="274" spans="2:69" s="6" customFormat="1" ht="50.1" customHeight="1">
      <c r="B274" s="201" t="str">
        <f>'1月'!$B$274</f>
        <v>斉藤　尚子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37"/>
      <c r="BK274" s="15"/>
      <c r="BL274" s="37"/>
      <c r="BM274" s="14"/>
      <c r="BN274" s="102">
        <f t="shared" si="46"/>
        <v>0</v>
      </c>
      <c r="BO274" s="47">
        <f t="shared" si="47"/>
        <v>0</v>
      </c>
      <c r="BP274" s="631">
        <f>INDEX('1月'!$B$4:$BQ$375,MATCH('2月'!B274,'1月'!$B$4:$B$375,0),67)+BN274</f>
        <v>2</v>
      </c>
      <c r="BQ274" s="702">
        <f>INDEX('1月'!$B$4:$BQ$375,MATCH('2月'!B274,'1月'!$B$4:$B$375,0),68)+BO274</f>
        <v>4</v>
      </c>
    </row>
    <row r="275" spans="2:69" s="6" customFormat="1" ht="50.1" customHeight="1">
      <c r="B275" s="201" t="str">
        <f>'1月'!$B$275</f>
        <v>坂　美穂子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37"/>
      <c r="BK275" s="15"/>
      <c r="BL275" s="37"/>
      <c r="BM275" s="14"/>
      <c r="BN275" s="102">
        <f t="shared" si="46"/>
        <v>0</v>
      </c>
      <c r="BO275" s="47">
        <f t="shared" si="47"/>
        <v>0</v>
      </c>
      <c r="BP275" s="631">
        <f>INDEX('1月'!$B$4:$BQ$375,MATCH('2月'!B275,'1月'!$B$4:$B$375,0),67)+BN275</f>
        <v>0</v>
      </c>
      <c r="BQ275" s="702">
        <f>INDEX('1月'!$B$4:$BQ$375,MATCH('2月'!B275,'1月'!$B$4:$B$375,0),68)+BO275</f>
        <v>0</v>
      </c>
    </row>
    <row r="276" spans="2:69" s="6" customFormat="1" ht="50.1" customHeight="1">
      <c r="B276" s="201" t="str">
        <f>'1月'!$B$276</f>
        <v>坂ノ上　由紀</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37"/>
      <c r="BK276" s="15"/>
      <c r="BL276" s="37"/>
      <c r="BM276" s="14"/>
      <c r="BN276" s="102">
        <f t="shared" si="46"/>
        <v>0</v>
      </c>
      <c r="BO276" s="47">
        <f t="shared" si="47"/>
        <v>0</v>
      </c>
      <c r="BP276" s="631">
        <f>INDEX('1月'!$B$4:$BQ$375,MATCH('2月'!B276,'1月'!$B$4:$B$375,0),67)+BN276</f>
        <v>0</v>
      </c>
      <c r="BQ276" s="702">
        <f>INDEX('1月'!$B$4:$BQ$375,MATCH('2月'!B276,'1月'!$B$4:$B$375,0),68)+BO276</f>
        <v>0</v>
      </c>
    </row>
    <row r="277" spans="2:69" s="6" customFormat="1" ht="50.1" customHeight="1">
      <c r="B277" s="201" t="str">
        <f>'1月'!$B$277</f>
        <v>白石　華奈子</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37"/>
      <c r="BK277" s="15"/>
      <c r="BL277" s="37"/>
      <c r="BM277" s="14"/>
      <c r="BN277" s="102">
        <f t="shared" si="46"/>
        <v>0</v>
      </c>
      <c r="BO277" s="47">
        <f t="shared" si="47"/>
        <v>0</v>
      </c>
      <c r="BP277" s="631">
        <f>INDEX('1月'!$B$4:$BQ$375,MATCH('2月'!B277,'1月'!$B$4:$B$375,0),67)+BN277</f>
        <v>0</v>
      </c>
      <c r="BQ277" s="702">
        <f>INDEX('1月'!$B$4:$BQ$375,MATCH('2月'!B277,'1月'!$B$4:$B$375,0),68)+BO277</f>
        <v>0</v>
      </c>
    </row>
    <row r="278" spans="2:69" s="6" customFormat="1" ht="50.1" customHeight="1">
      <c r="B278" s="201" t="str">
        <f>'1月'!$B$278</f>
        <v>清野　由貴子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37"/>
      <c r="BK278" s="15"/>
      <c r="BL278" s="37"/>
      <c r="BM278" s="14"/>
      <c r="BN278" s="102">
        <f t="shared" si="46"/>
        <v>0</v>
      </c>
      <c r="BO278" s="47">
        <f t="shared" si="47"/>
        <v>0</v>
      </c>
      <c r="BP278" s="631">
        <f>INDEX('1月'!$B$4:$BQ$375,MATCH('2月'!B278,'1月'!$B$4:$B$375,0),67)+BN278</f>
        <v>0</v>
      </c>
      <c r="BQ278" s="702">
        <f>INDEX('1月'!$B$4:$BQ$375,MATCH('2月'!B278,'1月'!$B$4:$B$375,0),68)+BO278</f>
        <v>0</v>
      </c>
    </row>
    <row r="279" spans="2:69" s="6" customFormat="1" ht="50.1" customHeight="1">
      <c r="B279" s="201" t="str">
        <f>'1月'!$B$279</f>
        <v>玉川　妙子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37"/>
      <c r="BK279" s="15"/>
      <c r="BL279" s="37"/>
      <c r="BM279" s="14"/>
      <c r="BN279" s="102">
        <f t="shared" si="46"/>
        <v>0</v>
      </c>
      <c r="BO279" s="47">
        <f t="shared" si="47"/>
        <v>0</v>
      </c>
      <c r="BP279" s="631">
        <f>INDEX('1月'!$B$4:$BQ$375,MATCH('2月'!B279,'1月'!$B$4:$B$375,0),67)+BN279</f>
        <v>0</v>
      </c>
      <c r="BQ279" s="702">
        <f>INDEX('1月'!$B$4:$BQ$375,MATCH('2月'!B279,'1月'!$B$4:$B$375,0),68)+BO279</f>
        <v>0</v>
      </c>
    </row>
    <row r="280" spans="2:69" s="6" customFormat="1" ht="50.1" customHeight="1">
      <c r="B280" s="201" t="str">
        <f>'1月'!$B$280</f>
        <v>林下　恵</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18"/>
      <c r="AG280" s="21"/>
      <c r="AH280" s="18"/>
      <c r="AI280" s="20"/>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38"/>
      <c r="BK280" s="21"/>
      <c r="BL280" s="38"/>
      <c r="BM280" s="20"/>
      <c r="BN280" s="102">
        <f t="shared" si="46"/>
        <v>0</v>
      </c>
      <c r="BO280" s="47">
        <f t="shared" si="47"/>
        <v>0</v>
      </c>
      <c r="BP280" s="631">
        <f>INDEX('1月'!$B$4:$BQ$375,MATCH('2月'!B280,'1月'!$B$4:$B$375,0),67)+BN280</f>
        <v>0</v>
      </c>
      <c r="BQ280" s="702">
        <f>INDEX('1月'!$B$4:$BQ$375,MATCH('2月'!B280,'1月'!$B$4:$B$375,0),68)+BO280</f>
        <v>0</v>
      </c>
    </row>
    <row r="281" spans="2:69" s="6" customFormat="1" ht="50.1" customHeight="1">
      <c r="B281" s="201" t="str">
        <f>'1月'!$B$281</f>
        <v>山村　恭代</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38"/>
      <c r="BK281" s="21"/>
      <c r="BL281" s="38"/>
      <c r="BM281" s="20"/>
      <c r="BN281" s="102">
        <f t="shared" si="46"/>
        <v>0</v>
      </c>
      <c r="BO281" s="47">
        <f t="shared" si="47"/>
        <v>0</v>
      </c>
      <c r="BP281" s="631">
        <f>INDEX('1月'!$B$4:$BQ$375,MATCH('2月'!B281,'1月'!$B$4:$B$375,0),67)+BN281</f>
        <v>0</v>
      </c>
      <c r="BQ281" s="702">
        <f>INDEX('1月'!$B$4:$BQ$375,MATCH('2月'!B281,'1月'!$B$4:$B$375,0),68)+BO281</f>
        <v>0</v>
      </c>
    </row>
    <row r="282" spans="2:69" s="6" customFormat="1" ht="50.1" customHeight="1">
      <c r="B282" s="201" t="str">
        <f>'1月'!$B$282</f>
        <v>山本　えり子</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38"/>
      <c r="BK282" s="21"/>
      <c r="BL282" s="38"/>
      <c r="BM282" s="20"/>
      <c r="BN282" s="102">
        <f t="shared" si="46"/>
        <v>0</v>
      </c>
      <c r="BO282" s="47">
        <f t="shared" si="47"/>
        <v>0</v>
      </c>
      <c r="BP282" s="631">
        <f>INDEX('1月'!$B$4:$BQ$375,MATCH('2月'!B282,'1月'!$B$4:$B$375,0),67)+BN282</f>
        <v>0</v>
      </c>
      <c r="BQ282" s="702">
        <f>INDEX('1月'!$B$4:$BQ$375,MATCH('2月'!B282,'1月'!$B$4:$B$375,0),68)+BO282</f>
        <v>0</v>
      </c>
    </row>
    <row r="283" spans="2:69" s="6" customFormat="1" ht="50.1" customHeight="1">
      <c r="B283" s="201">
        <f>'1月'!$B$283</f>
        <v>0</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38"/>
      <c r="BK283" s="21"/>
      <c r="BL283" s="38"/>
      <c r="BM283" s="20"/>
      <c r="BN283" s="102">
        <f t="shared" si="46"/>
        <v>0</v>
      </c>
      <c r="BO283" s="47">
        <f t="shared" si="47"/>
        <v>0</v>
      </c>
      <c r="BP283" s="631"/>
      <c r="BQ283" s="559"/>
    </row>
    <row r="284" spans="2:69" s="6" customFormat="1" ht="56.25" customHeight="1">
      <c r="B284" s="154">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38"/>
      <c r="BK284" s="21"/>
      <c r="BL284" s="38"/>
      <c r="BM284" s="20"/>
      <c r="BN284" s="102">
        <f t="shared" si="46"/>
        <v>0</v>
      </c>
      <c r="BO284" s="47">
        <f t="shared" si="47"/>
        <v>0</v>
      </c>
      <c r="BP284" s="631"/>
      <c r="BQ284" s="559"/>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50"/>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38"/>
      <c r="BK285" s="21"/>
      <c r="BL285" s="38"/>
      <c r="BM285" s="20"/>
      <c r="BN285" s="102">
        <f t="shared" si="46"/>
        <v>0</v>
      </c>
      <c r="BO285" s="47">
        <f t="shared" si="47"/>
        <v>0</v>
      </c>
      <c r="BP285" s="631"/>
      <c r="BQ285" s="559"/>
    </row>
    <row r="286" spans="2:69" s="6" customFormat="1" ht="15.95" customHeight="1">
      <c r="B286" s="154">
        <f>'1月'!$B$286</f>
        <v>0</v>
      </c>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18"/>
      <c r="AG286" s="62"/>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38"/>
      <c r="BK286" s="21"/>
      <c r="BL286" s="38"/>
      <c r="BM286" s="20"/>
      <c r="BN286" s="102">
        <f t="shared" si="46"/>
        <v>0</v>
      </c>
      <c r="BO286" s="47">
        <f t="shared" si="47"/>
        <v>0</v>
      </c>
      <c r="BP286" s="631"/>
      <c r="BQ286" s="559"/>
    </row>
    <row r="287" spans="2:69" s="6" customFormat="1" ht="15.95" customHeight="1">
      <c r="B287" s="154">
        <f>'1月'!$B$287</f>
        <v>0</v>
      </c>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0"/>
      <c r="AG287" s="21"/>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38"/>
      <c r="BK287" s="21"/>
      <c r="BL287" s="38"/>
      <c r="BM287" s="20"/>
      <c r="BN287" s="102">
        <f t="shared" si="46"/>
        <v>0</v>
      </c>
      <c r="BO287" s="47">
        <f t="shared" si="47"/>
        <v>0</v>
      </c>
      <c r="BP287" s="631"/>
      <c r="BQ287" s="559"/>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38"/>
      <c r="BK288" s="21"/>
      <c r="BL288" s="38"/>
      <c r="BM288" s="20"/>
      <c r="BN288" s="102">
        <f t="shared" si="46"/>
        <v>0</v>
      </c>
      <c r="BO288" s="47">
        <f t="shared" si="47"/>
        <v>0</v>
      </c>
      <c r="BP288" s="631"/>
      <c r="BQ288" s="559"/>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38"/>
      <c r="BK289" s="21"/>
      <c r="BL289" s="38"/>
      <c r="BM289" s="20"/>
      <c r="BN289" s="102">
        <f t="shared" si="46"/>
        <v>0</v>
      </c>
      <c r="BO289" s="47">
        <f t="shared" si="47"/>
        <v>0</v>
      </c>
      <c r="BP289" s="631"/>
      <c r="BQ289" s="559"/>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38"/>
      <c r="BK290" s="21"/>
      <c r="BL290" s="38"/>
      <c r="BM290" s="20"/>
      <c r="BN290" s="102">
        <f t="shared" si="46"/>
        <v>0</v>
      </c>
      <c r="BO290" s="47">
        <f t="shared" si="47"/>
        <v>0</v>
      </c>
      <c r="BP290" s="631"/>
      <c r="BQ290" s="559"/>
    </row>
    <row r="291" spans="2:69" s="6" customFormat="1" ht="15.95" customHeight="1" thickBot="1">
      <c r="B291" s="155">
        <f>'1月'!$B$291</f>
        <v>0</v>
      </c>
      <c r="C291" s="147"/>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18"/>
      <c r="AI291" s="14"/>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37"/>
      <c r="BK291" s="15"/>
      <c r="BL291" s="37"/>
      <c r="BM291" s="14"/>
      <c r="BN291" s="102">
        <f t="shared" si="46"/>
        <v>0</v>
      </c>
      <c r="BO291" s="47">
        <f t="shared" si="47"/>
        <v>0</v>
      </c>
      <c r="BP291" s="631"/>
      <c r="BQ291" s="559"/>
    </row>
    <row r="292" spans="2:69" s="6" customFormat="1" ht="15.95" customHeight="1" thickBot="1">
      <c r="B292" s="119" t="s">
        <v>101</v>
      </c>
      <c r="C292" s="149"/>
      <c r="D292" s="29">
        <f t="shared" ref="D292:AI292" si="48">SUM(D264:D291)</f>
        <v>0</v>
      </c>
      <c r="E292" s="31">
        <f t="shared" si="48"/>
        <v>0</v>
      </c>
      <c r="F292" s="29">
        <f t="shared" si="48"/>
        <v>0</v>
      </c>
      <c r="G292" s="31">
        <f t="shared" si="48"/>
        <v>0</v>
      </c>
      <c r="H292" s="29">
        <f t="shared" si="48"/>
        <v>0</v>
      </c>
      <c r="I292" s="31">
        <f t="shared" si="48"/>
        <v>0</v>
      </c>
      <c r="J292" s="29">
        <f t="shared" si="48"/>
        <v>0</v>
      </c>
      <c r="K292" s="31">
        <f t="shared" si="48"/>
        <v>0</v>
      </c>
      <c r="L292" s="29">
        <f t="shared" si="48"/>
        <v>0</v>
      </c>
      <c r="M292" s="31">
        <f t="shared" si="48"/>
        <v>0</v>
      </c>
      <c r="N292" s="29">
        <f t="shared" si="48"/>
        <v>0</v>
      </c>
      <c r="O292" s="31">
        <f t="shared" si="48"/>
        <v>0</v>
      </c>
      <c r="P292" s="29">
        <f t="shared" si="48"/>
        <v>0</v>
      </c>
      <c r="Q292" s="31">
        <f t="shared" si="48"/>
        <v>0</v>
      </c>
      <c r="R292" s="29">
        <f t="shared" si="48"/>
        <v>0</v>
      </c>
      <c r="S292" s="31">
        <f t="shared" si="48"/>
        <v>0</v>
      </c>
      <c r="T292" s="29">
        <f t="shared" si="48"/>
        <v>0</v>
      </c>
      <c r="U292" s="31">
        <f t="shared" si="48"/>
        <v>0</v>
      </c>
      <c r="V292" s="29">
        <f t="shared" si="48"/>
        <v>0</v>
      </c>
      <c r="W292" s="31">
        <f t="shared" si="48"/>
        <v>0</v>
      </c>
      <c r="X292" s="29">
        <f t="shared" si="48"/>
        <v>0</v>
      </c>
      <c r="Y292" s="31">
        <f t="shared" si="48"/>
        <v>0</v>
      </c>
      <c r="Z292" s="29">
        <f t="shared" si="48"/>
        <v>0</v>
      </c>
      <c r="AA292" s="31">
        <f t="shared" si="48"/>
        <v>0</v>
      </c>
      <c r="AB292" s="29">
        <f t="shared" si="48"/>
        <v>0</v>
      </c>
      <c r="AC292" s="31">
        <f t="shared" si="48"/>
        <v>0</v>
      </c>
      <c r="AD292" s="29">
        <f t="shared" si="48"/>
        <v>0</v>
      </c>
      <c r="AE292" s="31">
        <f t="shared" si="48"/>
        <v>0</v>
      </c>
      <c r="AF292" s="29">
        <f t="shared" si="48"/>
        <v>0</v>
      </c>
      <c r="AG292" s="41">
        <f t="shared" si="48"/>
        <v>0</v>
      </c>
      <c r="AH292" s="29">
        <f t="shared" si="48"/>
        <v>0</v>
      </c>
      <c r="AI292" s="31">
        <f t="shared" si="48"/>
        <v>0</v>
      </c>
      <c r="AJ292" s="29">
        <f t="shared" ref="AJ292:BO292" si="49">SUM(AJ264:AJ291)</f>
        <v>0</v>
      </c>
      <c r="AK292" s="31">
        <f t="shared" si="49"/>
        <v>0</v>
      </c>
      <c r="AL292" s="29">
        <f t="shared" si="49"/>
        <v>0</v>
      </c>
      <c r="AM292" s="31">
        <f t="shared" si="49"/>
        <v>0</v>
      </c>
      <c r="AN292" s="29">
        <f t="shared" si="49"/>
        <v>0</v>
      </c>
      <c r="AO292" s="31">
        <f t="shared" si="49"/>
        <v>0</v>
      </c>
      <c r="AP292" s="29">
        <f t="shared" si="49"/>
        <v>0</v>
      </c>
      <c r="AQ292" s="31">
        <f t="shared" si="49"/>
        <v>0</v>
      </c>
      <c r="AR292" s="29">
        <f t="shared" si="49"/>
        <v>0</v>
      </c>
      <c r="AS292" s="31">
        <f t="shared" si="49"/>
        <v>0</v>
      </c>
      <c r="AT292" s="29">
        <f t="shared" si="49"/>
        <v>0</v>
      </c>
      <c r="AU292" s="31">
        <f t="shared" si="49"/>
        <v>0</v>
      </c>
      <c r="AV292" s="29">
        <f t="shared" si="49"/>
        <v>0</v>
      </c>
      <c r="AW292" s="31">
        <f t="shared" si="49"/>
        <v>0</v>
      </c>
      <c r="AX292" s="29">
        <f t="shared" si="49"/>
        <v>0</v>
      </c>
      <c r="AY292" s="31">
        <f t="shared" si="49"/>
        <v>0</v>
      </c>
      <c r="AZ292" s="29">
        <f t="shared" si="49"/>
        <v>0</v>
      </c>
      <c r="BA292" s="31">
        <f t="shared" si="49"/>
        <v>0</v>
      </c>
      <c r="BB292" s="29">
        <f t="shared" si="49"/>
        <v>0</v>
      </c>
      <c r="BC292" s="31">
        <f t="shared" si="49"/>
        <v>0</v>
      </c>
      <c r="BD292" s="29">
        <f t="shared" si="49"/>
        <v>0</v>
      </c>
      <c r="BE292" s="31">
        <f t="shared" si="49"/>
        <v>0</v>
      </c>
      <c r="BF292" s="29">
        <f t="shared" si="49"/>
        <v>0</v>
      </c>
      <c r="BG292" s="31">
        <f t="shared" si="49"/>
        <v>0</v>
      </c>
      <c r="BH292" s="29">
        <f t="shared" si="49"/>
        <v>0</v>
      </c>
      <c r="BI292" s="31">
        <f t="shared" si="49"/>
        <v>0</v>
      </c>
      <c r="BJ292" s="39">
        <f t="shared" si="49"/>
        <v>0</v>
      </c>
      <c r="BK292" s="41">
        <f t="shared" si="49"/>
        <v>0</v>
      </c>
      <c r="BL292" s="39">
        <f t="shared" si="49"/>
        <v>0</v>
      </c>
      <c r="BM292" s="31">
        <f t="shared" si="49"/>
        <v>0</v>
      </c>
      <c r="BN292" s="32">
        <f t="shared" si="49"/>
        <v>0</v>
      </c>
      <c r="BO292" s="40">
        <f t="shared" si="49"/>
        <v>0</v>
      </c>
      <c r="BP292" s="257">
        <f>SUM(BP264:BP291)</f>
        <v>9</v>
      </c>
      <c r="BQ292" s="240">
        <f>SUM(BQ264:BQ291)</f>
        <v>14</v>
      </c>
    </row>
    <row r="293" spans="2:69" s="6" customFormat="1" ht="48" customHeight="1">
      <c r="B293" s="120"/>
      <c r="C293" s="150"/>
      <c r="D293" s="7"/>
      <c r="E293" s="7"/>
      <c r="F293" s="7"/>
      <c r="G293" s="7"/>
      <c r="H293" s="7"/>
      <c r="I293" s="7"/>
      <c r="J293" s="7"/>
      <c r="K293" s="7"/>
      <c r="L293" s="7"/>
      <c r="M293" s="7"/>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c r="BP293"/>
      <c r="BQ293"/>
    </row>
    <row r="294" spans="2:69" ht="24.75" customHeight="1" thickBot="1">
      <c r="B294" s="120"/>
      <c r="AG294" s="8"/>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75" customHeight="1">
      <c r="B295" s="743" t="s">
        <v>147</v>
      </c>
      <c r="C295" s="749">
        <f>COUNTIF(B298:B326,"*")</f>
        <v>26</v>
      </c>
      <c r="D295" s="751">
        <v>1</v>
      </c>
      <c r="E295" s="738"/>
      <c r="F295" s="737">
        <v>2</v>
      </c>
      <c r="G295" s="738"/>
      <c r="H295" s="737">
        <v>3</v>
      </c>
      <c r="I295" s="738"/>
      <c r="J295" s="737">
        <v>4</v>
      </c>
      <c r="K295" s="738"/>
      <c r="L295" s="737">
        <v>5</v>
      </c>
      <c r="M295" s="738"/>
      <c r="N295" s="737">
        <v>6</v>
      </c>
      <c r="O295" s="738"/>
      <c r="P295" s="737">
        <v>7</v>
      </c>
      <c r="Q295" s="738"/>
      <c r="R295" s="737">
        <v>8</v>
      </c>
      <c r="S295" s="738"/>
      <c r="T295" s="737">
        <v>9</v>
      </c>
      <c r="U295" s="738"/>
      <c r="V295" s="737">
        <v>10</v>
      </c>
      <c r="W295" s="738"/>
      <c r="X295" s="737">
        <v>11</v>
      </c>
      <c r="Y295" s="738"/>
      <c r="Z295" s="737">
        <v>12</v>
      </c>
      <c r="AA295" s="738"/>
      <c r="AB295" s="737">
        <v>13</v>
      </c>
      <c r="AC295" s="738"/>
      <c r="AD295" s="737">
        <v>14</v>
      </c>
      <c r="AE295" s="738"/>
      <c r="AF295" s="737">
        <v>15</v>
      </c>
      <c r="AG295" s="784"/>
      <c r="AH295" s="741">
        <v>16</v>
      </c>
      <c r="AI295" s="741"/>
      <c r="AJ295" s="741">
        <v>17</v>
      </c>
      <c r="AK295" s="741"/>
      <c r="AL295" s="741">
        <v>18</v>
      </c>
      <c r="AM295" s="741"/>
      <c r="AN295" s="741">
        <v>19</v>
      </c>
      <c r="AO295" s="741"/>
      <c r="AP295" s="741">
        <v>20</v>
      </c>
      <c r="AQ295" s="741"/>
      <c r="AR295" s="741">
        <v>21</v>
      </c>
      <c r="AS295" s="741"/>
      <c r="AT295" s="741">
        <v>22</v>
      </c>
      <c r="AU295" s="741"/>
      <c r="AV295" s="741">
        <v>23</v>
      </c>
      <c r="AW295" s="741"/>
      <c r="AX295" s="741">
        <v>24</v>
      </c>
      <c r="AY295" s="741"/>
      <c r="AZ295" s="741">
        <v>25</v>
      </c>
      <c r="BA295" s="741"/>
      <c r="BB295" s="741">
        <v>26</v>
      </c>
      <c r="BC295" s="741"/>
      <c r="BD295" s="741">
        <v>27</v>
      </c>
      <c r="BE295" s="741"/>
      <c r="BF295" s="741">
        <v>28</v>
      </c>
      <c r="BG295" s="741"/>
      <c r="BH295" s="741">
        <v>29</v>
      </c>
      <c r="BI295" s="741"/>
      <c r="BJ295" s="741">
        <v>30</v>
      </c>
      <c r="BK295" s="741"/>
      <c r="BL295" s="741">
        <v>31</v>
      </c>
      <c r="BM295" s="741"/>
      <c r="BN295" s="738" t="s">
        <v>251</v>
      </c>
      <c r="BO295" s="760"/>
      <c r="BP295" s="771" t="s">
        <v>353</v>
      </c>
      <c r="BQ295" s="772"/>
    </row>
    <row r="296" spans="2:69" ht="24.95" customHeight="1">
      <c r="B296" s="744"/>
      <c r="C296" s="747"/>
      <c r="D296" s="752" t="str">
        <f>D2</f>
        <v>土</v>
      </c>
      <c r="E296" s="740"/>
      <c r="F296" s="739" t="str">
        <f>F2</f>
        <v>日</v>
      </c>
      <c r="G296" s="740"/>
      <c r="H296" s="739" t="str">
        <f>H2</f>
        <v>月</v>
      </c>
      <c r="I296" s="740"/>
      <c r="J296" s="739" t="str">
        <f>J2</f>
        <v>火</v>
      </c>
      <c r="K296" s="740"/>
      <c r="L296" s="739" t="str">
        <f>L2</f>
        <v>水</v>
      </c>
      <c r="M296" s="740"/>
      <c r="N296" s="739" t="str">
        <f>N2</f>
        <v>木</v>
      </c>
      <c r="O296" s="740"/>
      <c r="P296" s="739" t="str">
        <f>P2</f>
        <v>金</v>
      </c>
      <c r="Q296" s="740"/>
      <c r="R296" s="739" t="str">
        <f>R2</f>
        <v>土</v>
      </c>
      <c r="S296" s="740"/>
      <c r="T296" s="739" t="str">
        <f>T2</f>
        <v>日</v>
      </c>
      <c r="U296" s="740"/>
      <c r="V296" s="739" t="str">
        <f>V2</f>
        <v>月</v>
      </c>
      <c r="W296" s="740"/>
      <c r="X296" s="739" t="str">
        <f>X2</f>
        <v>火</v>
      </c>
      <c r="Y296" s="740"/>
      <c r="Z296" s="739" t="str">
        <f>Z2</f>
        <v>水</v>
      </c>
      <c r="AA296" s="740"/>
      <c r="AB296" s="739" t="str">
        <f>AB2</f>
        <v>木</v>
      </c>
      <c r="AC296" s="740"/>
      <c r="AD296" s="739" t="str">
        <f>AD2</f>
        <v>金</v>
      </c>
      <c r="AE296" s="740"/>
      <c r="AF296" s="739" t="str">
        <f>AF2</f>
        <v>土</v>
      </c>
      <c r="AG296" s="740"/>
      <c r="AH296" s="786" t="str">
        <f>AH2</f>
        <v>日</v>
      </c>
      <c r="AI296" s="767"/>
      <c r="AJ296" s="770" t="str">
        <f>AJ2</f>
        <v>月</v>
      </c>
      <c r="AK296" s="770"/>
      <c r="AL296" s="770" t="str">
        <f>AL2</f>
        <v>火</v>
      </c>
      <c r="AM296" s="770"/>
      <c r="AN296" s="770" t="str">
        <f>AN2</f>
        <v>水</v>
      </c>
      <c r="AO296" s="770"/>
      <c r="AP296" s="770" t="str">
        <f>AP2</f>
        <v>木</v>
      </c>
      <c r="AQ296" s="770"/>
      <c r="AR296" s="770" t="str">
        <f>AR2</f>
        <v>金</v>
      </c>
      <c r="AS296" s="770"/>
      <c r="AT296" s="770" t="str">
        <f>AT2</f>
        <v>土</v>
      </c>
      <c r="AU296" s="770"/>
      <c r="AV296" s="770" t="str">
        <f>AV2</f>
        <v>日</v>
      </c>
      <c r="AW296" s="770"/>
      <c r="AX296" s="770" t="str">
        <f>AX2</f>
        <v>月</v>
      </c>
      <c r="AY296" s="770"/>
      <c r="AZ296" s="770" t="str">
        <f>AZ2</f>
        <v>火</v>
      </c>
      <c r="BA296" s="770"/>
      <c r="BB296" s="770" t="str">
        <f>BB2</f>
        <v>水</v>
      </c>
      <c r="BC296" s="770"/>
      <c r="BD296" s="770" t="str">
        <f>BD2</f>
        <v>木</v>
      </c>
      <c r="BE296" s="770"/>
      <c r="BF296" s="770" t="str">
        <f>BF2</f>
        <v>金</v>
      </c>
      <c r="BG296" s="770"/>
      <c r="BH296" s="770" t="str">
        <f>BH2</f>
        <v>土</v>
      </c>
      <c r="BI296" s="770"/>
      <c r="BJ296" s="770" t="str">
        <f>BJ2</f>
        <v>日</v>
      </c>
      <c r="BK296" s="770"/>
      <c r="BL296" s="770" t="str">
        <f>BL2</f>
        <v>月</v>
      </c>
      <c r="BM296" s="770"/>
      <c r="BN296" s="761"/>
      <c r="BO296" s="762"/>
      <c r="BP296" s="773"/>
      <c r="BQ296" s="774"/>
    </row>
    <row r="297" spans="2:69" ht="24.95" customHeight="1" thickBot="1">
      <c r="B297" s="744"/>
      <c r="C297" s="747"/>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107" t="s">
        <v>73</v>
      </c>
      <c r="AF297" s="194" t="s">
        <v>72</v>
      </c>
      <c r="AG297" s="107" t="s">
        <v>73</v>
      </c>
      <c r="AH297" s="482" t="s">
        <v>72</v>
      </c>
      <c r="AI297" s="481"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24.95" customHeight="1" thickTop="1">
      <c r="B298" s="205" t="str">
        <f>'1月'!$B$298</f>
        <v>泉山　郁子</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9"/>
      <c r="AF298" s="46"/>
      <c r="AG298" s="9"/>
      <c r="AH298" s="46"/>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179"/>
      <c r="BK298" s="9"/>
      <c r="BL298" s="46"/>
      <c r="BM298" s="10"/>
      <c r="BN298" s="102">
        <f>SUM(D298,F298,H298,J298,L298,N298,P298,R298,T298,V298,X298,Z298,AB298,AD298,AF298,AH298,AJ298,AL298,AN298,AP298,AR298,AT298,AV298,AX298,AZ298,BB298,BD298,BF298,BH298,BJ298,BL298)</f>
        <v>0</v>
      </c>
      <c r="BO298" s="47">
        <f>SUM(E298,G298,I298,K298,M298,O298,Q298,S298,U298,W298,Y298,AA298,AC298,AE298,AG298,AI298,AK298,AM298,AO298,AQ298,AS298,AU298,AW298,AY298,BA298,BC298,BE298,BG298,BI298,BK298,BM298)</f>
        <v>0</v>
      </c>
      <c r="BP298" s="631">
        <f>INDEX('1月'!$B$4:$BQ$375,MATCH('2月'!B298,'1月'!$B$4:$B$375,0),67)+BN298</f>
        <v>0</v>
      </c>
      <c r="BQ298" s="702">
        <f>INDEX('1月'!$B$4:$BQ$375,MATCH('2月'!B298,'1月'!$B$4:$B$375,0),68)+BO298</f>
        <v>0</v>
      </c>
    </row>
    <row r="299" spans="2:69" ht="45" customHeight="1">
      <c r="B299" s="201" t="str">
        <f>'1月'!$B$299</f>
        <v>伊藤　良子</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14"/>
      <c r="AF299" s="18"/>
      <c r="AG299" s="14"/>
      <c r="AH299" s="18"/>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37"/>
      <c r="BK299" s="14"/>
      <c r="BL299" s="18"/>
      <c r="BM299" s="15"/>
      <c r="BN299" s="102">
        <f t="shared" ref="BN299:BN326" si="50">SUM(D299,F299,H299,J299,L299,N299,P299,R299,T299,V299,X299,Z299,AB299,AD299,AF299,AH299,AJ299,AL299,AN299,AP299,AR299,AT299,AV299,AX299,AZ299,BB299,BD299,BF299,BH299,BJ299,BL299)</f>
        <v>0</v>
      </c>
      <c r="BO299" s="47">
        <f t="shared" ref="BO299:BO326" si="51">SUM(E299,G299,I299,K299,M299,O299,Q299,S299,U299,W299,Y299,AA299,AC299,AE299,AG299,AI299,AK299,AM299,AO299,AQ299,AS299,AU299,AW299,AY299,BA299,BC299,BE299,BG299,BI299,BK299,BM299)</f>
        <v>0</v>
      </c>
      <c r="BP299" s="631">
        <f>INDEX('1月'!$B$4:$BQ$375,MATCH('2月'!B299,'1月'!$B$4:$B$375,0),67)+BN299</f>
        <v>0</v>
      </c>
      <c r="BQ299" s="702">
        <f>INDEX('1月'!$B$4:$BQ$375,MATCH('2月'!B299,'1月'!$B$4:$B$375,0),68)+BO299</f>
        <v>0</v>
      </c>
    </row>
    <row r="300" spans="2:69" s="6" customFormat="1" ht="50.1" customHeight="1">
      <c r="B300" s="201" t="str">
        <f>'1月'!$B$300</f>
        <v>大下　里美</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37"/>
      <c r="BK300" s="14"/>
      <c r="BL300" s="18"/>
      <c r="BM300" s="15"/>
      <c r="BN300" s="102">
        <f t="shared" si="50"/>
        <v>0</v>
      </c>
      <c r="BO300" s="47">
        <f t="shared" si="51"/>
        <v>0</v>
      </c>
      <c r="BP300" s="631">
        <f>INDEX('1月'!$B$4:$BQ$375,MATCH('2月'!B300,'1月'!$B$4:$B$375,0),67)+BN300</f>
        <v>0</v>
      </c>
      <c r="BQ300" s="702">
        <f>INDEX('1月'!$B$4:$BQ$375,MATCH('2月'!B300,'1月'!$B$4:$B$375,0),68)+BO300</f>
        <v>0</v>
      </c>
    </row>
    <row r="301" spans="2:69" s="6" customFormat="1" ht="50.1" customHeight="1">
      <c r="B301" s="201" t="str">
        <f>'1月'!$B$301</f>
        <v>小黒　真智</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37"/>
      <c r="BK301" s="14"/>
      <c r="BL301" s="18"/>
      <c r="BM301" s="15"/>
      <c r="BN301" s="102">
        <f t="shared" si="50"/>
        <v>0</v>
      </c>
      <c r="BO301" s="47">
        <f t="shared" si="51"/>
        <v>0</v>
      </c>
      <c r="BP301" s="631">
        <f>INDEX('1月'!$B$4:$BQ$375,MATCH('2月'!B301,'1月'!$B$4:$B$375,0),67)+BN301</f>
        <v>0</v>
      </c>
      <c r="BQ301" s="702">
        <f>INDEX('1月'!$B$4:$BQ$375,MATCH('2月'!B301,'1月'!$B$4:$B$375,0),68)+BO301</f>
        <v>0</v>
      </c>
    </row>
    <row r="302" spans="2:69" s="6" customFormat="1" ht="50.1" customHeight="1">
      <c r="B302" s="201" t="str">
        <f>'1月'!$B$302</f>
        <v>川戸　真由美</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20"/>
      <c r="AF302" s="18"/>
      <c r="AG302" s="20"/>
      <c r="AH302" s="18"/>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38"/>
      <c r="BK302" s="20"/>
      <c r="BL302" s="50"/>
      <c r="BM302" s="21"/>
      <c r="BN302" s="102">
        <f t="shared" si="50"/>
        <v>0</v>
      </c>
      <c r="BO302" s="47">
        <f t="shared" si="51"/>
        <v>0</v>
      </c>
      <c r="BP302" s="631">
        <f>INDEX('1月'!$B$4:$BQ$375,MATCH('2月'!B302,'1月'!$B$4:$B$375,0),67)+BN302</f>
        <v>0</v>
      </c>
      <c r="BQ302" s="702">
        <f>INDEX('1月'!$B$4:$BQ$375,MATCH('2月'!B302,'1月'!$B$4:$B$375,0),68)+BO302</f>
        <v>0</v>
      </c>
    </row>
    <row r="303" spans="2:69" s="6" customFormat="1" ht="50.1" customHeight="1">
      <c r="B303" s="201" t="str">
        <f>'1月'!$B$303</f>
        <v>河村　久美子</v>
      </c>
      <c r="C303" s="146"/>
      <c r="D303" s="18"/>
      <c r="E303" s="14"/>
      <c r="F303" s="18"/>
      <c r="G303" s="14"/>
      <c r="H303" s="18"/>
      <c r="I303" s="14"/>
      <c r="J303" s="18"/>
      <c r="K303" s="14"/>
      <c r="L303" s="18"/>
      <c r="M303" s="14"/>
      <c r="N303" s="18"/>
      <c r="O303" s="14"/>
      <c r="P303" s="18"/>
      <c r="Q303" s="14"/>
      <c r="R303" s="18"/>
      <c r="S303" s="14"/>
      <c r="T303" s="18"/>
      <c r="U303" s="14"/>
      <c r="V303" s="18"/>
      <c r="W303" s="14"/>
      <c r="X303" s="18"/>
      <c r="Y303" s="14"/>
      <c r="Z303" s="18"/>
      <c r="AA303" s="14"/>
      <c r="AB303" s="18"/>
      <c r="AC303" s="14"/>
      <c r="AD303" s="18"/>
      <c r="AE303" s="14"/>
      <c r="AF303" s="18"/>
      <c r="AG303" s="14"/>
      <c r="AH303" s="18"/>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37"/>
      <c r="BK303" s="14"/>
      <c r="BL303" s="18"/>
      <c r="BM303" s="15"/>
      <c r="BN303" s="102">
        <f t="shared" si="50"/>
        <v>0</v>
      </c>
      <c r="BO303" s="47">
        <f t="shared" si="51"/>
        <v>0</v>
      </c>
      <c r="BP303" s="631">
        <f>INDEX('1月'!$B$4:$BQ$375,MATCH('2月'!B303,'1月'!$B$4:$B$375,0),67)+BN303</f>
        <v>1</v>
      </c>
      <c r="BQ303" s="702">
        <f>INDEX('1月'!$B$4:$BQ$375,MATCH('2月'!B303,'1月'!$B$4:$B$375,0),68)+BO303</f>
        <v>2</v>
      </c>
    </row>
    <row r="304" spans="2:69" s="6" customFormat="1" ht="50.1" customHeight="1">
      <c r="B304" s="208" t="str">
        <f>'1月'!$B$304</f>
        <v>工藤　春美</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37"/>
      <c r="BK304" s="14"/>
      <c r="BL304" s="18"/>
      <c r="BM304" s="15"/>
      <c r="BN304" s="102">
        <f t="shared" si="50"/>
        <v>0</v>
      </c>
      <c r="BO304" s="47">
        <f t="shared" si="51"/>
        <v>0</v>
      </c>
      <c r="BP304" s="631">
        <f>INDEX('1月'!$B$4:$BQ$375,MATCH('2月'!B304,'1月'!$B$4:$B$375,0),67)+BN304</f>
        <v>0</v>
      </c>
      <c r="BQ304" s="702">
        <f>INDEX('1月'!$B$4:$BQ$375,MATCH('2月'!B304,'1月'!$B$4:$B$375,0),68)+BO304</f>
        <v>0</v>
      </c>
    </row>
    <row r="305" spans="2:69" s="6" customFormat="1" ht="50.1" customHeight="1">
      <c r="B305" s="201" t="str">
        <f>'1月'!$B$305</f>
        <v>小平　厚子</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37"/>
      <c r="BK305" s="14"/>
      <c r="BL305" s="18"/>
      <c r="BM305" s="15"/>
      <c r="BN305" s="102">
        <f t="shared" si="50"/>
        <v>0</v>
      </c>
      <c r="BO305" s="47">
        <f t="shared" si="51"/>
        <v>0</v>
      </c>
      <c r="BP305" s="631">
        <f>INDEX('1月'!$B$4:$BQ$375,MATCH('2月'!B305,'1月'!$B$4:$B$375,0),67)+BN305</f>
        <v>0</v>
      </c>
      <c r="BQ305" s="702">
        <f>INDEX('1月'!$B$4:$BQ$375,MATCH('2月'!B305,'1月'!$B$4:$B$375,0),68)+BO305</f>
        <v>0</v>
      </c>
    </row>
    <row r="306" spans="2:69" s="6" customFormat="1" ht="50.1" customHeight="1">
      <c r="B306" s="201" t="str">
        <f>'1月'!$B$306</f>
        <v>佐々木　美知子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37"/>
      <c r="BK306" s="14"/>
      <c r="BL306" s="18"/>
      <c r="BM306" s="15"/>
      <c r="BN306" s="102">
        <f t="shared" si="50"/>
        <v>0</v>
      </c>
      <c r="BO306" s="47">
        <f t="shared" si="51"/>
        <v>0</v>
      </c>
      <c r="BP306" s="631">
        <f>INDEX('1月'!$B$4:$BQ$375,MATCH('2月'!B306,'1月'!$B$4:$B$375,0),67)+BN306</f>
        <v>1</v>
      </c>
      <c r="BQ306" s="702">
        <f>INDEX('1月'!$B$4:$BQ$375,MATCH('2月'!B306,'1月'!$B$4:$B$375,0),68)+BO306</f>
        <v>2</v>
      </c>
    </row>
    <row r="307" spans="2:69" s="6" customFormat="1" ht="50.1" customHeight="1">
      <c r="B307" s="201" t="str">
        <f>'1月'!$B$307</f>
        <v>下舘　はるみ</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37"/>
      <c r="BK307" s="14"/>
      <c r="BL307" s="18"/>
      <c r="BM307" s="15"/>
      <c r="BN307" s="102">
        <f t="shared" si="50"/>
        <v>0</v>
      </c>
      <c r="BO307" s="47">
        <f t="shared" si="51"/>
        <v>0</v>
      </c>
      <c r="BP307" s="631">
        <f>INDEX('1月'!$B$4:$BQ$375,MATCH('2月'!B307,'1月'!$B$4:$B$375,0),67)+BN307</f>
        <v>0</v>
      </c>
      <c r="BQ307" s="702">
        <f>INDEX('1月'!$B$4:$BQ$375,MATCH('2月'!B307,'1月'!$B$4:$B$375,0),68)+BO307</f>
        <v>0</v>
      </c>
    </row>
    <row r="308" spans="2:69" s="6" customFormat="1" ht="50.1" customHeight="1">
      <c r="B308" s="201" t="str">
        <f>'1月'!$B$308</f>
        <v>品田　ゆり</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37"/>
      <c r="BK308" s="14"/>
      <c r="BL308" s="18"/>
      <c r="BM308" s="15"/>
      <c r="BN308" s="102">
        <f t="shared" si="50"/>
        <v>0</v>
      </c>
      <c r="BO308" s="47">
        <f t="shared" si="51"/>
        <v>0</v>
      </c>
      <c r="BP308" s="631">
        <f>INDEX('1月'!$B$4:$BQ$375,MATCH('2月'!B308,'1月'!$B$4:$B$375,0),67)+BN308</f>
        <v>0</v>
      </c>
      <c r="BQ308" s="702">
        <f>INDEX('1月'!$B$4:$BQ$375,MATCH('2月'!B308,'1月'!$B$4:$B$375,0),68)+BO308</f>
        <v>0</v>
      </c>
    </row>
    <row r="309" spans="2:69" s="6" customFormat="1" ht="50.1" customHeight="1">
      <c r="B309" s="202" t="str">
        <f>'1月'!$B$309</f>
        <v>杉浦　ゆみ子</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20"/>
      <c r="AF309" s="50"/>
      <c r="AG309" s="20"/>
      <c r="AH309" s="50"/>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38"/>
      <c r="BK309" s="20"/>
      <c r="BL309" s="50"/>
      <c r="BM309" s="21"/>
      <c r="BN309" s="102">
        <f t="shared" si="50"/>
        <v>0</v>
      </c>
      <c r="BO309" s="47">
        <f t="shared" si="51"/>
        <v>0</v>
      </c>
      <c r="BP309" s="631">
        <f>INDEX('1月'!$B$4:$BQ$375,MATCH('2月'!B309,'1月'!$B$4:$B$375,0),67)+BN309</f>
        <v>0</v>
      </c>
      <c r="BQ309" s="702">
        <f>INDEX('1月'!$B$4:$BQ$375,MATCH('2月'!B309,'1月'!$B$4:$B$375,0),68)+BO309</f>
        <v>0</v>
      </c>
    </row>
    <row r="310" spans="2:69" s="6" customFormat="1" ht="50.1" customHeight="1">
      <c r="B310" s="201" t="str">
        <f>'1月'!$B$310</f>
        <v>寺下　久美子</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18"/>
      <c r="AG310" s="20"/>
      <c r="AH310" s="18"/>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38"/>
      <c r="BK310" s="20"/>
      <c r="BL310" s="50"/>
      <c r="BM310" s="21"/>
      <c r="BN310" s="102">
        <f t="shared" si="50"/>
        <v>0</v>
      </c>
      <c r="BO310" s="47">
        <f t="shared" si="51"/>
        <v>0</v>
      </c>
      <c r="BP310" s="631">
        <f>INDEX('1月'!$B$4:$BQ$375,MATCH('2月'!B310,'1月'!$B$4:$B$375,0),67)+BN310</f>
        <v>0</v>
      </c>
      <c r="BQ310" s="702">
        <f>INDEX('1月'!$B$4:$BQ$375,MATCH('2月'!B310,'1月'!$B$4:$B$375,0),68)+BO310</f>
        <v>0</v>
      </c>
    </row>
    <row r="311" spans="2:69" s="6" customFormat="1" ht="50.1" customHeight="1">
      <c r="B311" s="201" t="str">
        <f>'1月'!$B$311</f>
        <v>照屋　育子</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14"/>
      <c r="AF311" s="18"/>
      <c r="AG311" s="14"/>
      <c r="AH311" s="18"/>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37"/>
      <c r="BK311" s="14"/>
      <c r="BL311" s="18"/>
      <c r="BM311" s="15"/>
      <c r="BN311" s="102">
        <f t="shared" si="50"/>
        <v>0</v>
      </c>
      <c r="BO311" s="47">
        <f t="shared" si="51"/>
        <v>0</v>
      </c>
      <c r="BP311" s="631">
        <f>INDEX('1月'!$B$4:$BQ$375,MATCH('2月'!B311,'1月'!$B$4:$B$375,0),67)+BN311</f>
        <v>0</v>
      </c>
      <c r="BQ311" s="702">
        <f>INDEX('1月'!$B$4:$BQ$375,MATCH('2月'!B311,'1月'!$B$4:$B$375,0),68)+BO311</f>
        <v>0</v>
      </c>
    </row>
    <row r="312" spans="2:69" s="6" customFormat="1" ht="50.1" customHeight="1">
      <c r="B312" s="201" t="str">
        <f>'1月'!$B$312</f>
        <v>中城　裕子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37"/>
      <c r="BK312" s="14"/>
      <c r="BL312" s="18"/>
      <c r="BM312" s="15"/>
      <c r="BN312" s="102">
        <f t="shared" si="50"/>
        <v>0</v>
      </c>
      <c r="BO312" s="47">
        <f t="shared" si="51"/>
        <v>0</v>
      </c>
      <c r="BP312" s="631">
        <f>INDEX('1月'!$B$4:$BQ$375,MATCH('2月'!B312,'1月'!$B$4:$B$375,0),67)+BN312</f>
        <v>0</v>
      </c>
      <c r="BQ312" s="702">
        <f>INDEX('1月'!$B$4:$BQ$375,MATCH('2月'!B312,'1月'!$B$4:$B$375,0),68)+BO312</f>
        <v>0</v>
      </c>
    </row>
    <row r="313" spans="2:69" s="6" customFormat="1" ht="50.1" customHeight="1">
      <c r="B313" s="201" t="str">
        <f>'1月'!$B$313</f>
        <v>沼田　久子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37"/>
      <c r="BK313" s="14"/>
      <c r="BL313" s="18"/>
      <c r="BM313" s="15"/>
      <c r="BN313" s="102">
        <f t="shared" si="50"/>
        <v>0</v>
      </c>
      <c r="BO313" s="47">
        <f t="shared" si="51"/>
        <v>0</v>
      </c>
      <c r="BP313" s="631">
        <f>INDEX('1月'!$B$4:$BQ$375,MATCH('2月'!B313,'1月'!$B$4:$B$375,0),67)+BN313</f>
        <v>0</v>
      </c>
      <c r="BQ313" s="702">
        <f>INDEX('1月'!$B$4:$BQ$375,MATCH('2月'!B313,'1月'!$B$4:$B$375,0),68)+BO313</f>
        <v>0</v>
      </c>
    </row>
    <row r="314" spans="2:69" s="6" customFormat="1" ht="50.1" customHeight="1">
      <c r="B314" s="201" t="str">
        <f>'1月'!$B$314</f>
        <v>野口　美幸</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37"/>
      <c r="BK314" s="14"/>
      <c r="BL314" s="18"/>
      <c r="BM314" s="15"/>
      <c r="BN314" s="102">
        <f t="shared" si="50"/>
        <v>0</v>
      </c>
      <c r="BO314" s="47">
        <f t="shared" si="51"/>
        <v>0</v>
      </c>
      <c r="BP314" s="631">
        <f>INDEX('1月'!$B$4:$BQ$375,MATCH('2月'!B314,'1月'!$B$4:$B$375,0),67)+BN314</f>
        <v>2</v>
      </c>
      <c r="BQ314" s="702">
        <f>INDEX('1月'!$B$4:$BQ$375,MATCH('2月'!B314,'1月'!$B$4:$B$375,0),68)+BO314</f>
        <v>2</v>
      </c>
    </row>
    <row r="315" spans="2:69" s="6" customFormat="1" ht="50.1" customHeight="1">
      <c r="B315" s="201" t="str">
        <f>'1月'!$B$315</f>
        <v>柞木田　久子</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37"/>
      <c r="BK315" s="14"/>
      <c r="BL315" s="18"/>
      <c r="BM315" s="15"/>
      <c r="BN315" s="102">
        <f t="shared" si="50"/>
        <v>0</v>
      </c>
      <c r="BO315" s="47">
        <f t="shared" si="51"/>
        <v>0</v>
      </c>
      <c r="BP315" s="631">
        <f>INDEX('1月'!$B$4:$BQ$375,MATCH('2月'!B315,'1月'!$B$4:$B$375,0),67)+BN315</f>
        <v>0</v>
      </c>
      <c r="BQ315" s="702">
        <f>INDEX('1月'!$B$4:$BQ$375,MATCH('2月'!B315,'1月'!$B$4:$B$375,0),68)+BO315</f>
        <v>0</v>
      </c>
    </row>
    <row r="316" spans="2:69" s="6" customFormat="1" ht="50.1" customHeight="1">
      <c r="B316" s="201" t="str">
        <f>'1月'!$B$316</f>
        <v>福士　純子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37"/>
      <c r="BK316" s="14"/>
      <c r="BL316" s="18"/>
      <c r="BM316" s="15"/>
      <c r="BN316" s="102">
        <f t="shared" si="50"/>
        <v>0</v>
      </c>
      <c r="BO316" s="47">
        <f t="shared" si="51"/>
        <v>0</v>
      </c>
      <c r="BP316" s="631">
        <f>INDEX('1月'!$B$4:$BQ$375,MATCH('2月'!B316,'1月'!$B$4:$B$375,0),67)+BN316</f>
        <v>0</v>
      </c>
      <c r="BQ316" s="702">
        <f>INDEX('1月'!$B$4:$BQ$375,MATCH('2月'!B316,'1月'!$B$4:$B$375,0),68)+BO316</f>
        <v>0</v>
      </c>
    </row>
    <row r="317" spans="2:69" s="6" customFormat="1" ht="50.1" customHeight="1">
      <c r="B317" s="201" t="str">
        <f>'1月'!$B$317</f>
        <v>古舘　美香</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37"/>
      <c r="BK317" s="14"/>
      <c r="BL317" s="18"/>
      <c r="BM317" s="15"/>
      <c r="BN317" s="102">
        <f t="shared" si="50"/>
        <v>0</v>
      </c>
      <c r="BO317" s="47">
        <f t="shared" si="51"/>
        <v>0</v>
      </c>
      <c r="BP317" s="631">
        <f>INDEX('1月'!$B$4:$BQ$375,MATCH('2月'!B317,'1月'!$B$4:$B$375,0),67)+BN317</f>
        <v>0</v>
      </c>
      <c r="BQ317" s="702">
        <f>INDEX('1月'!$B$4:$BQ$375,MATCH('2月'!B317,'1月'!$B$4:$B$375,0),68)+BO317</f>
        <v>0</v>
      </c>
    </row>
    <row r="318" spans="2:69" s="6" customFormat="1" ht="50.1" customHeight="1">
      <c r="B318" s="201" t="str">
        <f>'1月'!$B$318</f>
        <v>古舘　優紀</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37"/>
      <c r="BK318" s="14"/>
      <c r="BL318" s="18"/>
      <c r="BM318" s="15"/>
      <c r="BN318" s="102">
        <f t="shared" si="50"/>
        <v>0</v>
      </c>
      <c r="BO318" s="47">
        <f t="shared" si="51"/>
        <v>0</v>
      </c>
      <c r="BP318" s="631">
        <f>INDEX('1月'!$B$4:$BQ$375,MATCH('2月'!B318,'1月'!$B$4:$B$375,0),67)+BN318</f>
        <v>0</v>
      </c>
      <c r="BQ318" s="702">
        <f>INDEX('1月'!$B$4:$BQ$375,MATCH('2月'!B318,'1月'!$B$4:$B$375,0),68)+BO318</f>
        <v>0</v>
      </c>
    </row>
    <row r="319" spans="2:69" s="6" customFormat="1" ht="50.1" customHeight="1">
      <c r="B319" s="201" t="str">
        <f>'1月'!$B$319</f>
        <v>母良田　幸子</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37"/>
      <c r="BK319" s="14"/>
      <c r="BL319" s="18"/>
      <c r="BM319" s="15"/>
      <c r="BN319" s="102">
        <f t="shared" si="50"/>
        <v>0</v>
      </c>
      <c r="BO319" s="47">
        <f t="shared" si="51"/>
        <v>0</v>
      </c>
      <c r="BP319" s="631">
        <f>INDEX('1月'!$B$4:$BQ$375,MATCH('2月'!B319,'1月'!$B$4:$B$375,0),67)+BN319</f>
        <v>0</v>
      </c>
      <c r="BQ319" s="702">
        <f>INDEX('1月'!$B$4:$BQ$375,MATCH('2月'!B319,'1月'!$B$4:$B$375,0),68)+BO319</f>
        <v>0</v>
      </c>
    </row>
    <row r="320" spans="2:69" s="6" customFormat="1" ht="50.1" customHeight="1">
      <c r="B320" s="201" t="str">
        <f>'1月'!$B$320</f>
        <v>水野　美佳</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37"/>
      <c r="BK320" s="14"/>
      <c r="BL320" s="18"/>
      <c r="BM320" s="15"/>
      <c r="BN320" s="102">
        <f t="shared" si="50"/>
        <v>0</v>
      </c>
      <c r="BO320" s="47">
        <f t="shared" si="51"/>
        <v>0</v>
      </c>
      <c r="BP320" s="631">
        <f>INDEX('1月'!$B$4:$BQ$375,MATCH('2月'!B320,'1月'!$B$4:$B$375,0),67)+BN320</f>
        <v>0</v>
      </c>
      <c r="BQ320" s="702">
        <f>INDEX('1月'!$B$4:$BQ$375,MATCH('2月'!B320,'1月'!$B$4:$B$375,0),68)+BO320</f>
        <v>0</v>
      </c>
    </row>
    <row r="321" spans="2:69" s="6" customFormat="1" ht="50.1" customHeight="1">
      <c r="B321" s="201" t="str">
        <f>'1月'!$B$321</f>
        <v>見付　弘美</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37"/>
      <c r="BK321" s="14"/>
      <c r="BL321" s="18"/>
      <c r="BM321" s="15"/>
      <c r="BN321" s="102">
        <f t="shared" si="50"/>
        <v>0</v>
      </c>
      <c r="BO321" s="47">
        <f t="shared" si="51"/>
        <v>0</v>
      </c>
      <c r="BP321" s="631">
        <f>INDEX('1月'!$B$4:$BQ$375,MATCH('2月'!B321,'1月'!$B$4:$B$375,0),67)+BN321</f>
        <v>0</v>
      </c>
      <c r="BQ321" s="702">
        <f>INDEX('1月'!$B$4:$BQ$375,MATCH('2月'!B321,'1月'!$B$4:$B$375,0),68)+BO321</f>
        <v>0</v>
      </c>
    </row>
    <row r="322" spans="2:69" s="6" customFormat="1" ht="50.1" customHeight="1">
      <c r="B322" s="202" t="str">
        <f>'1月'!$B$323</f>
        <v>一条　愛</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37"/>
      <c r="BK322" s="14"/>
      <c r="BL322" s="18"/>
      <c r="BM322" s="15"/>
      <c r="BN322" s="102">
        <f t="shared" si="50"/>
        <v>0</v>
      </c>
      <c r="BO322" s="47">
        <f t="shared" si="51"/>
        <v>0</v>
      </c>
      <c r="BP322" s="631">
        <f>INDEX('1月'!$B$4:$BQ$375,MATCH('2月'!B322,'1月'!$B$4:$B$375,0),67)+BN322</f>
        <v>0</v>
      </c>
      <c r="BQ322" s="702">
        <f>INDEX('1月'!$B$4:$BQ$375,MATCH('2月'!B322,'1月'!$B$4:$B$375,0),68)+BO322</f>
        <v>0</v>
      </c>
    </row>
    <row r="323" spans="2:69" s="6" customFormat="1" ht="50.1" customHeight="1">
      <c r="B323" s="201" t="str">
        <f>'1月'!$B$322</f>
        <v>安ヶ平　真由美</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37"/>
      <c r="BK323" s="14"/>
      <c r="BL323" s="18"/>
      <c r="BM323" s="15"/>
      <c r="BN323" s="102">
        <f t="shared" si="50"/>
        <v>0</v>
      </c>
      <c r="BO323" s="47">
        <f t="shared" si="51"/>
        <v>0</v>
      </c>
      <c r="BP323" s="631">
        <f>INDEX('1月'!$B$4:$BQ$375,MATCH('2月'!B323,'1月'!$B$4:$B$375,0),67)+BN323</f>
        <v>0</v>
      </c>
      <c r="BQ323" s="702">
        <f>INDEX('1月'!$B$4:$BQ$375,MATCH('2月'!B323,'1月'!$B$4:$B$375,0),68)+BO323</f>
        <v>0</v>
      </c>
    </row>
    <row r="324" spans="2:69" s="6" customFormat="1" ht="4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37"/>
      <c r="BK324" s="14"/>
      <c r="BL324" s="18"/>
      <c r="BM324" s="15"/>
      <c r="BN324" s="102">
        <f t="shared" si="50"/>
        <v>0</v>
      </c>
      <c r="BO324" s="47">
        <f t="shared" si="51"/>
        <v>0</v>
      </c>
      <c r="BP324" s="631"/>
      <c r="BQ324" s="559"/>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37"/>
      <c r="BK325" s="14"/>
      <c r="BL325" s="18"/>
      <c r="BM325" s="15"/>
      <c r="BN325" s="102">
        <f t="shared" si="50"/>
        <v>0</v>
      </c>
      <c r="BO325" s="47">
        <f t="shared" si="51"/>
        <v>0</v>
      </c>
      <c r="BP325" s="631"/>
      <c r="BQ325" s="559"/>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37"/>
      <c r="BK326" s="14"/>
      <c r="BL326" s="18"/>
      <c r="BM326" s="15"/>
      <c r="BN326" s="102">
        <f t="shared" si="50"/>
        <v>0</v>
      </c>
      <c r="BO326" s="47">
        <f t="shared" si="51"/>
        <v>0</v>
      </c>
      <c r="BP326" s="631"/>
      <c r="BQ326" s="559"/>
    </row>
    <row r="327" spans="2:69" s="6" customFormat="1" ht="15.95" customHeight="1" thickBot="1">
      <c r="B327" s="119" t="s">
        <v>462</v>
      </c>
      <c r="C327" s="149"/>
      <c r="D327" s="29">
        <f t="shared" ref="D327:BM327" si="52">SUM(D298:D326)</f>
        <v>0</v>
      </c>
      <c r="E327" s="31">
        <f t="shared" si="52"/>
        <v>0</v>
      </c>
      <c r="F327" s="29">
        <f t="shared" si="52"/>
        <v>0</v>
      </c>
      <c r="G327" s="31">
        <f t="shared" si="52"/>
        <v>0</v>
      </c>
      <c r="H327" s="29">
        <f t="shared" si="52"/>
        <v>0</v>
      </c>
      <c r="I327" s="31">
        <f t="shared" si="52"/>
        <v>0</v>
      </c>
      <c r="J327" s="29">
        <f t="shared" si="52"/>
        <v>0</v>
      </c>
      <c r="K327" s="31">
        <f t="shared" si="52"/>
        <v>0</v>
      </c>
      <c r="L327" s="29">
        <f t="shared" si="52"/>
        <v>0</v>
      </c>
      <c r="M327" s="31">
        <f t="shared" si="52"/>
        <v>0</v>
      </c>
      <c r="N327" s="29">
        <f t="shared" si="52"/>
        <v>0</v>
      </c>
      <c r="O327" s="31">
        <f t="shared" si="52"/>
        <v>0</v>
      </c>
      <c r="P327" s="29">
        <f t="shared" si="52"/>
        <v>0</v>
      </c>
      <c r="Q327" s="31">
        <f t="shared" si="52"/>
        <v>0</v>
      </c>
      <c r="R327" s="29">
        <f t="shared" si="52"/>
        <v>0</v>
      </c>
      <c r="S327" s="31">
        <f t="shared" si="52"/>
        <v>0</v>
      </c>
      <c r="T327" s="29">
        <f t="shared" si="52"/>
        <v>0</v>
      </c>
      <c r="U327" s="31">
        <f t="shared" si="52"/>
        <v>0</v>
      </c>
      <c r="V327" s="29">
        <f t="shared" si="52"/>
        <v>0</v>
      </c>
      <c r="W327" s="31">
        <f t="shared" si="52"/>
        <v>0</v>
      </c>
      <c r="X327" s="29">
        <f t="shared" si="52"/>
        <v>0</v>
      </c>
      <c r="Y327" s="31">
        <f t="shared" si="52"/>
        <v>0</v>
      </c>
      <c r="Z327" s="29">
        <f t="shared" si="52"/>
        <v>0</v>
      </c>
      <c r="AA327" s="31">
        <f t="shared" si="52"/>
        <v>0</v>
      </c>
      <c r="AB327" s="29">
        <f t="shared" si="52"/>
        <v>0</v>
      </c>
      <c r="AC327" s="31">
        <f t="shared" si="52"/>
        <v>0</v>
      </c>
      <c r="AD327" s="29">
        <f t="shared" si="52"/>
        <v>0</v>
      </c>
      <c r="AE327" s="31">
        <f t="shared" si="52"/>
        <v>0</v>
      </c>
      <c r="AF327" s="29">
        <f t="shared" si="52"/>
        <v>0</v>
      </c>
      <c r="AG327" s="31">
        <f t="shared" si="52"/>
        <v>0</v>
      </c>
      <c r="AH327" s="29">
        <f t="shared" si="52"/>
        <v>0</v>
      </c>
      <c r="AI327" s="31">
        <f t="shared" si="52"/>
        <v>0</v>
      </c>
      <c r="AJ327" s="29">
        <f t="shared" si="52"/>
        <v>0</v>
      </c>
      <c r="AK327" s="31">
        <f t="shared" si="52"/>
        <v>0</v>
      </c>
      <c r="AL327" s="29">
        <f t="shared" si="52"/>
        <v>0</v>
      </c>
      <c r="AM327" s="31">
        <f t="shared" si="52"/>
        <v>0</v>
      </c>
      <c r="AN327" s="29">
        <f t="shared" si="52"/>
        <v>0</v>
      </c>
      <c r="AO327" s="31">
        <f t="shared" si="52"/>
        <v>0</v>
      </c>
      <c r="AP327" s="29">
        <f t="shared" si="52"/>
        <v>0</v>
      </c>
      <c r="AQ327" s="31">
        <f t="shared" si="52"/>
        <v>0</v>
      </c>
      <c r="AR327" s="29">
        <f t="shared" si="52"/>
        <v>0</v>
      </c>
      <c r="AS327" s="31">
        <f t="shared" si="52"/>
        <v>0</v>
      </c>
      <c r="AT327" s="29">
        <f t="shared" si="52"/>
        <v>0</v>
      </c>
      <c r="AU327" s="31">
        <f t="shared" si="52"/>
        <v>0</v>
      </c>
      <c r="AV327" s="29">
        <f t="shared" si="52"/>
        <v>0</v>
      </c>
      <c r="AW327" s="31">
        <f t="shared" si="52"/>
        <v>0</v>
      </c>
      <c r="AX327" s="29">
        <f t="shared" si="52"/>
        <v>0</v>
      </c>
      <c r="AY327" s="31">
        <f t="shared" si="52"/>
        <v>0</v>
      </c>
      <c r="AZ327" s="29">
        <f t="shared" si="52"/>
        <v>0</v>
      </c>
      <c r="BA327" s="31">
        <f t="shared" si="52"/>
        <v>0</v>
      </c>
      <c r="BB327" s="29">
        <f t="shared" si="52"/>
        <v>0</v>
      </c>
      <c r="BC327" s="31">
        <f t="shared" si="52"/>
        <v>0</v>
      </c>
      <c r="BD327" s="29">
        <f t="shared" si="52"/>
        <v>0</v>
      </c>
      <c r="BE327" s="31">
        <f t="shared" si="52"/>
        <v>0</v>
      </c>
      <c r="BF327" s="29">
        <f t="shared" si="52"/>
        <v>0</v>
      </c>
      <c r="BG327" s="31">
        <f t="shared" si="52"/>
        <v>0</v>
      </c>
      <c r="BH327" s="29">
        <f t="shared" si="52"/>
        <v>0</v>
      </c>
      <c r="BI327" s="31">
        <f t="shared" si="52"/>
        <v>0</v>
      </c>
      <c r="BJ327" s="39">
        <f t="shared" si="52"/>
        <v>0</v>
      </c>
      <c r="BK327" s="31">
        <f t="shared" si="52"/>
        <v>0</v>
      </c>
      <c r="BL327" s="29">
        <f t="shared" si="52"/>
        <v>0</v>
      </c>
      <c r="BM327" s="41">
        <f t="shared" si="52"/>
        <v>0</v>
      </c>
      <c r="BN327" s="32">
        <f>SUM(BN298:BN326)</f>
        <v>0</v>
      </c>
      <c r="BO327" s="41">
        <f>SUM(BO298:BO326)</f>
        <v>0</v>
      </c>
      <c r="BP327" s="257">
        <f>SUM(BP298:BP326)</f>
        <v>4</v>
      </c>
      <c r="BQ327" s="240">
        <f>SUM(BQ298:BQ326)</f>
        <v>6</v>
      </c>
    </row>
    <row r="328" spans="2:69" s="6" customFormat="1" ht="49.5" customHeight="1">
      <c r="B328" s="120"/>
      <c r="C328" s="150"/>
      <c r="D328" s="7"/>
      <c r="E328" s="7"/>
      <c r="F328" s="7"/>
      <c r="G328" s="7"/>
      <c r="H328" s="7"/>
      <c r="I328" s="7"/>
      <c r="J328" s="7"/>
      <c r="K328" s="7"/>
      <c r="L328" s="7"/>
      <c r="M328" s="7"/>
      <c r="N328" s="7"/>
      <c r="O328" s="7"/>
      <c r="P328" s="7"/>
      <c r="Q328" s="7"/>
      <c r="R328" s="7"/>
      <c r="S328" s="7"/>
      <c r="T328" s="7"/>
      <c r="U328" s="7"/>
      <c r="V328" s="7"/>
      <c r="W328" s="7"/>
      <c r="X328" s="7"/>
      <c r="Y328" s="7"/>
      <c r="Z328" s="7"/>
      <c r="AA328" s="7"/>
      <c r="AB328" s="7"/>
      <c r="AC328" s="7"/>
      <c r="AD328" s="7"/>
      <c r="AE328" s="7"/>
      <c r="AF328" s="7"/>
      <c r="AG328" s="34"/>
      <c r="AH328" s="7"/>
      <c r="AI328" s="7"/>
      <c r="AJ328" s="7"/>
      <c r="AK328" s="7"/>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c r="BP328"/>
      <c r="BQ328"/>
    </row>
    <row r="329" spans="2:69" ht="24.75" customHeight="1" thickBot="1">
      <c r="B329" s="120"/>
      <c r="AG329" s="8"/>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43" t="s">
        <v>49</v>
      </c>
      <c r="C330" s="749">
        <f>COUNTIF(B333:B341,"*")</f>
        <v>8</v>
      </c>
      <c r="D330" s="751">
        <v>1</v>
      </c>
      <c r="E330" s="738"/>
      <c r="F330" s="737">
        <v>2</v>
      </c>
      <c r="G330" s="738"/>
      <c r="H330" s="737">
        <v>3</v>
      </c>
      <c r="I330" s="738"/>
      <c r="J330" s="737">
        <v>4</v>
      </c>
      <c r="K330" s="738"/>
      <c r="L330" s="737">
        <v>5</v>
      </c>
      <c r="M330" s="738"/>
      <c r="N330" s="737">
        <v>6</v>
      </c>
      <c r="O330" s="738"/>
      <c r="P330" s="737">
        <v>7</v>
      </c>
      <c r="Q330" s="738"/>
      <c r="R330" s="737">
        <v>8</v>
      </c>
      <c r="S330" s="738"/>
      <c r="T330" s="737">
        <v>9</v>
      </c>
      <c r="U330" s="738"/>
      <c r="V330" s="737">
        <v>10</v>
      </c>
      <c r="W330" s="738"/>
      <c r="X330" s="737">
        <v>11</v>
      </c>
      <c r="Y330" s="738"/>
      <c r="Z330" s="737">
        <v>12</v>
      </c>
      <c r="AA330" s="738"/>
      <c r="AB330" s="737">
        <v>13</v>
      </c>
      <c r="AC330" s="738"/>
      <c r="AD330" s="737">
        <v>14</v>
      </c>
      <c r="AE330" s="738"/>
      <c r="AF330" s="737">
        <v>15</v>
      </c>
      <c r="AG330" s="784"/>
      <c r="AH330" s="741">
        <v>16</v>
      </c>
      <c r="AI330" s="741"/>
      <c r="AJ330" s="741">
        <v>17</v>
      </c>
      <c r="AK330" s="741"/>
      <c r="AL330" s="741">
        <v>18</v>
      </c>
      <c r="AM330" s="741"/>
      <c r="AN330" s="741">
        <v>19</v>
      </c>
      <c r="AO330" s="741"/>
      <c r="AP330" s="741">
        <v>20</v>
      </c>
      <c r="AQ330" s="741"/>
      <c r="AR330" s="741">
        <v>21</v>
      </c>
      <c r="AS330" s="741"/>
      <c r="AT330" s="741">
        <v>22</v>
      </c>
      <c r="AU330" s="741"/>
      <c r="AV330" s="741">
        <v>23</v>
      </c>
      <c r="AW330" s="741"/>
      <c r="AX330" s="741">
        <v>24</v>
      </c>
      <c r="AY330" s="741"/>
      <c r="AZ330" s="741">
        <v>25</v>
      </c>
      <c r="BA330" s="741"/>
      <c r="BB330" s="741">
        <v>26</v>
      </c>
      <c r="BC330" s="741"/>
      <c r="BD330" s="741">
        <v>27</v>
      </c>
      <c r="BE330" s="741"/>
      <c r="BF330" s="741">
        <v>28</v>
      </c>
      <c r="BG330" s="741"/>
      <c r="BH330" s="741">
        <v>29</v>
      </c>
      <c r="BI330" s="741"/>
      <c r="BJ330" s="741">
        <v>30</v>
      </c>
      <c r="BK330" s="741"/>
      <c r="BL330" s="741">
        <v>31</v>
      </c>
      <c r="BM330" s="741"/>
      <c r="BN330" s="738" t="s">
        <v>251</v>
      </c>
      <c r="BO330" s="760"/>
      <c r="BP330" s="771" t="s">
        <v>353</v>
      </c>
      <c r="BQ330" s="772"/>
    </row>
    <row r="331" spans="2:69" ht="24.95" customHeight="1">
      <c r="B331" s="744"/>
      <c r="C331" s="747"/>
      <c r="D331" s="752" t="str">
        <f>D2</f>
        <v>土</v>
      </c>
      <c r="E331" s="740"/>
      <c r="F331" s="739" t="str">
        <f>F2</f>
        <v>日</v>
      </c>
      <c r="G331" s="740"/>
      <c r="H331" s="739" t="str">
        <f>H2</f>
        <v>月</v>
      </c>
      <c r="I331" s="740"/>
      <c r="J331" s="739" t="str">
        <f>J2</f>
        <v>火</v>
      </c>
      <c r="K331" s="740"/>
      <c r="L331" s="739" t="str">
        <f>L2</f>
        <v>水</v>
      </c>
      <c r="M331" s="740"/>
      <c r="N331" s="739" t="str">
        <f>N2</f>
        <v>木</v>
      </c>
      <c r="O331" s="740"/>
      <c r="P331" s="739" t="str">
        <f>P2</f>
        <v>金</v>
      </c>
      <c r="Q331" s="740"/>
      <c r="R331" s="739" t="str">
        <f>R2</f>
        <v>土</v>
      </c>
      <c r="S331" s="740"/>
      <c r="T331" s="739" t="str">
        <f>T2</f>
        <v>日</v>
      </c>
      <c r="U331" s="740"/>
      <c r="V331" s="739" t="str">
        <f>V2</f>
        <v>月</v>
      </c>
      <c r="W331" s="740"/>
      <c r="X331" s="739" t="str">
        <f>X2</f>
        <v>火</v>
      </c>
      <c r="Y331" s="740"/>
      <c r="Z331" s="739" t="str">
        <f>Z2</f>
        <v>水</v>
      </c>
      <c r="AA331" s="740"/>
      <c r="AB331" s="739" t="str">
        <f>AB2</f>
        <v>木</v>
      </c>
      <c r="AC331" s="740"/>
      <c r="AD331" s="739" t="str">
        <f>AD2</f>
        <v>金</v>
      </c>
      <c r="AE331" s="740"/>
      <c r="AF331" s="739" t="str">
        <f>AF2</f>
        <v>土</v>
      </c>
      <c r="AG331" s="740"/>
      <c r="AH331" s="786" t="str">
        <f>AH2</f>
        <v>日</v>
      </c>
      <c r="AI331" s="767"/>
      <c r="AJ331" s="770" t="str">
        <f>AJ2</f>
        <v>月</v>
      </c>
      <c r="AK331" s="770"/>
      <c r="AL331" s="770" t="str">
        <f>AL2</f>
        <v>火</v>
      </c>
      <c r="AM331" s="770"/>
      <c r="AN331" s="770" t="str">
        <f>AN2</f>
        <v>水</v>
      </c>
      <c r="AO331" s="770"/>
      <c r="AP331" s="770" t="str">
        <f>AP2</f>
        <v>木</v>
      </c>
      <c r="AQ331" s="770"/>
      <c r="AR331" s="770" t="str">
        <f>AR2</f>
        <v>金</v>
      </c>
      <c r="AS331" s="770"/>
      <c r="AT331" s="770" t="str">
        <f>AT2</f>
        <v>土</v>
      </c>
      <c r="AU331" s="770"/>
      <c r="AV331" s="770" t="str">
        <f>AV2</f>
        <v>日</v>
      </c>
      <c r="AW331" s="770"/>
      <c r="AX331" s="770" t="str">
        <f>AX2</f>
        <v>月</v>
      </c>
      <c r="AY331" s="770"/>
      <c r="AZ331" s="770" t="str">
        <f>AZ2</f>
        <v>火</v>
      </c>
      <c r="BA331" s="770"/>
      <c r="BB331" s="770" t="str">
        <f>BB2</f>
        <v>水</v>
      </c>
      <c r="BC331" s="770"/>
      <c r="BD331" s="770" t="str">
        <f>BD2</f>
        <v>木</v>
      </c>
      <c r="BE331" s="770"/>
      <c r="BF331" s="770" t="str">
        <f>BF2</f>
        <v>金</v>
      </c>
      <c r="BG331" s="770"/>
      <c r="BH331" s="770" t="str">
        <f>BH2</f>
        <v>土</v>
      </c>
      <c r="BI331" s="770"/>
      <c r="BJ331" s="770" t="str">
        <f>BJ2</f>
        <v>日</v>
      </c>
      <c r="BK331" s="770"/>
      <c r="BL331" s="770" t="str">
        <f>BL2</f>
        <v>月</v>
      </c>
      <c r="BM331" s="770"/>
      <c r="BN331" s="761"/>
      <c r="BO331" s="762"/>
      <c r="BP331" s="773"/>
      <c r="BQ331" s="774"/>
    </row>
    <row r="332" spans="2:69" ht="24.95" customHeight="1" thickBot="1">
      <c r="B332" s="748"/>
      <c r="C332" s="750"/>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4" t="s">
        <v>73</v>
      </c>
      <c r="AH332" s="92"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ht="24.95" customHeight="1" thickTop="1">
      <c r="B333" s="205" t="str">
        <f>'1月'!$B$333</f>
        <v>石橋　優子</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9"/>
      <c r="AF333" s="46"/>
      <c r="AG333" s="10"/>
      <c r="AH333" s="46"/>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179"/>
      <c r="BK333" s="10"/>
      <c r="BL333" s="11"/>
      <c r="BM333" s="10"/>
      <c r="BN333" s="102">
        <f>SUM(D333,F333,H333,J333,L333,N333,P333,R333,T333,V333,X333,Z333,AB333,AD333,AF333,AH333,AJ333,AL333,AN333,AP333,AR333,AT333,AV333,AX333,AZ333,BB333,BD333,BF333,BH333,BJ333,BL333)</f>
        <v>0</v>
      </c>
      <c r="BO333" s="47">
        <f>SUM(E333,G333,I333,K333,M333,O333,Q333,S333,U333,W333,Y333,AA333,AC333,AE333,AG333,AI333,AK333,AM333,AO333,AQ333,AS333,AU333,AW333,AY333,BA333,BC333,BE333,BG333,BI333,BK333,BM333)</f>
        <v>0</v>
      </c>
      <c r="BP333" s="631">
        <f>INDEX('1月'!$B$4:$BQ$375,MATCH('2月'!B333,'1月'!$B$4:$B$375,0),67)+BN333</f>
        <v>0</v>
      </c>
      <c r="BQ333" s="702">
        <f>INDEX('1月'!$B$4:$BQ$375,MATCH('2月'!B333,'1月'!$B$4:$B$375,0),68)+BO333</f>
        <v>0</v>
      </c>
    </row>
    <row r="334" spans="2:69" s="6" customFormat="1" ht="50.1" customHeight="1">
      <c r="B334" s="201" t="str">
        <f>'1月'!$B$334</f>
        <v>上田　敏子</v>
      </c>
      <c r="C334" s="146"/>
      <c r="D334" s="18"/>
      <c r="E334" s="14"/>
      <c r="F334" s="18"/>
      <c r="G334" s="14"/>
      <c r="H334" s="18"/>
      <c r="I334" s="14"/>
      <c r="J334" s="18"/>
      <c r="K334" s="14"/>
      <c r="L334" s="18"/>
      <c r="M334" s="14"/>
      <c r="N334" s="18"/>
      <c r="O334" s="14"/>
      <c r="P334" s="18"/>
      <c r="Q334" s="14"/>
      <c r="R334" s="18"/>
      <c r="S334" s="14"/>
      <c r="T334" s="18"/>
      <c r="U334" s="14"/>
      <c r="V334" s="18"/>
      <c r="W334" s="14"/>
      <c r="X334" s="18"/>
      <c r="Y334" s="14"/>
      <c r="Z334" s="18"/>
      <c r="AA334" s="14"/>
      <c r="AB334" s="18"/>
      <c r="AC334" s="14"/>
      <c r="AD334" s="18"/>
      <c r="AE334" s="14"/>
      <c r="AF334" s="18"/>
      <c r="AG334" s="15"/>
      <c r="AH334" s="18"/>
      <c r="AI334" s="14"/>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37"/>
      <c r="BK334" s="15"/>
      <c r="BL334" s="16"/>
      <c r="BM334" s="15"/>
      <c r="BN334" s="102">
        <f t="shared" ref="BN334:BN342" si="53">SUM(D334,F334,H334,J334,L334,N334,P334,R334,T334,V334,X334,Z334,AB334,AD334,AF334,AH334,AJ334,AL334,AN334,AP334,AR334,AT334,AV334,AX334,AZ334,BB334,BD334,BF334,BH334,BJ334,BL334)</f>
        <v>0</v>
      </c>
      <c r="BO334" s="47">
        <f t="shared" ref="BO334:BO342" si="54">SUM(E334,G334,I334,K334,M334,O334,Q334,S334,U334,W334,Y334,AA334,AC334,AE334,AG334,AI334,AK334,AM334,AO334,AQ334,AS334,AU334,AW334,AY334,BA334,BC334,BE334,BG334,BI334,BK334,BM334)</f>
        <v>0</v>
      </c>
      <c r="BP334" s="631">
        <f>INDEX('1月'!$B$4:$BQ$375,MATCH('2月'!B334,'1月'!$B$4:$B$375,0),67)+BN334</f>
        <v>3</v>
      </c>
      <c r="BQ334" s="702">
        <f>INDEX('1月'!$B$4:$BQ$375,MATCH('2月'!B334,'1月'!$B$4:$B$375,0),68)+BO334</f>
        <v>5</v>
      </c>
    </row>
    <row r="335" spans="2:69" s="6" customFormat="1" ht="50.1" customHeight="1">
      <c r="B335" s="201" t="str">
        <f>'1月'!$B$335</f>
        <v>齋藤　小百合</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20"/>
      <c r="AF335" s="18"/>
      <c r="AG335" s="21"/>
      <c r="AH335" s="50"/>
      <c r="AI335" s="20"/>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38"/>
      <c r="BK335" s="21"/>
      <c r="BL335" s="22"/>
      <c r="BM335" s="21"/>
      <c r="BN335" s="102">
        <f t="shared" si="53"/>
        <v>0</v>
      </c>
      <c r="BO335" s="47">
        <f t="shared" si="54"/>
        <v>0</v>
      </c>
      <c r="BP335" s="631">
        <f>INDEX('1月'!$B$4:$BQ$375,MATCH('2月'!B335,'1月'!$B$4:$B$375,0),67)+BN335</f>
        <v>0</v>
      </c>
      <c r="BQ335" s="702">
        <f>INDEX('1月'!$B$4:$BQ$375,MATCH('2月'!B335,'1月'!$B$4:$B$375,0),68)+BO335</f>
        <v>0</v>
      </c>
    </row>
    <row r="336" spans="2:69" s="6" customFormat="1" ht="50.1" customHeight="1">
      <c r="B336" s="201" t="str">
        <f>'1月'!$B$336</f>
        <v>鹿内　美海</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14"/>
      <c r="AF336" s="18"/>
      <c r="AG336" s="15"/>
      <c r="AH336" s="50"/>
      <c r="AI336" s="14"/>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37"/>
      <c r="BK336" s="15"/>
      <c r="BL336" s="16"/>
      <c r="BM336" s="15"/>
      <c r="BN336" s="102">
        <f t="shared" si="53"/>
        <v>0</v>
      </c>
      <c r="BO336" s="47">
        <f t="shared" si="54"/>
        <v>0</v>
      </c>
      <c r="BP336" s="631">
        <f>INDEX('1月'!$B$4:$BQ$375,MATCH('2月'!B336,'1月'!$B$4:$B$375,0),67)+BN336</f>
        <v>0</v>
      </c>
      <c r="BQ336" s="702">
        <f>INDEX('1月'!$B$4:$BQ$375,MATCH('2月'!B336,'1月'!$B$4:$B$375,0),68)+BO336</f>
        <v>0</v>
      </c>
    </row>
    <row r="337" spans="2:69" s="6" customFormat="1" ht="50.1" customHeight="1">
      <c r="B337" s="201" t="str">
        <f>'1月'!$B$337</f>
        <v>田中　良子</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37"/>
      <c r="BK337" s="15"/>
      <c r="BL337" s="16"/>
      <c r="BM337" s="15"/>
      <c r="BN337" s="102">
        <f t="shared" si="53"/>
        <v>0</v>
      </c>
      <c r="BO337" s="47">
        <f t="shared" si="54"/>
        <v>0</v>
      </c>
      <c r="BP337" s="631">
        <f>INDEX('1月'!$B$4:$BQ$375,MATCH('2月'!B337,'1月'!$B$4:$B$375,0),67)+BN337</f>
        <v>0</v>
      </c>
      <c r="BQ337" s="702">
        <f>INDEX('1月'!$B$4:$BQ$375,MATCH('2月'!B337,'1月'!$B$4:$B$375,0),68)+BO337</f>
        <v>0</v>
      </c>
    </row>
    <row r="338" spans="2:69" s="6" customFormat="1" ht="50.1" customHeight="1">
      <c r="B338" s="201" t="str">
        <f>'1月'!$B$338</f>
        <v>中村　章子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37"/>
      <c r="BK338" s="15"/>
      <c r="BL338" s="16"/>
      <c r="BM338" s="15"/>
      <c r="BN338" s="102">
        <f t="shared" si="53"/>
        <v>0</v>
      </c>
      <c r="BO338" s="47">
        <f t="shared" si="54"/>
        <v>0</v>
      </c>
      <c r="BP338" s="631">
        <f>INDEX('1月'!$B$4:$BQ$375,MATCH('2月'!B338,'1月'!$B$4:$B$375,0),67)+BN338</f>
        <v>0</v>
      </c>
      <c r="BQ338" s="702">
        <f>INDEX('1月'!$B$4:$BQ$375,MATCH('2月'!B338,'1月'!$B$4:$B$375,0),68)+BO338</f>
        <v>0</v>
      </c>
    </row>
    <row r="339" spans="2:69" s="6" customFormat="1" ht="50.1" customHeight="1">
      <c r="B339" s="201" t="str">
        <f>'1月'!$B$339</f>
        <v>林　京子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37"/>
      <c r="BK339" s="15"/>
      <c r="BL339" s="16"/>
      <c r="BM339" s="15"/>
      <c r="BN339" s="102">
        <f t="shared" si="53"/>
        <v>0</v>
      </c>
      <c r="BO339" s="47">
        <f t="shared" si="54"/>
        <v>0</v>
      </c>
      <c r="BP339" s="631">
        <f>INDEX('1月'!$B$4:$BQ$375,MATCH('2月'!B339,'1月'!$B$4:$B$375,0),67)+BN339</f>
        <v>0</v>
      </c>
      <c r="BQ339" s="702">
        <f>INDEX('1月'!$B$4:$BQ$375,MATCH('2月'!B339,'1月'!$B$4:$B$375,0),68)+BO339</f>
        <v>0</v>
      </c>
    </row>
    <row r="340" spans="2:69" s="6" customFormat="1" ht="50.1" customHeight="1">
      <c r="B340" s="202" t="str">
        <f>'1月'!$B$340</f>
        <v>三上　紗津</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37"/>
      <c r="BK340" s="15"/>
      <c r="BL340" s="16"/>
      <c r="BM340" s="15"/>
      <c r="BN340" s="102">
        <f t="shared" si="53"/>
        <v>0</v>
      </c>
      <c r="BO340" s="47">
        <f t="shared" si="54"/>
        <v>0</v>
      </c>
      <c r="BP340" s="631">
        <f>INDEX('1月'!$B$4:$BQ$375,MATCH('2月'!B340,'1月'!$B$4:$B$375,0),67)+BN340</f>
        <v>0</v>
      </c>
      <c r="BQ340" s="702">
        <f>INDEX('1月'!$B$4:$BQ$375,MATCH('2月'!B340,'1月'!$B$4:$B$375,0),68)+BO340</f>
        <v>0</v>
      </c>
    </row>
    <row r="341" spans="2:69" s="6" customFormat="1" ht="50.1" customHeight="1">
      <c r="B341" s="202">
        <f>'1月'!$B$341</f>
        <v>0</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18"/>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37"/>
      <c r="BK341" s="15"/>
      <c r="BL341" s="16"/>
      <c r="BM341" s="15"/>
      <c r="BN341" s="102">
        <f t="shared" si="53"/>
        <v>0</v>
      </c>
      <c r="BO341" s="47">
        <f t="shared" si="54"/>
        <v>0</v>
      </c>
      <c r="BP341" s="631"/>
      <c r="BQ341" s="559"/>
    </row>
    <row r="342" spans="2:69" s="6" customFormat="1" ht="15.95" customHeight="1" thickBot="1">
      <c r="B342" s="156">
        <f>'1月'!$B$342</f>
        <v>0</v>
      </c>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6"/>
      <c r="AF342" s="7"/>
      <c r="AG342" s="87"/>
      <c r="AH342" s="7"/>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322"/>
      <c r="BK342" s="87"/>
      <c r="BL342" s="183"/>
      <c r="BM342" s="87"/>
      <c r="BN342" s="102">
        <f t="shared" si="53"/>
        <v>0</v>
      </c>
      <c r="BO342" s="47">
        <f t="shared" si="54"/>
        <v>0</v>
      </c>
      <c r="BP342" s="631"/>
      <c r="BQ342" s="559"/>
    </row>
    <row r="343" spans="2:69" s="6" customFormat="1" ht="15.95" customHeight="1" thickBot="1">
      <c r="B343" s="119" t="s">
        <v>101</v>
      </c>
      <c r="C343" s="149"/>
      <c r="D343" s="32">
        <f t="shared" ref="D343:BM343" si="55">SUM(D333:D342)</f>
        <v>0</v>
      </c>
      <c r="E343" s="31">
        <f t="shared" si="55"/>
        <v>0</v>
      </c>
      <c r="F343" s="30">
        <f t="shared" si="55"/>
        <v>0</v>
      </c>
      <c r="G343" s="31">
        <f t="shared" si="55"/>
        <v>0</v>
      </c>
      <c r="H343" s="30">
        <f t="shared" si="55"/>
        <v>0</v>
      </c>
      <c r="I343" s="91">
        <f t="shared" si="55"/>
        <v>0</v>
      </c>
      <c r="J343" s="30">
        <f t="shared" si="55"/>
        <v>0</v>
      </c>
      <c r="K343" s="91">
        <f t="shared" si="55"/>
        <v>0</v>
      </c>
      <c r="L343" s="30">
        <f t="shared" si="55"/>
        <v>0</v>
      </c>
      <c r="M343" s="91">
        <f t="shared" si="55"/>
        <v>0</v>
      </c>
      <c r="N343" s="30">
        <f t="shared" si="55"/>
        <v>0</v>
      </c>
      <c r="O343" s="91">
        <f t="shared" si="55"/>
        <v>0</v>
      </c>
      <c r="P343" s="30">
        <f t="shared" si="55"/>
        <v>0</v>
      </c>
      <c r="Q343" s="91">
        <f t="shared" si="55"/>
        <v>0</v>
      </c>
      <c r="R343" s="30">
        <f t="shared" si="55"/>
        <v>0</v>
      </c>
      <c r="S343" s="91">
        <f t="shared" si="55"/>
        <v>0</v>
      </c>
      <c r="T343" s="30">
        <f t="shared" si="55"/>
        <v>0</v>
      </c>
      <c r="U343" s="91">
        <f t="shared" si="55"/>
        <v>0</v>
      </c>
      <c r="V343" s="30">
        <f t="shared" si="55"/>
        <v>0</v>
      </c>
      <c r="W343" s="91">
        <f t="shared" si="55"/>
        <v>0</v>
      </c>
      <c r="X343" s="30">
        <f t="shared" si="55"/>
        <v>0</v>
      </c>
      <c r="Y343" s="91">
        <f t="shared" si="55"/>
        <v>0</v>
      </c>
      <c r="Z343" s="30">
        <f t="shared" si="55"/>
        <v>0</v>
      </c>
      <c r="AA343" s="91">
        <f t="shared" si="55"/>
        <v>0</v>
      </c>
      <c r="AB343" s="30">
        <f t="shared" si="55"/>
        <v>0</v>
      </c>
      <c r="AC343" s="91">
        <f t="shared" si="55"/>
        <v>0</v>
      </c>
      <c r="AD343" s="30">
        <f t="shared" si="55"/>
        <v>0</v>
      </c>
      <c r="AE343" s="91">
        <f t="shared" si="55"/>
        <v>0</v>
      </c>
      <c r="AF343" s="30">
        <f t="shared" si="55"/>
        <v>0</v>
      </c>
      <c r="AG343" s="91">
        <f t="shared" si="55"/>
        <v>0</v>
      </c>
      <c r="AH343" s="32">
        <f t="shared" si="55"/>
        <v>0</v>
      </c>
      <c r="AI343" s="31">
        <f t="shared" si="55"/>
        <v>0</v>
      </c>
      <c r="AJ343" s="30">
        <f t="shared" si="55"/>
        <v>0</v>
      </c>
      <c r="AK343" s="31">
        <f t="shared" si="55"/>
        <v>0</v>
      </c>
      <c r="AL343" s="30">
        <f t="shared" si="55"/>
        <v>0</v>
      </c>
      <c r="AM343" s="91">
        <f t="shared" si="55"/>
        <v>0</v>
      </c>
      <c r="AN343" s="30">
        <f t="shared" si="55"/>
        <v>0</v>
      </c>
      <c r="AO343" s="91">
        <f t="shared" si="55"/>
        <v>0</v>
      </c>
      <c r="AP343" s="30">
        <f t="shared" si="55"/>
        <v>0</v>
      </c>
      <c r="AQ343" s="91">
        <f t="shared" si="55"/>
        <v>0</v>
      </c>
      <c r="AR343" s="30">
        <f t="shared" si="55"/>
        <v>0</v>
      </c>
      <c r="AS343" s="91">
        <f t="shared" si="55"/>
        <v>0</v>
      </c>
      <c r="AT343" s="30">
        <f t="shared" si="55"/>
        <v>0</v>
      </c>
      <c r="AU343" s="91">
        <f t="shared" si="55"/>
        <v>0</v>
      </c>
      <c r="AV343" s="30">
        <f t="shared" si="55"/>
        <v>0</v>
      </c>
      <c r="AW343" s="91">
        <f t="shared" si="55"/>
        <v>0</v>
      </c>
      <c r="AX343" s="30">
        <f t="shared" si="55"/>
        <v>0</v>
      </c>
      <c r="AY343" s="91">
        <f t="shared" si="55"/>
        <v>0</v>
      </c>
      <c r="AZ343" s="30">
        <f t="shared" si="55"/>
        <v>0</v>
      </c>
      <c r="BA343" s="91">
        <f t="shared" si="55"/>
        <v>0</v>
      </c>
      <c r="BB343" s="30">
        <f t="shared" si="55"/>
        <v>0</v>
      </c>
      <c r="BC343" s="91">
        <f t="shared" si="55"/>
        <v>0</v>
      </c>
      <c r="BD343" s="30">
        <f t="shared" si="55"/>
        <v>0</v>
      </c>
      <c r="BE343" s="91">
        <f t="shared" si="55"/>
        <v>0</v>
      </c>
      <c r="BF343" s="30">
        <f t="shared" si="55"/>
        <v>0</v>
      </c>
      <c r="BG343" s="91">
        <f t="shared" si="55"/>
        <v>0</v>
      </c>
      <c r="BH343" s="30">
        <f t="shared" si="55"/>
        <v>0</v>
      </c>
      <c r="BI343" s="91">
        <f t="shared" si="55"/>
        <v>0</v>
      </c>
      <c r="BJ343" s="30">
        <f t="shared" si="55"/>
        <v>0</v>
      </c>
      <c r="BK343" s="91">
        <f t="shared" si="55"/>
        <v>0</v>
      </c>
      <c r="BL343" s="30">
        <f t="shared" si="55"/>
        <v>0</v>
      </c>
      <c r="BM343" s="91">
        <f t="shared" si="55"/>
        <v>0</v>
      </c>
      <c r="BN343" s="32">
        <f>SUM(BN333:BN342)</f>
        <v>0</v>
      </c>
      <c r="BO343" s="40">
        <f>SUM(BO333:BO342)</f>
        <v>0</v>
      </c>
      <c r="BP343" s="257">
        <f>SUM(BP333:BP342)</f>
        <v>3</v>
      </c>
      <c r="BQ343" s="240">
        <f>SUM(BQ333:BQ342)</f>
        <v>5</v>
      </c>
    </row>
    <row r="344" spans="2:69" s="6" customFormat="1" ht="48" customHeight="1">
      <c r="B344" s="120"/>
      <c r="C344" s="150"/>
      <c r="D344" s="7"/>
      <c r="E344" s="7"/>
      <c r="F344" s="7"/>
      <c r="G344" s="7"/>
      <c r="H344" s="7"/>
      <c r="I344" s="7"/>
      <c r="J344" s="7"/>
      <c r="K344" s="7"/>
      <c r="L344" s="7"/>
      <c r="M344" s="7"/>
      <c r="N344" s="7"/>
      <c r="O344" s="7"/>
      <c r="P344" s="7"/>
      <c r="Q344" s="7"/>
      <c r="R344" s="7"/>
      <c r="S344" s="7"/>
      <c r="T344" s="7"/>
      <c r="U344" s="7"/>
      <c r="V344" s="7"/>
      <c r="W344" s="7"/>
      <c r="X344" s="7"/>
      <c r="Y344" s="7"/>
      <c r="Z344" s="7"/>
      <c r="AA344" s="7"/>
      <c r="AB344" s="7"/>
      <c r="AC344" s="7"/>
      <c r="AD344" s="7"/>
      <c r="AE344" s="7"/>
      <c r="AF344" s="7"/>
      <c r="AG344" s="34"/>
      <c r="AH344" s="7"/>
      <c r="AI344" s="7"/>
      <c r="AJ344" s="7"/>
      <c r="AK344" s="7"/>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P344"/>
      <c r="BQ344" s="238"/>
    </row>
    <row r="345" spans="2:69" ht="24.95" customHeight="1" thickBot="1">
      <c r="B345" s="120"/>
      <c r="AG345" s="8"/>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43" t="s">
        <v>95</v>
      </c>
      <c r="C346" s="749">
        <f>COUNTIF(B350:B364,"*")</f>
        <v>15</v>
      </c>
      <c r="D346" s="751">
        <v>1</v>
      </c>
      <c r="E346" s="738"/>
      <c r="F346" s="737">
        <v>2</v>
      </c>
      <c r="G346" s="738"/>
      <c r="H346" s="737">
        <v>3</v>
      </c>
      <c r="I346" s="738"/>
      <c r="J346" s="737">
        <v>4</v>
      </c>
      <c r="K346" s="738"/>
      <c r="L346" s="737">
        <v>5</v>
      </c>
      <c r="M346" s="738"/>
      <c r="N346" s="737">
        <v>6</v>
      </c>
      <c r="O346" s="738"/>
      <c r="P346" s="737">
        <v>7</v>
      </c>
      <c r="Q346" s="738"/>
      <c r="R346" s="737">
        <v>8</v>
      </c>
      <c r="S346" s="738"/>
      <c r="T346" s="737">
        <v>9</v>
      </c>
      <c r="U346" s="738"/>
      <c r="V346" s="737">
        <v>10</v>
      </c>
      <c r="W346" s="738"/>
      <c r="X346" s="737">
        <v>11</v>
      </c>
      <c r="Y346" s="738"/>
      <c r="Z346" s="737">
        <v>12</v>
      </c>
      <c r="AA346" s="738"/>
      <c r="AB346" s="737">
        <v>13</v>
      </c>
      <c r="AC346" s="738"/>
      <c r="AD346" s="737">
        <v>14</v>
      </c>
      <c r="AE346" s="738"/>
      <c r="AF346" s="737">
        <v>15</v>
      </c>
      <c r="AG346" s="784"/>
      <c r="AH346" s="741">
        <v>16</v>
      </c>
      <c r="AI346" s="741"/>
      <c r="AJ346" s="741">
        <v>17</v>
      </c>
      <c r="AK346" s="741"/>
      <c r="AL346" s="741">
        <v>18</v>
      </c>
      <c r="AM346" s="741"/>
      <c r="AN346" s="741">
        <v>19</v>
      </c>
      <c r="AO346" s="741"/>
      <c r="AP346" s="741">
        <v>20</v>
      </c>
      <c r="AQ346" s="741"/>
      <c r="AR346" s="741">
        <v>21</v>
      </c>
      <c r="AS346" s="741"/>
      <c r="AT346" s="741">
        <v>22</v>
      </c>
      <c r="AU346" s="741"/>
      <c r="AV346" s="741">
        <v>23</v>
      </c>
      <c r="AW346" s="741"/>
      <c r="AX346" s="741">
        <v>24</v>
      </c>
      <c r="AY346" s="741"/>
      <c r="AZ346" s="741">
        <v>25</v>
      </c>
      <c r="BA346" s="741"/>
      <c r="BB346" s="741">
        <v>26</v>
      </c>
      <c r="BC346" s="741"/>
      <c r="BD346" s="741">
        <v>27</v>
      </c>
      <c r="BE346" s="741"/>
      <c r="BF346" s="741">
        <v>28</v>
      </c>
      <c r="BG346" s="741"/>
      <c r="BH346" s="741">
        <v>29</v>
      </c>
      <c r="BI346" s="741"/>
      <c r="BJ346" s="741">
        <v>30</v>
      </c>
      <c r="BK346" s="741"/>
      <c r="BL346" s="741">
        <v>31</v>
      </c>
      <c r="BM346" s="741"/>
      <c r="BN346" s="738" t="s">
        <v>251</v>
      </c>
      <c r="BO346" s="760"/>
      <c r="BP346" s="771" t="s">
        <v>353</v>
      </c>
      <c r="BQ346" s="772"/>
    </row>
    <row r="347" spans="2:69" ht="24.95" customHeight="1">
      <c r="B347" s="744"/>
      <c r="C347" s="747"/>
      <c r="D347" s="752" t="str">
        <f>D2</f>
        <v>土</v>
      </c>
      <c r="E347" s="740"/>
      <c r="F347" s="739" t="str">
        <f>F2</f>
        <v>日</v>
      </c>
      <c r="G347" s="740"/>
      <c r="H347" s="739" t="str">
        <f>H2</f>
        <v>月</v>
      </c>
      <c r="I347" s="740"/>
      <c r="J347" s="739" t="str">
        <f>J2</f>
        <v>火</v>
      </c>
      <c r="K347" s="740"/>
      <c r="L347" s="739" t="str">
        <f>L2</f>
        <v>水</v>
      </c>
      <c r="M347" s="740"/>
      <c r="N347" s="739" t="str">
        <f>N2</f>
        <v>木</v>
      </c>
      <c r="O347" s="740"/>
      <c r="P347" s="739" t="str">
        <f>P2</f>
        <v>金</v>
      </c>
      <c r="Q347" s="740"/>
      <c r="R347" s="739" t="str">
        <f>R2</f>
        <v>土</v>
      </c>
      <c r="S347" s="740"/>
      <c r="T347" s="739" t="str">
        <f>T2</f>
        <v>日</v>
      </c>
      <c r="U347" s="740"/>
      <c r="V347" s="739" t="str">
        <f>V2</f>
        <v>月</v>
      </c>
      <c r="W347" s="740"/>
      <c r="X347" s="739" t="str">
        <f>X2</f>
        <v>火</v>
      </c>
      <c r="Y347" s="740"/>
      <c r="Z347" s="739" t="str">
        <f>Z2</f>
        <v>水</v>
      </c>
      <c r="AA347" s="740"/>
      <c r="AB347" s="739" t="str">
        <f>AB2</f>
        <v>木</v>
      </c>
      <c r="AC347" s="740"/>
      <c r="AD347" s="739" t="str">
        <f>AD2</f>
        <v>金</v>
      </c>
      <c r="AE347" s="740"/>
      <c r="AF347" s="739" t="str">
        <f>AF2</f>
        <v>土</v>
      </c>
      <c r="AG347" s="740"/>
      <c r="AH347" s="786" t="str">
        <f>AH2</f>
        <v>日</v>
      </c>
      <c r="AI347" s="767"/>
      <c r="AJ347" s="770" t="str">
        <f>AJ2</f>
        <v>月</v>
      </c>
      <c r="AK347" s="770"/>
      <c r="AL347" s="770" t="str">
        <f>AL2</f>
        <v>火</v>
      </c>
      <c r="AM347" s="770"/>
      <c r="AN347" s="770" t="str">
        <f>AN2</f>
        <v>水</v>
      </c>
      <c r="AO347" s="770"/>
      <c r="AP347" s="770" t="str">
        <f>AP2</f>
        <v>木</v>
      </c>
      <c r="AQ347" s="770"/>
      <c r="AR347" s="770" t="str">
        <f>AR2</f>
        <v>金</v>
      </c>
      <c r="AS347" s="770"/>
      <c r="AT347" s="770" t="str">
        <f>AT2</f>
        <v>土</v>
      </c>
      <c r="AU347" s="770"/>
      <c r="AV347" s="770" t="str">
        <f>AV2</f>
        <v>日</v>
      </c>
      <c r="AW347" s="770"/>
      <c r="AX347" s="770" t="str">
        <f>AX2</f>
        <v>月</v>
      </c>
      <c r="AY347" s="770"/>
      <c r="AZ347" s="770" t="str">
        <f>AZ2</f>
        <v>火</v>
      </c>
      <c r="BA347" s="770"/>
      <c r="BB347" s="770" t="str">
        <f>BB2</f>
        <v>水</v>
      </c>
      <c r="BC347" s="770"/>
      <c r="BD347" s="770" t="str">
        <f>BD2</f>
        <v>木</v>
      </c>
      <c r="BE347" s="770"/>
      <c r="BF347" s="770" t="str">
        <f>BF2</f>
        <v>金</v>
      </c>
      <c r="BG347" s="770"/>
      <c r="BH347" s="770" t="str">
        <f>BH2</f>
        <v>土</v>
      </c>
      <c r="BI347" s="770"/>
      <c r="BJ347" s="770" t="str">
        <f>BJ2</f>
        <v>日</v>
      </c>
      <c r="BK347" s="770"/>
      <c r="BL347" s="770" t="str">
        <f>BL2</f>
        <v>月</v>
      </c>
      <c r="BM347" s="770"/>
      <c r="BN347" s="761"/>
      <c r="BO347" s="762"/>
      <c r="BP347" s="773"/>
      <c r="BQ347" s="774"/>
    </row>
    <row r="348" spans="2:69" ht="24.95" customHeight="1">
      <c r="B348" s="744"/>
      <c r="C348" s="747"/>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107" t="s">
        <v>73</v>
      </c>
      <c r="AF348" s="194" t="s">
        <v>72</v>
      </c>
      <c r="AG348" s="107" t="s">
        <v>73</v>
      </c>
      <c r="AH348" s="482" t="s">
        <v>72</v>
      </c>
      <c r="AI348" s="481"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77" t="s">
        <v>252</v>
      </c>
      <c r="BQ348" s="478" t="s">
        <v>254</v>
      </c>
    </row>
    <row r="349" spans="2:69" ht="24.95" customHeight="1">
      <c r="B349" s="540" t="str">
        <f>'1月'!$B$349</f>
        <v>諏訪　房子</v>
      </c>
      <c r="C349" s="541"/>
      <c r="D349" s="542"/>
      <c r="E349" s="543"/>
      <c r="F349" s="542"/>
      <c r="G349" s="543"/>
      <c r="H349" s="542"/>
      <c r="I349" s="543"/>
      <c r="J349" s="542"/>
      <c r="K349" s="543"/>
      <c r="L349" s="542"/>
      <c r="M349" s="543"/>
      <c r="N349" s="542"/>
      <c r="O349" s="543"/>
      <c r="P349" s="542"/>
      <c r="Q349" s="543"/>
      <c r="R349" s="542"/>
      <c r="S349" s="543"/>
      <c r="T349" s="542"/>
      <c r="U349" s="543"/>
      <c r="V349" s="542"/>
      <c r="W349" s="543"/>
      <c r="X349" s="542"/>
      <c r="Y349" s="543"/>
      <c r="Z349" s="18"/>
      <c r="AA349" s="14"/>
      <c r="AB349" s="18"/>
      <c r="AC349" s="14"/>
      <c r="AD349" s="18"/>
      <c r="AE349" s="14"/>
      <c r="AF349" s="18"/>
      <c r="AG349" s="15"/>
      <c r="AH349" s="542"/>
      <c r="AI349" s="543"/>
      <c r="AJ349" s="542"/>
      <c r="AK349" s="543"/>
      <c r="AL349" s="542"/>
      <c r="AM349" s="543"/>
      <c r="AN349" s="542"/>
      <c r="AO349" s="543"/>
      <c r="AP349" s="542"/>
      <c r="AQ349" s="543"/>
      <c r="AR349" s="542"/>
      <c r="AS349" s="543"/>
      <c r="AT349" s="542"/>
      <c r="AU349" s="543"/>
      <c r="AV349" s="542"/>
      <c r="AW349" s="543"/>
      <c r="AX349" s="542"/>
      <c r="AY349" s="543"/>
      <c r="AZ349" s="542"/>
      <c r="BA349" s="543"/>
      <c r="BB349" s="542"/>
      <c r="BC349" s="543"/>
      <c r="BD349" s="542"/>
      <c r="BE349" s="544"/>
      <c r="BF349" s="511"/>
      <c r="BG349" s="512"/>
      <c r="BH349" s="511"/>
      <c r="BI349" s="512"/>
      <c r="BJ349" s="546"/>
      <c r="BK349" s="544"/>
      <c r="BL349" s="545"/>
      <c r="BM349" s="544"/>
      <c r="BN349" s="102">
        <f>SUM(D349,F349,H349,J349,L349,N349,P349,R349,T349,V349,X349,Z349,AB349,AD349,AF349,AH349,AJ349,AL349,AN349,AP349,AR349,AT349,AV349,AX349,AZ349,BB349,BD349,BF349,BH349,BJ349,BL349)</f>
        <v>0</v>
      </c>
      <c r="BO349" s="47">
        <f>SUM(E349,G349,I349,K349,M349,O349,Q349,S349,U349,W349,Y349,AA349,AC349,AE349,AG349,AI349,AK349,AM349,AO349,AQ349,AS349,AU349,AW349,AY349,BA349,BC349,BE349,BG349,BI349,BK349,BM349)</f>
        <v>0</v>
      </c>
      <c r="BP349" s="631">
        <f>INDEX('1月'!$B$4:$BQ$375,MATCH('2月'!B349,'1月'!$B$4:$B$375,0),67)+BN349</f>
        <v>0</v>
      </c>
      <c r="BQ349" s="702">
        <f>INDEX('1月'!$B$4:$BQ$375,MATCH('2月'!B349,'1月'!$B$4:$B$375,0),68)+BO349</f>
        <v>0</v>
      </c>
    </row>
    <row r="350" spans="2:69" ht="45" customHeight="1">
      <c r="B350" s="509" t="str">
        <f>'1月'!$B$350</f>
        <v>松森　正利</v>
      </c>
      <c r="C350" s="510"/>
      <c r="D350" s="511"/>
      <c r="E350" s="512"/>
      <c r="F350" s="511"/>
      <c r="G350" s="512"/>
      <c r="H350" s="511"/>
      <c r="I350" s="512"/>
      <c r="J350" s="511"/>
      <c r="K350" s="512"/>
      <c r="L350" s="511"/>
      <c r="M350" s="512"/>
      <c r="N350" s="511"/>
      <c r="O350" s="512"/>
      <c r="P350" s="511"/>
      <c r="Q350" s="512"/>
      <c r="R350" s="511"/>
      <c r="S350" s="512"/>
      <c r="T350" s="511"/>
      <c r="U350" s="512"/>
      <c r="V350" s="511"/>
      <c r="W350" s="512"/>
      <c r="X350" s="511"/>
      <c r="Y350" s="512"/>
      <c r="Z350" s="18"/>
      <c r="AA350" s="14"/>
      <c r="AB350" s="18"/>
      <c r="AC350" s="14"/>
      <c r="AD350" s="18"/>
      <c r="AE350" s="14"/>
      <c r="AF350" s="18"/>
      <c r="AG350" s="15"/>
      <c r="AH350" s="511"/>
      <c r="AI350" s="512"/>
      <c r="AJ350" s="511"/>
      <c r="AK350" s="512"/>
      <c r="AL350" s="511"/>
      <c r="AM350" s="512"/>
      <c r="AN350" s="511"/>
      <c r="AO350" s="512"/>
      <c r="AP350" s="511"/>
      <c r="AQ350" s="512"/>
      <c r="AR350" s="511"/>
      <c r="AS350" s="512"/>
      <c r="AT350" s="511"/>
      <c r="AU350" s="512"/>
      <c r="AV350" s="511"/>
      <c r="AW350" s="512"/>
      <c r="AX350" s="511"/>
      <c r="AY350" s="512"/>
      <c r="AZ350" s="511"/>
      <c r="BA350" s="512"/>
      <c r="BB350" s="511"/>
      <c r="BC350" s="512"/>
      <c r="BD350" s="511"/>
      <c r="BE350" s="512"/>
      <c r="BF350" s="511"/>
      <c r="BG350" s="512"/>
      <c r="BH350" s="511"/>
      <c r="BI350" s="512"/>
      <c r="BJ350" s="525"/>
      <c r="BK350" s="526"/>
      <c r="BL350" s="521"/>
      <c r="BM350" s="526"/>
      <c r="BN350" s="102">
        <f t="shared" ref="BN350:BN364" si="56">SUM(D350,F350,H350,J350,L350,N350,P350,R350,T350,V350,X350,Z350,AB350,AD350,AF350,AH350,AJ350,AL350,AN350,AP350,AR350,AT350,AV350,AX350,AZ350,BB350,BD350,BF350,BH350,BJ350,BL350)</f>
        <v>0</v>
      </c>
      <c r="BO350" s="47">
        <f t="shared" ref="BO350:BO364" si="57">SUM(E350,G350,I350,K350,M350,O350,Q350,S350,U350,W350,Y350,AA350,AC350,AE350,AG350,AI350,AK350,AM350,AO350,AQ350,AS350,AU350,AW350,AY350,BA350,BC350,BE350,BG350,BI350,BK350,BM350)</f>
        <v>0</v>
      </c>
      <c r="BP350" s="631">
        <f>INDEX('1月'!$B$4:$BQ$375,MATCH('2月'!B350,'1月'!$B$4:$B$375,0),67)+BN350</f>
        <v>0</v>
      </c>
      <c r="BQ350" s="702">
        <f>INDEX('1月'!$B$4:$BQ$375,MATCH('2月'!B350,'1月'!$B$4:$B$375,0),68)+BO350</f>
        <v>0</v>
      </c>
    </row>
    <row r="351" spans="2:69" ht="45" customHeight="1" thickBot="1">
      <c r="B351" s="509" t="str">
        <f>'1月'!$B$351</f>
        <v>川口　義弘</v>
      </c>
      <c r="C351" s="510"/>
      <c r="D351" s="511"/>
      <c r="E351" s="512"/>
      <c r="F351" s="511"/>
      <c r="G351" s="512"/>
      <c r="H351" s="511"/>
      <c r="I351" s="512"/>
      <c r="J351" s="511"/>
      <c r="K351" s="512"/>
      <c r="L351" s="511"/>
      <c r="M351" s="512"/>
      <c r="N351" s="511"/>
      <c r="O351" s="512"/>
      <c r="P351" s="511"/>
      <c r="Q351" s="512"/>
      <c r="R351" s="511"/>
      <c r="S351" s="512"/>
      <c r="T351" s="511"/>
      <c r="U351" s="512"/>
      <c r="V351" s="511"/>
      <c r="W351" s="512"/>
      <c r="X351" s="511"/>
      <c r="Y351" s="512"/>
      <c r="Z351" s="18"/>
      <c r="AA351" s="14"/>
      <c r="AB351" s="18"/>
      <c r="AC351" s="14"/>
      <c r="AD351" s="18"/>
      <c r="AE351" s="14"/>
      <c r="AF351" s="18"/>
      <c r="AG351" s="15"/>
      <c r="AH351" s="511"/>
      <c r="AI351" s="512"/>
      <c r="AJ351" s="511"/>
      <c r="AK351" s="512"/>
      <c r="AL351" s="511"/>
      <c r="AM351" s="512"/>
      <c r="AN351" s="511"/>
      <c r="AO351" s="512"/>
      <c r="AP351" s="511"/>
      <c r="AQ351" s="512"/>
      <c r="AR351" s="511"/>
      <c r="AS351" s="512"/>
      <c r="AT351" s="511"/>
      <c r="AU351" s="512"/>
      <c r="AV351" s="511"/>
      <c r="AW351" s="512"/>
      <c r="AX351" s="511"/>
      <c r="AY351" s="512"/>
      <c r="AZ351" s="511"/>
      <c r="BA351" s="512"/>
      <c r="BB351" s="511"/>
      <c r="BC351" s="512"/>
      <c r="BD351" s="511"/>
      <c r="BE351" s="512"/>
      <c r="BF351" s="511"/>
      <c r="BG351" s="512"/>
      <c r="BH351" s="511"/>
      <c r="BI351" s="512"/>
      <c r="BJ351" s="525"/>
      <c r="BK351" s="526"/>
      <c r="BL351" s="521"/>
      <c r="BM351" s="526"/>
      <c r="BN351" s="102">
        <f t="shared" si="56"/>
        <v>0</v>
      </c>
      <c r="BO351" s="47">
        <f t="shared" si="57"/>
        <v>0</v>
      </c>
      <c r="BP351" s="631">
        <f>INDEX('1月'!$B$4:$BQ$375,MATCH('2月'!B351,'1月'!$B$4:$B$375,0),67)+BN351</f>
        <v>0</v>
      </c>
      <c r="BQ351" s="702">
        <f>INDEX('1月'!$B$4:$BQ$375,MATCH('2月'!B351,'1月'!$B$4:$B$375,0),68)+BO351</f>
        <v>0</v>
      </c>
    </row>
    <row r="352" spans="2:69" ht="45" customHeight="1" thickTop="1">
      <c r="B352" s="205" t="str">
        <f>'1月'!$B$352</f>
        <v>松橋　さち</v>
      </c>
      <c r="C352" s="152"/>
      <c r="D352" s="18"/>
      <c r="E352" s="14"/>
      <c r="F352" s="18"/>
      <c r="G352" s="14"/>
      <c r="H352" s="18"/>
      <c r="I352" s="14"/>
      <c r="J352" s="18"/>
      <c r="K352" s="14"/>
      <c r="L352" s="18"/>
      <c r="M352" s="14"/>
      <c r="N352" s="18"/>
      <c r="O352" s="14"/>
      <c r="P352" s="18"/>
      <c r="Q352" s="14"/>
      <c r="R352" s="18"/>
      <c r="S352" s="14"/>
      <c r="T352" s="18"/>
      <c r="U352" s="14"/>
      <c r="V352" s="18"/>
      <c r="W352" s="14"/>
      <c r="X352" s="18"/>
      <c r="Y352" s="14"/>
      <c r="Z352" s="18"/>
      <c r="AA352" s="14"/>
      <c r="AB352" s="18"/>
      <c r="AC352" s="14"/>
      <c r="AD352" s="18"/>
      <c r="AE352" s="14"/>
      <c r="AF352" s="18"/>
      <c r="AG352" s="15"/>
      <c r="AH352" s="524"/>
      <c r="AI352" s="522"/>
      <c r="AJ352" s="18"/>
      <c r="AK352" s="14"/>
      <c r="AL352" s="18"/>
      <c r="AM352" s="14"/>
      <c r="AN352" s="18"/>
      <c r="AO352" s="14"/>
      <c r="AP352" s="18"/>
      <c r="AQ352" s="14"/>
      <c r="AR352" s="525"/>
      <c r="AS352" s="522"/>
      <c r="AT352" s="524"/>
      <c r="AU352" s="522"/>
      <c r="AV352" s="524"/>
      <c r="AW352" s="522"/>
      <c r="AX352" s="524"/>
      <c r="AY352" s="522"/>
      <c r="AZ352" s="524"/>
      <c r="BA352" s="522"/>
      <c r="BB352" s="524"/>
      <c r="BC352" s="522"/>
      <c r="BD352" s="524"/>
      <c r="BE352" s="522"/>
      <c r="BF352" s="524"/>
      <c r="BG352" s="522"/>
      <c r="BH352" s="524"/>
      <c r="BI352" s="522"/>
      <c r="BJ352" s="525"/>
      <c r="BK352" s="526"/>
      <c r="BL352" s="521"/>
      <c r="BM352" s="526"/>
      <c r="BN352" s="102">
        <f t="shared" si="56"/>
        <v>0</v>
      </c>
      <c r="BO352" s="47">
        <f t="shared" si="57"/>
        <v>0</v>
      </c>
      <c r="BP352" s="631">
        <f>INDEX('1月'!$B$4:$BQ$375,MATCH('2月'!B352,'1月'!$B$4:$B$375,0),67)+BN352</f>
        <v>0</v>
      </c>
      <c r="BQ352" s="702">
        <f>INDEX('1月'!$B$4:$BQ$375,MATCH('2月'!B352,'1月'!$B$4:$B$375,0),68)+BO352</f>
        <v>0</v>
      </c>
    </row>
    <row r="353" spans="2:69" ht="45" customHeight="1">
      <c r="B353" s="201" t="str">
        <f>'1月'!$B$353</f>
        <v>東小川昭子</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18"/>
      <c r="AI353" s="14"/>
      <c r="AJ353" s="18"/>
      <c r="AK353" s="14"/>
      <c r="AL353" s="18"/>
      <c r="AM353" s="14"/>
      <c r="AN353" s="18"/>
      <c r="AO353" s="14"/>
      <c r="AP353" s="18"/>
      <c r="AQ353" s="14"/>
      <c r="AR353" s="525"/>
      <c r="AS353" s="522"/>
      <c r="AT353" s="524"/>
      <c r="AU353" s="522"/>
      <c r="AV353" s="524"/>
      <c r="AW353" s="522"/>
      <c r="AX353" s="524"/>
      <c r="AY353" s="522"/>
      <c r="AZ353" s="524"/>
      <c r="BA353" s="522"/>
      <c r="BB353" s="524"/>
      <c r="BC353" s="522"/>
      <c r="BD353" s="524"/>
      <c r="BE353" s="522"/>
      <c r="BF353" s="524"/>
      <c r="BG353" s="522"/>
      <c r="BH353" s="524"/>
      <c r="BI353" s="522"/>
      <c r="BJ353" s="525"/>
      <c r="BK353" s="526"/>
      <c r="BL353" s="525"/>
      <c r="BM353" s="522"/>
      <c r="BN353" s="102">
        <f t="shared" si="56"/>
        <v>0</v>
      </c>
      <c r="BO353" s="47">
        <f t="shared" si="57"/>
        <v>0</v>
      </c>
      <c r="BP353" s="631">
        <f>INDEX('1月'!$B$4:$BQ$375,MATCH('2月'!B353,'1月'!$B$4:$B$375,0),67)+BN353</f>
        <v>0</v>
      </c>
      <c r="BQ353" s="702">
        <f>INDEX('1月'!$B$4:$BQ$375,MATCH('2月'!B353,'1月'!$B$4:$B$375,0),68)+BO353</f>
        <v>0</v>
      </c>
    </row>
    <row r="354" spans="2:69" ht="45" customHeight="1">
      <c r="B354" s="201" t="str">
        <f>'1月'!$B$354</f>
        <v>伊藤　和子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37"/>
      <c r="BK354" s="15"/>
      <c r="BL354" s="37"/>
      <c r="BM354" s="14"/>
      <c r="BN354" s="102">
        <f t="shared" si="56"/>
        <v>0</v>
      </c>
      <c r="BO354" s="47">
        <f t="shared" si="57"/>
        <v>0</v>
      </c>
      <c r="BP354" s="631">
        <f>INDEX('1月'!$B$4:$BQ$375,MATCH('2月'!B354,'1月'!$B$4:$B$375,0),67)+BN354</f>
        <v>0</v>
      </c>
      <c r="BQ354" s="702">
        <f>INDEX('1月'!$B$4:$BQ$375,MATCH('2月'!B354,'1月'!$B$4:$B$375,0),68)+BO354</f>
        <v>0</v>
      </c>
    </row>
    <row r="355" spans="2:69" s="6" customFormat="1" ht="50.1" customHeight="1">
      <c r="B355" s="201" t="str">
        <f>'1月'!$B$355</f>
        <v>笹本　照子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37"/>
      <c r="BK355" s="15"/>
      <c r="BL355" s="37"/>
      <c r="BM355" s="14"/>
      <c r="BN355" s="102">
        <f t="shared" si="56"/>
        <v>0</v>
      </c>
      <c r="BO355" s="47">
        <f t="shared" si="57"/>
        <v>0</v>
      </c>
      <c r="BP355" s="631">
        <f>INDEX('1月'!$B$4:$BQ$375,MATCH('2月'!B355,'1月'!$B$4:$B$375,0),67)+BN355</f>
        <v>0</v>
      </c>
      <c r="BQ355" s="702">
        <f>INDEX('1月'!$B$4:$BQ$375,MATCH('2月'!B355,'1月'!$B$4:$B$375,0),68)+BO355</f>
        <v>0</v>
      </c>
    </row>
    <row r="356" spans="2:69" s="6" customFormat="1" ht="50.1" customHeight="1">
      <c r="B356" s="201" t="str">
        <f>'1月'!$B$356</f>
        <v>山野　ツヨ</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37"/>
      <c r="BK356" s="15"/>
      <c r="BL356" s="37"/>
      <c r="BM356" s="14"/>
      <c r="BN356" s="102">
        <f t="shared" si="56"/>
        <v>0</v>
      </c>
      <c r="BO356" s="47">
        <f t="shared" si="57"/>
        <v>0</v>
      </c>
      <c r="BP356" s="631">
        <f>INDEX('1月'!$B$4:$BQ$375,MATCH('2月'!B356,'1月'!$B$4:$B$375,0),67)+BN356</f>
        <v>0</v>
      </c>
      <c r="BQ356" s="702">
        <f>INDEX('1月'!$B$4:$BQ$375,MATCH('2月'!B356,'1月'!$B$4:$B$375,0),68)+BO356</f>
        <v>0</v>
      </c>
    </row>
    <row r="357" spans="2:69" s="6" customFormat="1" ht="50.1" customHeight="1">
      <c r="B357" s="154" t="str">
        <f>'1月'!$B$357</f>
        <v>前田　むつ子</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20"/>
      <c r="AF357" s="50"/>
      <c r="AG357" s="21"/>
      <c r="AH357" s="50"/>
      <c r="AI357" s="20"/>
      <c r="AJ357" s="50"/>
      <c r="AK357" s="20"/>
      <c r="AL357" s="50"/>
      <c r="AM357" s="20"/>
      <c r="AN357" s="50"/>
      <c r="AO357" s="20"/>
      <c r="AP357" s="50"/>
      <c r="AQ357" s="20"/>
      <c r="AR357" s="50"/>
      <c r="AS357" s="20"/>
      <c r="AT357" s="50"/>
      <c r="AU357" s="20"/>
      <c r="AV357" s="50"/>
      <c r="AW357" s="20"/>
      <c r="AX357" s="50"/>
      <c r="AY357" s="20"/>
      <c r="AZ357" s="50"/>
      <c r="BA357" s="20"/>
      <c r="BB357" s="50"/>
      <c r="BC357" s="20"/>
      <c r="BD357" s="50"/>
      <c r="BE357" s="20"/>
      <c r="BF357" s="50"/>
      <c r="BG357" s="20"/>
      <c r="BH357" s="50"/>
      <c r="BI357" s="20"/>
      <c r="BJ357" s="38"/>
      <c r="BK357" s="21"/>
      <c r="BL357" s="38"/>
      <c r="BM357" s="20"/>
      <c r="BN357" s="102">
        <f t="shared" si="56"/>
        <v>0</v>
      </c>
      <c r="BO357" s="47">
        <f t="shared" si="57"/>
        <v>0</v>
      </c>
      <c r="BP357" s="631">
        <f>INDEX('1月'!$B$4:$BQ$375,MATCH('2月'!B357,'1月'!$B$4:$B$375,0),67)+BN357</f>
        <v>0</v>
      </c>
      <c r="BQ357" s="702">
        <f>INDEX('1月'!$B$4:$BQ$375,MATCH('2月'!B357,'1月'!$B$4:$B$375,0),68)+BO357</f>
        <v>0</v>
      </c>
    </row>
    <row r="358" spans="2:69" s="6" customFormat="1" ht="50.1" customHeight="1">
      <c r="B358" s="154" t="str">
        <f>'1月'!$B$358</f>
        <v>石橋　千世子</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14"/>
      <c r="AF358" s="18"/>
      <c r="AG358" s="15"/>
      <c r="AH358" s="18"/>
      <c r="AI358" s="14"/>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37"/>
      <c r="BK358" s="15"/>
      <c r="BL358" s="37"/>
      <c r="BM358" s="14"/>
      <c r="BN358" s="102">
        <f t="shared" si="56"/>
        <v>0</v>
      </c>
      <c r="BO358" s="47">
        <f t="shared" si="57"/>
        <v>0</v>
      </c>
      <c r="BP358" s="631">
        <f>INDEX('1月'!$B$4:$BQ$375,MATCH('2月'!B358,'1月'!$B$4:$B$375,0),67)+BN358</f>
        <v>0</v>
      </c>
      <c r="BQ358" s="702">
        <f>INDEX('1月'!$B$4:$BQ$375,MATCH('2月'!B358,'1月'!$B$4:$B$375,0),68)+BO358</f>
        <v>0</v>
      </c>
    </row>
    <row r="359" spans="2:69" s="6" customFormat="1" ht="50.1" customHeight="1">
      <c r="B359" s="154" t="str">
        <f>'1月'!$B$359</f>
        <v>長谷川　雅胤</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37"/>
      <c r="BK359" s="15"/>
      <c r="BL359" s="37"/>
      <c r="BM359" s="14"/>
      <c r="BN359" s="102">
        <f t="shared" si="56"/>
        <v>0</v>
      </c>
      <c r="BO359" s="47">
        <f t="shared" si="57"/>
        <v>0</v>
      </c>
      <c r="BP359" s="631">
        <f>INDEX('1月'!$B$4:$BQ$375,MATCH('2月'!B359,'1月'!$B$4:$B$375,0),67)+BN359</f>
        <v>0</v>
      </c>
      <c r="BQ359" s="702">
        <f>INDEX('1月'!$B$4:$BQ$375,MATCH('2月'!B359,'1月'!$B$4:$B$375,0),68)+BO359</f>
        <v>0</v>
      </c>
    </row>
    <row r="360" spans="2:69" s="6" customFormat="1" ht="50.1" customHeight="1">
      <c r="B360" s="201" t="str">
        <f>'1月'!$B$360</f>
        <v>西川　美智子</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4"/>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37"/>
      <c r="BK360" s="14"/>
      <c r="BL360" s="37"/>
      <c r="BM360" s="14"/>
      <c r="BN360" s="102">
        <f t="shared" si="56"/>
        <v>0</v>
      </c>
      <c r="BO360" s="47">
        <f t="shared" si="57"/>
        <v>0</v>
      </c>
      <c r="BP360" s="631">
        <f>INDEX('1月'!$B$4:$BQ$375,MATCH('2月'!B360,'1月'!$B$4:$B$375,0),67)+BN360</f>
        <v>0</v>
      </c>
      <c r="BQ360" s="702">
        <f>INDEX('1月'!$B$4:$BQ$375,MATCH('2月'!B360,'1月'!$B$4:$B$375,0),68)+BO360</f>
        <v>0</v>
      </c>
    </row>
    <row r="361" spans="2:69" s="6" customFormat="1" ht="50.1" customHeight="1">
      <c r="B361" s="201" t="str">
        <f>'1月'!$B$361</f>
        <v>吉田　優子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5"/>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37"/>
      <c r="BK361" s="15"/>
      <c r="BL361" s="37"/>
      <c r="BM361" s="14"/>
      <c r="BN361" s="102">
        <f t="shared" si="56"/>
        <v>0</v>
      </c>
      <c r="BO361" s="47">
        <f t="shared" si="57"/>
        <v>0</v>
      </c>
      <c r="BP361" s="631">
        <f>INDEX('1月'!$B$4:$BQ$375,MATCH('2月'!B361,'1月'!$B$4:$B$375,0),67)+BN361</f>
        <v>0</v>
      </c>
      <c r="BQ361" s="702">
        <f>INDEX('1月'!$B$4:$BQ$375,MATCH('2月'!B361,'1月'!$B$4:$B$375,0),68)+BO361</f>
        <v>0</v>
      </c>
    </row>
    <row r="362" spans="2:69" s="6" customFormat="1" ht="50.1" customHeight="1">
      <c r="B362" s="494" t="str">
        <f>'1月'!$B$362</f>
        <v>今渕　利子</v>
      </c>
      <c r="C362" s="495"/>
      <c r="D362" s="480"/>
      <c r="E362" s="481"/>
      <c r="F362" s="480"/>
      <c r="G362" s="481"/>
      <c r="H362" s="480"/>
      <c r="I362" s="481"/>
      <c r="J362" s="480"/>
      <c r="K362" s="481"/>
      <c r="L362" s="480"/>
      <c r="M362" s="481"/>
      <c r="N362" s="480"/>
      <c r="O362" s="481"/>
      <c r="P362" s="480"/>
      <c r="Q362" s="481"/>
      <c r="R362" s="480"/>
      <c r="S362" s="481"/>
      <c r="T362" s="480"/>
      <c r="U362" s="481"/>
      <c r="V362" s="480"/>
      <c r="W362" s="481"/>
      <c r="X362" s="480"/>
      <c r="Y362" s="14"/>
      <c r="Z362" s="18"/>
      <c r="AA362" s="14"/>
      <c r="AB362" s="18"/>
      <c r="AC362" s="14"/>
      <c r="AD362" s="18"/>
      <c r="AE362" s="14"/>
      <c r="AF362" s="18"/>
      <c r="AG362" s="15"/>
      <c r="AH362" s="582"/>
      <c r="AI362" s="583"/>
      <c r="AJ362" s="582"/>
      <c r="AK362" s="583"/>
      <c r="AL362" s="582"/>
      <c r="AM362" s="583"/>
      <c r="AN362" s="582"/>
      <c r="AO362" s="583"/>
      <c r="AP362" s="582"/>
      <c r="AQ362" s="583"/>
      <c r="AR362" s="582"/>
      <c r="AS362" s="583"/>
      <c r="AT362" s="582"/>
      <c r="AU362" s="583"/>
      <c r="AV362" s="582"/>
      <c r="AW362" s="583"/>
      <c r="AX362" s="582"/>
      <c r="AY362" s="583"/>
      <c r="AZ362" s="582"/>
      <c r="BA362" s="583"/>
      <c r="BB362" s="582"/>
      <c r="BC362" s="583"/>
      <c r="BD362" s="18"/>
      <c r="BE362" s="14"/>
      <c r="BF362" s="18"/>
      <c r="BG362" s="14"/>
      <c r="BH362" s="18"/>
      <c r="BI362" s="14"/>
      <c r="BJ362" s="37"/>
      <c r="BK362" s="15"/>
      <c r="BL362" s="552"/>
      <c r="BM362" s="584"/>
      <c r="BN362" s="102">
        <f t="shared" si="56"/>
        <v>0</v>
      </c>
      <c r="BO362" s="47">
        <f t="shared" si="57"/>
        <v>0</v>
      </c>
      <c r="BP362" s="631">
        <f>INDEX('1月'!$B$4:$BQ$375,MATCH('2月'!B362,'1月'!$B$4:$B$375,0),67)+BN362</f>
        <v>0</v>
      </c>
      <c r="BQ362" s="702">
        <f>INDEX('1月'!$B$4:$BQ$375,MATCH('2月'!B362,'1月'!$B$4:$B$375,0),68)+BO362</f>
        <v>0</v>
      </c>
    </row>
    <row r="363" spans="2:69" s="6" customFormat="1" ht="50.1" customHeight="1">
      <c r="B363" s="494" t="str">
        <f>'1月'!$B$363</f>
        <v>阿部　清志</v>
      </c>
      <c r="C363" s="495"/>
      <c r="D363" s="480"/>
      <c r="E363" s="481"/>
      <c r="F363" s="480"/>
      <c r="G363" s="481"/>
      <c r="H363" s="480"/>
      <c r="I363" s="481"/>
      <c r="J363" s="480"/>
      <c r="K363" s="481"/>
      <c r="L363" s="480"/>
      <c r="M363" s="481"/>
      <c r="N363" s="480"/>
      <c r="O363" s="481"/>
      <c r="P363" s="480"/>
      <c r="Q363" s="481"/>
      <c r="R363" s="480"/>
      <c r="S363" s="481"/>
      <c r="T363" s="480"/>
      <c r="U363" s="481"/>
      <c r="V363" s="480"/>
      <c r="W363" s="481"/>
      <c r="X363" s="480"/>
      <c r="Y363" s="14"/>
      <c r="Z363" s="18"/>
      <c r="AA363" s="14"/>
      <c r="AB363" s="18"/>
      <c r="AC363" s="14"/>
      <c r="AD363" s="18"/>
      <c r="AE363" s="14"/>
      <c r="AF363" s="18"/>
      <c r="AG363" s="15"/>
      <c r="AH363" s="582"/>
      <c r="AI363" s="583"/>
      <c r="AJ363" s="582"/>
      <c r="AK363" s="583"/>
      <c r="AL363" s="582"/>
      <c r="AM363" s="583"/>
      <c r="AN363" s="582"/>
      <c r="AO363" s="583"/>
      <c r="AP363" s="582"/>
      <c r="AQ363" s="583"/>
      <c r="AR363" s="582"/>
      <c r="AS363" s="583"/>
      <c r="AT363" s="582"/>
      <c r="AU363" s="583"/>
      <c r="AV363" s="582"/>
      <c r="AW363" s="583"/>
      <c r="AX363" s="582"/>
      <c r="AY363" s="583"/>
      <c r="AZ363" s="582"/>
      <c r="BA363" s="583"/>
      <c r="BB363" s="582"/>
      <c r="BC363" s="583"/>
      <c r="BD363" s="18"/>
      <c r="BE363" s="14"/>
      <c r="BF363" s="18"/>
      <c r="BG363" s="14"/>
      <c r="BH363" s="18"/>
      <c r="BI363" s="14"/>
      <c r="BJ363" s="37"/>
      <c r="BK363" s="15"/>
      <c r="BL363" s="552"/>
      <c r="BM363" s="584"/>
      <c r="BN363" s="102">
        <f>SUM(D363,F363,H363,J363,L363,N363,P363,R363,T363,V363,X363,Z363,AB363,AD363,AF363,AH363,AJ363,AL363,AN363,AP363,AR363,AT363,AV363,AX363,AZ363,BB363,BD363,BF363,BH363,BJ363,BL363)</f>
        <v>0</v>
      </c>
      <c r="BO363" s="47">
        <f>SUM(E363,G363,I363,K363,M363,O363,Q363,S363,U363,W363,Y363,AA363,AC363,AE363,AG363,AI363,AK363,AM363,AO363,AQ363,AS363,AU363,AW363,AY363,BA363,BC363,BE363,BG363,BI363,BK363,BM363)</f>
        <v>0</v>
      </c>
      <c r="BP363" s="631">
        <f>INDEX('1月'!$B$4:$BQ$375,MATCH('2月'!B363,'1月'!$B$4:$B$375,0),67)+BN363</f>
        <v>1</v>
      </c>
      <c r="BQ363" s="702">
        <f>INDEX('1月'!$B$4:$BQ$375,MATCH('2月'!B363,'1月'!$B$4:$B$375,0),68)+BO363</f>
        <v>2</v>
      </c>
    </row>
    <row r="364" spans="2:69" s="6" customFormat="1" ht="45" customHeight="1" thickBot="1">
      <c r="B364" s="209" t="str">
        <f>'1月'!$B$364</f>
        <v>梅香堂</v>
      </c>
      <c r="C364" s="484"/>
      <c r="D364" s="485"/>
      <c r="E364" s="486"/>
      <c r="F364" s="485"/>
      <c r="G364" s="486"/>
      <c r="H364" s="485"/>
      <c r="I364" s="486"/>
      <c r="J364" s="485"/>
      <c r="K364" s="486"/>
      <c r="L364" s="485"/>
      <c r="M364" s="486"/>
      <c r="N364" s="485"/>
      <c r="O364" s="486"/>
      <c r="P364" s="485"/>
      <c r="Q364" s="486"/>
      <c r="R364" s="485"/>
      <c r="S364" s="486"/>
      <c r="T364" s="485"/>
      <c r="U364" s="486"/>
      <c r="V364" s="485"/>
      <c r="W364" s="486"/>
      <c r="X364" s="485"/>
      <c r="Y364" s="14"/>
      <c r="Z364" s="18"/>
      <c r="AA364" s="14"/>
      <c r="AB364" s="18"/>
      <c r="AC364" s="14"/>
      <c r="AD364" s="18"/>
      <c r="AE364" s="14"/>
      <c r="AF364" s="18"/>
      <c r="AG364" s="15"/>
      <c r="AH364" s="531"/>
      <c r="AI364" s="530"/>
      <c r="AJ364" s="531"/>
      <c r="AK364" s="530"/>
      <c r="AL364" s="531"/>
      <c r="AM364" s="530"/>
      <c r="AN364" s="531"/>
      <c r="AO364" s="530"/>
      <c r="AP364" s="531"/>
      <c r="AQ364" s="530"/>
      <c r="AR364" s="531"/>
      <c r="AS364" s="530"/>
      <c r="AT364" s="531"/>
      <c r="AU364" s="530"/>
      <c r="AV364" s="531"/>
      <c r="AW364" s="530"/>
      <c r="AX364" s="531"/>
      <c r="AY364" s="530"/>
      <c r="AZ364" s="531"/>
      <c r="BA364" s="530"/>
      <c r="BB364" s="531"/>
      <c r="BC364" s="530"/>
      <c r="BD364" s="18"/>
      <c r="BE364" s="14"/>
      <c r="BF364" s="18"/>
      <c r="BG364" s="14"/>
      <c r="BH364" s="18"/>
      <c r="BI364" s="14"/>
      <c r="BJ364" s="37"/>
      <c r="BK364" s="15"/>
      <c r="BL364" s="533"/>
      <c r="BM364" s="532"/>
      <c r="BN364" s="102">
        <f t="shared" si="56"/>
        <v>0</v>
      </c>
      <c r="BO364" s="47">
        <f t="shared" si="57"/>
        <v>0</v>
      </c>
      <c r="BP364" s="631">
        <f>INDEX('1月'!$B$4:$BQ$375,MATCH('2月'!B364,'1月'!$B$4:$B$375,0),67)+BN364</f>
        <v>0</v>
      </c>
      <c r="BQ364" s="702">
        <f>INDEX('1月'!$B$4:$BQ$375,MATCH('2月'!B364,'1月'!$B$4:$B$375,0),68)+BO364</f>
        <v>0</v>
      </c>
    </row>
    <row r="365" spans="2:69" s="6" customFormat="1" ht="45" customHeight="1" thickBot="1">
      <c r="B365" s="119" t="s">
        <v>462</v>
      </c>
      <c r="C365" s="149"/>
      <c r="D365" s="29">
        <f>SUM(D350:D364)</f>
        <v>0</v>
      </c>
      <c r="E365" s="31">
        <f>SUM(E350:E364)</f>
        <v>0</v>
      </c>
      <c r="F365" s="29">
        <f>SUM(F350:F364)</f>
        <v>0</v>
      </c>
      <c r="G365" s="31">
        <f>SUM(G350:G364)</f>
        <v>0</v>
      </c>
      <c r="H365" s="29">
        <f>SUM(H350:H364)</f>
        <v>0</v>
      </c>
      <c r="I365" s="31">
        <f>SUM(I350:I364)</f>
        <v>0</v>
      </c>
      <c r="J365" s="29">
        <f>SUM(J350:J364)</f>
        <v>0</v>
      </c>
      <c r="K365" s="31">
        <f>SUM(K350:K364)</f>
        <v>0</v>
      </c>
      <c r="L365" s="29">
        <f>SUM(L350:L364)</f>
        <v>0</v>
      </c>
      <c r="M365" s="31">
        <f>SUM(M350:M364)</f>
        <v>0</v>
      </c>
      <c r="N365" s="29">
        <f>SUM(N350:N364)</f>
        <v>0</v>
      </c>
      <c r="O365" s="31">
        <f>SUM(O350:O364)</f>
        <v>0</v>
      </c>
      <c r="P365" s="29">
        <f>SUM(P350:P364)</f>
        <v>0</v>
      </c>
      <c r="Q365" s="31">
        <f>SUM(Q350:Q364)</f>
        <v>0</v>
      </c>
      <c r="R365" s="29">
        <f>SUM(R350:R364)</f>
        <v>0</v>
      </c>
      <c r="S365" s="31">
        <f>SUM(S350:S364)</f>
        <v>0</v>
      </c>
      <c r="T365" s="29">
        <f>SUM(T350:T364)</f>
        <v>0</v>
      </c>
      <c r="U365" s="31">
        <f>SUM(U350:U364)</f>
        <v>0</v>
      </c>
      <c r="V365" s="29">
        <f>SUM(V350:V364)</f>
        <v>0</v>
      </c>
      <c r="W365" s="31">
        <f>SUM(W350:W364)</f>
        <v>0</v>
      </c>
      <c r="X365" s="29">
        <f>SUM(X350:X364)</f>
        <v>0</v>
      </c>
      <c r="Y365" s="31">
        <f>SUM(Y350:Y364)</f>
        <v>0</v>
      </c>
      <c r="Z365" s="29">
        <f>SUM(Z350:Z364)</f>
        <v>0</v>
      </c>
      <c r="AA365" s="31">
        <f>SUM(AA350:AA364)</f>
        <v>0</v>
      </c>
      <c r="AB365" s="29">
        <f>SUM(AB350:AB364)</f>
        <v>0</v>
      </c>
      <c r="AC365" s="31">
        <f>SUM(AC350:AC364)</f>
        <v>0</v>
      </c>
      <c r="AD365" s="29">
        <f>SUM(AD350:AD364)</f>
        <v>0</v>
      </c>
      <c r="AE365" s="31">
        <f>SUM(AE350:AE364)</f>
        <v>0</v>
      </c>
      <c r="AF365" s="29">
        <f>SUM(AF350:AF364)</f>
        <v>0</v>
      </c>
      <c r="AG365" s="41">
        <f>SUM(AG350:AG364)</f>
        <v>0</v>
      </c>
      <c r="AH365" s="29">
        <f>SUM(AH350:AH364)</f>
        <v>0</v>
      </c>
      <c r="AI365" s="31">
        <f>SUM(AI350:AI364)</f>
        <v>0</v>
      </c>
      <c r="AJ365" s="29">
        <f>SUM(AJ350:AJ364)</f>
        <v>0</v>
      </c>
      <c r="AK365" s="31">
        <f>SUM(AK350:AK364)</f>
        <v>0</v>
      </c>
      <c r="AL365" s="29">
        <f>SUM(AL350:AL364)</f>
        <v>0</v>
      </c>
      <c r="AM365" s="31">
        <f>SUM(AM350:AM364)</f>
        <v>0</v>
      </c>
      <c r="AN365" s="29">
        <f>SUM(AN350:AN364)</f>
        <v>0</v>
      </c>
      <c r="AO365" s="31">
        <f>SUM(AO350:AO364)</f>
        <v>0</v>
      </c>
      <c r="AP365" s="29">
        <f>SUM(AP350:AP364)</f>
        <v>0</v>
      </c>
      <c r="AQ365" s="31">
        <f>SUM(AQ350:AQ364)</f>
        <v>0</v>
      </c>
      <c r="AR365" s="29">
        <f>SUM(AR350:AR364)</f>
        <v>0</v>
      </c>
      <c r="AS365" s="31">
        <f>SUM(AS350:AS364)</f>
        <v>0</v>
      </c>
      <c r="AT365" s="29">
        <f>SUM(AT350:AT364)</f>
        <v>0</v>
      </c>
      <c r="AU365" s="31">
        <f>SUM(AU350:AU364)</f>
        <v>0</v>
      </c>
      <c r="AV365" s="29">
        <f>SUM(AV350:AV364)</f>
        <v>0</v>
      </c>
      <c r="AW365" s="31">
        <f>SUM(AW350:AW364)</f>
        <v>0</v>
      </c>
      <c r="AX365" s="29">
        <f>SUM(AX350:AX364)</f>
        <v>0</v>
      </c>
      <c r="AY365" s="31">
        <f>SUM(AY350:AY364)</f>
        <v>0</v>
      </c>
      <c r="AZ365" s="29">
        <f>SUM(AZ350:AZ364)</f>
        <v>0</v>
      </c>
      <c r="BA365" s="31">
        <f>SUM(BA350:BA364)</f>
        <v>0</v>
      </c>
      <c r="BB365" s="29">
        <f>SUM(BB350:BB364)</f>
        <v>0</v>
      </c>
      <c r="BC365" s="31">
        <f>SUM(BC350:BC364)</f>
        <v>0</v>
      </c>
      <c r="BD365" s="29">
        <f>SUM(BD350:BD364)</f>
        <v>0</v>
      </c>
      <c r="BE365" s="31">
        <f>SUM(BE350:BE364)</f>
        <v>0</v>
      </c>
      <c r="BF365" s="29">
        <f>SUM(BF350:BF364)</f>
        <v>0</v>
      </c>
      <c r="BG365" s="31">
        <f>SUM(BG350:BG364)</f>
        <v>0</v>
      </c>
      <c r="BH365" s="29">
        <f>SUM(BH350:BH364)</f>
        <v>0</v>
      </c>
      <c r="BI365" s="31">
        <f>SUM(BI350:BI364)</f>
        <v>0</v>
      </c>
      <c r="BJ365" s="39">
        <f>SUM(BJ350:BJ364)</f>
        <v>0</v>
      </c>
      <c r="BK365" s="41">
        <f>SUM(BK350:BK364)</f>
        <v>0</v>
      </c>
      <c r="BL365" s="39">
        <f>SUM(BL350:BL364)</f>
        <v>0</v>
      </c>
      <c r="BM365" s="31">
        <f>SUM(BM350:BM364)</f>
        <v>0</v>
      </c>
      <c r="BN365" s="28">
        <f>SUM(BN350:BN364)</f>
        <v>0</v>
      </c>
      <c r="BO365" s="41">
        <f>SUM(BO350:BO364)</f>
        <v>0</v>
      </c>
      <c r="BP365" s="257">
        <f>SUM(BP350:BP364)</f>
        <v>1</v>
      </c>
      <c r="BQ365" s="240">
        <f>SUM(BQ350:BQ364)</f>
        <v>2</v>
      </c>
    </row>
    <row r="366" spans="2:69" s="6" customFormat="1" ht="49.5" customHeight="1">
      <c r="B366" s="120"/>
      <c r="C366" s="150"/>
      <c r="D366" s="7"/>
      <c r="E366" s="7"/>
      <c r="F366" s="7"/>
      <c r="G366" s="7"/>
      <c r="H366" s="7"/>
      <c r="I366" s="7"/>
      <c r="J366" s="7"/>
      <c r="K366" s="7"/>
      <c r="L366" s="7"/>
      <c r="M366" s="7"/>
      <c r="N366" s="7"/>
      <c r="O366" s="7"/>
      <c r="P366" s="7"/>
      <c r="Q366" s="7"/>
      <c r="R366" s="7"/>
      <c r="S366" s="7"/>
      <c r="T366" s="7"/>
      <c r="U366" s="7"/>
      <c r="V366" s="7"/>
      <c r="W366" s="7"/>
      <c r="X366" s="7"/>
      <c r="Y366" s="7"/>
      <c r="Z366" s="7"/>
      <c r="AA366" s="7"/>
      <c r="AB366" s="7"/>
      <c r="AC366" s="7"/>
      <c r="AD366" s="7"/>
      <c r="AE366" s="7"/>
      <c r="AF366" s="7"/>
      <c r="AG366" s="34"/>
      <c r="AH366" s="7"/>
      <c r="AI366" s="7"/>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c r="BP366"/>
      <c r="BQ366"/>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43" t="s">
        <v>59</v>
      </c>
      <c r="C368" s="749">
        <f>COUNTIF(B371:B375,"*")</f>
        <v>0</v>
      </c>
      <c r="D368" s="751">
        <v>1</v>
      </c>
      <c r="E368" s="738"/>
      <c r="F368" s="737">
        <v>2</v>
      </c>
      <c r="G368" s="738"/>
      <c r="H368" s="737">
        <v>3</v>
      </c>
      <c r="I368" s="738"/>
      <c r="J368" s="737">
        <v>4</v>
      </c>
      <c r="K368" s="738"/>
      <c r="L368" s="737">
        <v>5</v>
      </c>
      <c r="M368" s="738"/>
      <c r="N368" s="737">
        <v>6</v>
      </c>
      <c r="O368" s="738"/>
      <c r="P368" s="737">
        <v>7</v>
      </c>
      <c r="Q368" s="738"/>
      <c r="R368" s="737">
        <v>8</v>
      </c>
      <c r="S368" s="738"/>
      <c r="T368" s="737">
        <v>9</v>
      </c>
      <c r="U368" s="738"/>
      <c r="V368" s="737">
        <v>10</v>
      </c>
      <c r="W368" s="738"/>
      <c r="X368" s="737">
        <v>11</v>
      </c>
      <c r="Y368" s="738"/>
      <c r="Z368" s="737">
        <v>12</v>
      </c>
      <c r="AA368" s="738"/>
      <c r="AB368" s="737">
        <v>13</v>
      </c>
      <c r="AC368" s="738"/>
      <c r="AD368" s="737">
        <v>14</v>
      </c>
      <c r="AE368" s="738"/>
      <c r="AF368" s="737">
        <v>15</v>
      </c>
      <c r="AG368" s="784"/>
      <c r="AH368" s="741">
        <v>16</v>
      </c>
      <c r="AI368" s="741"/>
      <c r="AJ368" s="741">
        <v>17</v>
      </c>
      <c r="AK368" s="741"/>
      <c r="AL368" s="741">
        <v>18</v>
      </c>
      <c r="AM368" s="741"/>
      <c r="AN368" s="741">
        <v>19</v>
      </c>
      <c r="AO368" s="741"/>
      <c r="AP368" s="741">
        <v>20</v>
      </c>
      <c r="AQ368" s="741"/>
      <c r="AR368" s="741">
        <v>21</v>
      </c>
      <c r="AS368" s="741"/>
      <c r="AT368" s="741">
        <v>22</v>
      </c>
      <c r="AU368" s="741"/>
      <c r="AV368" s="741">
        <v>23</v>
      </c>
      <c r="AW368" s="741"/>
      <c r="AX368" s="741">
        <v>24</v>
      </c>
      <c r="AY368" s="741"/>
      <c r="AZ368" s="741">
        <v>25</v>
      </c>
      <c r="BA368" s="741"/>
      <c r="BB368" s="741">
        <v>26</v>
      </c>
      <c r="BC368" s="741"/>
      <c r="BD368" s="741">
        <v>27</v>
      </c>
      <c r="BE368" s="741"/>
      <c r="BF368" s="741">
        <v>28</v>
      </c>
      <c r="BG368" s="741"/>
      <c r="BH368" s="741">
        <v>29</v>
      </c>
      <c r="BI368" s="741"/>
      <c r="BJ368" s="741">
        <v>30</v>
      </c>
      <c r="BK368" s="741"/>
      <c r="BL368" s="741">
        <v>31</v>
      </c>
      <c r="BM368" s="741"/>
      <c r="BN368" s="738" t="s">
        <v>251</v>
      </c>
      <c r="BO368" s="760"/>
      <c r="BP368" s="771" t="s">
        <v>353</v>
      </c>
      <c r="BQ368" s="772"/>
    </row>
    <row r="369" spans="2:69" ht="24.95" customHeight="1">
      <c r="B369" s="744"/>
      <c r="C369" s="747"/>
      <c r="D369" s="752" t="str">
        <f>D2</f>
        <v>土</v>
      </c>
      <c r="E369" s="740"/>
      <c r="F369" s="739" t="str">
        <f>F2</f>
        <v>日</v>
      </c>
      <c r="G369" s="740"/>
      <c r="H369" s="739" t="str">
        <f>H2</f>
        <v>月</v>
      </c>
      <c r="I369" s="740"/>
      <c r="J369" s="739" t="str">
        <f>J2</f>
        <v>火</v>
      </c>
      <c r="K369" s="740"/>
      <c r="L369" s="739" t="str">
        <f>L2</f>
        <v>水</v>
      </c>
      <c r="M369" s="740"/>
      <c r="N369" s="739" t="str">
        <f>N2</f>
        <v>木</v>
      </c>
      <c r="O369" s="740"/>
      <c r="P369" s="739" t="str">
        <f>P2</f>
        <v>金</v>
      </c>
      <c r="Q369" s="740"/>
      <c r="R369" s="739" t="str">
        <f>R2</f>
        <v>土</v>
      </c>
      <c r="S369" s="740"/>
      <c r="T369" s="739" t="str">
        <f>T2</f>
        <v>日</v>
      </c>
      <c r="U369" s="740"/>
      <c r="V369" s="739" t="str">
        <f>V2</f>
        <v>月</v>
      </c>
      <c r="W369" s="740"/>
      <c r="X369" s="739" t="str">
        <f>X2</f>
        <v>火</v>
      </c>
      <c r="Y369" s="740"/>
      <c r="Z369" s="739" t="str">
        <f>Z2</f>
        <v>水</v>
      </c>
      <c r="AA369" s="740"/>
      <c r="AB369" s="739" t="str">
        <f>AB2</f>
        <v>木</v>
      </c>
      <c r="AC369" s="740"/>
      <c r="AD369" s="739" t="str">
        <f>AD2</f>
        <v>金</v>
      </c>
      <c r="AE369" s="740"/>
      <c r="AF369" s="739" t="str">
        <f>AF2</f>
        <v>土</v>
      </c>
      <c r="AG369" s="740"/>
      <c r="AH369" s="786" t="str">
        <f>AH2</f>
        <v>日</v>
      </c>
      <c r="AI369" s="767"/>
      <c r="AJ369" s="770" t="str">
        <f>AJ2</f>
        <v>月</v>
      </c>
      <c r="AK369" s="770"/>
      <c r="AL369" s="770" t="str">
        <f>AL2</f>
        <v>火</v>
      </c>
      <c r="AM369" s="770"/>
      <c r="AN369" s="770" t="str">
        <f>AN2</f>
        <v>水</v>
      </c>
      <c r="AO369" s="770"/>
      <c r="AP369" s="770" t="str">
        <f>AP2</f>
        <v>木</v>
      </c>
      <c r="AQ369" s="770"/>
      <c r="AR369" s="770" t="str">
        <f>AR2</f>
        <v>金</v>
      </c>
      <c r="AS369" s="770"/>
      <c r="AT369" s="770" t="str">
        <f>AT2</f>
        <v>土</v>
      </c>
      <c r="AU369" s="770"/>
      <c r="AV369" s="770" t="str">
        <f>AV2</f>
        <v>日</v>
      </c>
      <c r="AW369" s="770"/>
      <c r="AX369" s="770" t="str">
        <f>AX2</f>
        <v>月</v>
      </c>
      <c r="AY369" s="770"/>
      <c r="AZ369" s="770" t="str">
        <f>AZ2</f>
        <v>火</v>
      </c>
      <c r="BA369" s="770"/>
      <c r="BB369" s="770" t="str">
        <f>BB2</f>
        <v>水</v>
      </c>
      <c r="BC369" s="770"/>
      <c r="BD369" s="770" t="str">
        <f>BD2</f>
        <v>木</v>
      </c>
      <c r="BE369" s="770"/>
      <c r="BF369" s="770" t="str">
        <f>BF2</f>
        <v>金</v>
      </c>
      <c r="BG369" s="770"/>
      <c r="BH369" s="770" t="str">
        <f>BH2</f>
        <v>土</v>
      </c>
      <c r="BI369" s="770"/>
      <c r="BJ369" s="770" t="str">
        <f>BJ2</f>
        <v>日</v>
      </c>
      <c r="BK369" s="770"/>
      <c r="BL369" s="770" t="str">
        <f>BL2</f>
        <v>月</v>
      </c>
      <c r="BM369" s="770"/>
      <c r="BN369" s="761"/>
      <c r="BO369" s="762"/>
      <c r="BP369" s="773"/>
      <c r="BQ369" s="774"/>
    </row>
    <row r="370" spans="2:69" ht="24.95" customHeight="1" thickBot="1">
      <c r="B370" s="748"/>
      <c r="C370" s="750"/>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ht="24.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79"/>
      <c r="BK371" s="10"/>
      <c r="BL371" s="11"/>
      <c r="BM371" s="10"/>
      <c r="BN371" s="102">
        <f t="shared" ref="BN371:BO375" si="58">SUM(D371,F371,H371,J371,L371,N371,P371,R371,T371,V371,X371,Z371,AB371,AD371,AF371,AH371,AJ371,AL371,AN371,AP371,AR371,AT371,AV371,AX371,AZ371,BB371,BD371,BF371,BH371,BJ371,BL371)</f>
        <v>0</v>
      </c>
      <c r="BO371" s="47">
        <f t="shared" si="58"/>
        <v>0</v>
      </c>
      <c r="BP371" s="631">
        <f>'1月'!BP371+'2月'!BN371</f>
        <v>0</v>
      </c>
      <c r="BQ371" s="559">
        <f>'1月'!BQ371+'2月'!BO371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37"/>
      <c r="BK372" s="15"/>
      <c r="BL372" s="37"/>
      <c r="BM372" s="14"/>
      <c r="BN372" s="102">
        <f t="shared" si="58"/>
        <v>0</v>
      </c>
      <c r="BO372" s="47">
        <f t="shared" si="58"/>
        <v>0</v>
      </c>
      <c r="BP372" s="631">
        <f>'1月'!BP372+'2月'!BN372</f>
        <v>0</v>
      </c>
      <c r="BQ372" s="559">
        <f>'1月'!BQ372+'2月'!BO372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37"/>
      <c r="BK373" s="15"/>
      <c r="BL373" s="37"/>
      <c r="BM373" s="14"/>
      <c r="BN373" s="102">
        <f t="shared" si="58"/>
        <v>0</v>
      </c>
      <c r="BO373" s="47">
        <f t="shared" si="58"/>
        <v>0</v>
      </c>
      <c r="BP373" s="631">
        <f>'1月'!BP373+'2月'!BN373</f>
        <v>0</v>
      </c>
      <c r="BQ373" s="559">
        <f>'1月'!BQ373+'2月'!BO373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37"/>
      <c r="BK374" s="15"/>
      <c r="BL374" s="37"/>
      <c r="BM374" s="14"/>
      <c r="BN374" s="102">
        <f t="shared" si="58"/>
        <v>0</v>
      </c>
      <c r="BO374" s="47">
        <f t="shared" si="58"/>
        <v>0</v>
      </c>
      <c r="BP374" s="631">
        <f>'1月'!BP374+'2月'!BN374</f>
        <v>0</v>
      </c>
      <c r="BQ374" s="559">
        <f>'1月'!BQ374+'2月'!BO374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37"/>
      <c r="BK375" s="15"/>
      <c r="BL375" s="37"/>
      <c r="BM375" s="14"/>
      <c r="BN375" s="102">
        <f t="shared" si="58"/>
        <v>0</v>
      </c>
      <c r="BO375" s="47">
        <f t="shared" si="58"/>
        <v>0</v>
      </c>
      <c r="BP375" s="631">
        <f>'1月'!BP375+'2月'!BN375</f>
        <v>0</v>
      </c>
      <c r="BQ375" s="559">
        <f>'1月'!BQ375+'2月'!BO375</f>
        <v>0</v>
      </c>
    </row>
    <row r="376" spans="2:69" s="6" customFormat="1" ht="15.95" customHeight="1" thickBot="1">
      <c r="B376" s="119" t="s">
        <v>101</v>
      </c>
      <c r="C376" s="149"/>
      <c r="D376" s="29">
        <f t="shared" ref="D376:BM376" si="59">SUM(D371:D375)</f>
        <v>0</v>
      </c>
      <c r="E376" s="31">
        <f t="shared" si="59"/>
        <v>0</v>
      </c>
      <c r="F376" s="29">
        <f t="shared" si="59"/>
        <v>0</v>
      </c>
      <c r="G376" s="31">
        <f t="shared" si="59"/>
        <v>0</v>
      </c>
      <c r="H376" s="29">
        <f t="shared" si="59"/>
        <v>0</v>
      </c>
      <c r="I376" s="31">
        <f t="shared" si="59"/>
        <v>0</v>
      </c>
      <c r="J376" s="29">
        <f t="shared" si="59"/>
        <v>0</v>
      </c>
      <c r="K376" s="31">
        <f t="shared" si="59"/>
        <v>0</v>
      </c>
      <c r="L376" s="29">
        <f t="shared" si="59"/>
        <v>0</v>
      </c>
      <c r="M376" s="31">
        <f t="shared" si="59"/>
        <v>0</v>
      </c>
      <c r="N376" s="29">
        <f t="shared" si="59"/>
        <v>0</v>
      </c>
      <c r="O376" s="31">
        <f t="shared" si="59"/>
        <v>0</v>
      </c>
      <c r="P376" s="29">
        <f t="shared" si="59"/>
        <v>0</v>
      </c>
      <c r="Q376" s="31">
        <f t="shared" si="59"/>
        <v>0</v>
      </c>
      <c r="R376" s="29">
        <f t="shared" si="59"/>
        <v>0</v>
      </c>
      <c r="S376" s="31">
        <f t="shared" si="59"/>
        <v>0</v>
      </c>
      <c r="T376" s="29">
        <f t="shared" si="59"/>
        <v>0</v>
      </c>
      <c r="U376" s="31">
        <f t="shared" si="59"/>
        <v>0</v>
      </c>
      <c r="V376" s="29">
        <f t="shared" si="59"/>
        <v>0</v>
      </c>
      <c r="W376" s="31">
        <f t="shared" si="59"/>
        <v>0</v>
      </c>
      <c r="X376" s="29">
        <f t="shared" si="59"/>
        <v>0</v>
      </c>
      <c r="Y376" s="31">
        <f t="shared" si="59"/>
        <v>0</v>
      </c>
      <c r="Z376" s="29">
        <f t="shared" si="59"/>
        <v>0</v>
      </c>
      <c r="AA376" s="31">
        <f t="shared" si="59"/>
        <v>0</v>
      </c>
      <c r="AB376" s="29">
        <f t="shared" si="59"/>
        <v>0</v>
      </c>
      <c r="AC376" s="31">
        <f t="shared" si="59"/>
        <v>0</v>
      </c>
      <c r="AD376" s="29">
        <f t="shared" si="59"/>
        <v>0</v>
      </c>
      <c r="AE376" s="31">
        <f t="shared" si="59"/>
        <v>0</v>
      </c>
      <c r="AF376" s="29">
        <f t="shared" si="59"/>
        <v>0</v>
      </c>
      <c r="AG376" s="41">
        <f t="shared" si="59"/>
        <v>0</v>
      </c>
      <c r="AH376" s="29">
        <f t="shared" si="59"/>
        <v>0</v>
      </c>
      <c r="AI376" s="31">
        <f t="shared" si="59"/>
        <v>0</v>
      </c>
      <c r="AJ376" s="29">
        <f t="shared" si="59"/>
        <v>0</v>
      </c>
      <c r="AK376" s="31">
        <f t="shared" si="59"/>
        <v>0</v>
      </c>
      <c r="AL376" s="29">
        <f t="shared" si="59"/>
        <v>0</v>
      </c>
      <c r="AM376" s="31">
        <f t="shared" si="59"/>
        <v>0</v>
      </c>
      <c r="AN376" s="29">
        <f t="shared" si="59"/>
        <v>0</v>
      </c>
      <c r="AO376" s="31">
        <f t="shared" si="59"/>
        <v>0</v>
      </c>
      <c r="AP376" s="29">
        <f t="shared" si="59"/>
        <v>0</v>
      </c>
      <c r="AQ376" s="31">
        <f t="shared" si="59"/>
        <v>0</v>
      </c>
      <c r="AR376" s="29">
        <f t="shared" si="59"/>
        <v>0</v>
      </c>
      <c r="AS376" s="31">
        <f t="shared" si="59"/>
        <v>0</v>
      </c>
      <c r="AT376" s="29">
        <f t="shared" si="59"/>
        <v>0</v>
      </c>
      <c r="AU376" s="31">
        <f t="shared" si="59"/>
        <v>0</v>
      </c>
      <c r="AV376" s="29">
        <f t="shared" si="59"/>
        <v>0</v>
      </c>
      <c r="AW376" s="31">
        <f t="shared" si="59"/>
        <v>0</v>
      </c>
      <c r="AX376" s="29">
        <f t="shared" si="59"/>
        <v>0</v>
      </c>
      <c r="AY376" s="31">
        <f t="shared" si="59"/>
        <v>0</v>
      </c>
      <c r="AZ376" s="29">
        <f t="shared" si="59"/>
        <v>0</v>
      </c>
      <c r="BA376" s="31">
        <f t="shared" si="59"/>
        <v>0</v>
      </c>
      <c r="BB376" s="29">
        <f t="shared" si="59"/>
        <v>0</v>
      </c>
      <c r="BC376" s="31">
        <f t="shared" si="59"/>
        <v>0</v>
      </c>
      <c r="BD376" s="29">
        <f t="shared" si="59"/>
        <v>0</v>
      </c>
      <c r="BE376" s="31">
        <f t="shared" si="59"/>
        <v>0</v>
      </c>
      <c r="BF376" s="29">
        <f t="shared" si="59"/>
        <v>0</v>
      </c>
      <c r="BG376" s="31">
        <f t="shared" si="59"/>
        <v>0</v>
      </c>
      <c r="BH376" s="29">
        <f t="shared" si="59"/>
        <v>0</v>
      </c>
      <c r="BI376" s="31">
        <f t="shared" si="59"/>
        <v>0</v>
      </c>
      <c r="BJ376" s="39">
        <f t="shared" si="59"/>
        <v>0</v>
      </c>
      <c r="BK376" s="41">
        <f t="shared" si="59"/>
        <v>0</v>
      </c>
      <c r="BL376" s="39">
        <f t="shared" si="59"/>
        <v>0</v>
      </c>
      <c r="BM376" s="31">
        <f t="shared" si="59"/>
        <v>0</v>
      </c>
      <c r="BN376" s="32">
        <f>SUM(BN371:BN375)</f>
        <v>0</v>
      </c>
      <c r="BO376" s="41">
        <f>SUM(BO371:BO375)</f>
        <v>0</v>
      </c>
      <c r="BP376" s="257">
        <f>SUM(BP371:BP375)</f>
        <v>0</v>
      </c>
      <c r="BQ376" s="240">
        <f>SUM(BQ371:BQ375)</f>
        <v>0</v>
      </c>
    </row>
    <row r="377" spans="2:69" s="6" customFormat="1" ht="30" customHeight="1">
      <c r="B377" s="120"/>
      <c r="C377" s="150"/>
      <c r="D377" s="7"/>
      <c r="E377" s="7"/>
      <c r="F377" s="7"/>
      <c r="G377" s="7"/>
      <c r="H377" s="7"/>
      <c r="I377" s="7"/>
      <c r="J377" s="7"/>
      <c r="K377" s="7"/>
      <c r="L377" s="7"/>
      <c r="M377" s="7"/>
      <c r="N377" s="7"/>
      <c r="O377" s="7"/>
      <c r="P377" s="7"/>
      <c r="Q377" s="7"/>
      <c r="R377" s="7"/>
      <c r="S377" s="7"/>
      <c r="T377" s="7"/>
      <c r="U377" s="7"/>
      <c r="V377" s="7"/>
      <c r="W377" s="7"/>
      <c r="X377" s="7"/>
      <c r="Y377" s="7"/>
      <c r="Z377" s="7"/>
      <c r="AA377" s="7"/>
      <c r="AB377" s="7"/>
      <c r="AC377" s="7"/>
      <c r="AD377" s="7"/>
      <c r="AE377" s="7"/>
      <c r="AF377" s="7"/>
      <c r="AG377" s="34"/>
      <c r="AH377" s="7"/>
      <c r="AI377" s="7"/>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95" customHeight="1">
      <c r="B379" s="743" t="s">
        <v>96</v>
      </c>
      <c r="C379" s="749"/>
      <c r="D379" s="751">
        <v>1</v>
      </c>
      <c r="E379" s="738"/>
      <c r="F379" s="737">
        <v>2</v>
      </c>
      <c r="G379" s="738"/>
      <c r="H379" s="737">
        <v>3</v>
      </c>
      <c r="I379" s="738"/>
      <c r="J379" s="737">
        <v>4</v>
      </c>
      <c r="K379" s="738"/>
      <c r="L379" s="737">
        <v>5</v>
      </c>
      <c r="M379" s="738"/>
      <c r="N379" s="737">
        <v>6</v>
      </c>
      <c r="O379" s="738"/>
      <c r="P379" s="737">
        <v>7</v>
      </c>
      <c r="Q379" s="738"/>
      <c r="R379" s="737">
        <v>8</v>
      </c>
      <c r="S379" s="738"/>
      <c r="T379" s="737">
        <v>9</v>
      </c>
      <c r="U379" s="738"/>
      <c r="V379" s="737">
        <v>10</v>
      </c>
      <c r="W379" s="738"/>
      <c r="X379" s="737">
        <v>11</v>
      </c>
      <c r="Y379" s="738"/>
      <c r="Z379" s="737">
        <v>12</v>
      </c>
      <c r="AA379" s="738"/>
      <c r="AB379" s="737">
        <v>13</v>
      </c>
      <c r="AC379" s="738"/>
      <c r="AD379" s="737">
        <v>14</v>
      </c>
      <c r="AE379" s="738"/>
      <c r="AF379" s="737">
        <v>15</v>
      </c>
      <c r="AG379" s="742"/>
      <c r="AH379" s="741">
        <v>16</v>
      </c>
      <c r="AI379" s="741"/>
      <c r="AJ379" s="741">
        <v>17</v>
      </c>
      <c r="AK379" s="741"/>
      <c r="AL379" s="741">
        <v>18</v>
      </c>
      <c r="AM379" s="741"/>
      <c r="AN379" s="741">
        <v>19</v>
      </c>
      <c r="AO379" s="741"/>
      <c r="AP379" s="741">
        <v>20</v>
      </c>
      <c r="AQ379" s="741"/>
      <c r="AR379" s="741">
        <v>21</v>
      </c>
      <c r="AS379" s="741"/>
      <c r="AT379" s="741">
        <v>22</v>
      </c>
      <c r="AU379" s="741"/>
      <c r="AV379" s="741">
        <v>23</v>
      </c>
      <c r="AW379" s="741"/>
      <c r="AX379" s="741">
        <v>24</v>
      </c>
      <c r="AY379" s="741"/>
      <c r="AZ379" s="741">
        <v>25</v>
      </c>
      <c r="BA379" s="741"/>
      <c r="BB379" s="741">
        <v>26</v>
      </c>
      <c r="BC379" s="741"/>
      <c r="BD379" s="741">
        <v>27</v>
      </c>
      <c r="BE379" s="741"/>
      <c r="BF379" s="741">
        <v>28</v>
      </c>
      <c r="BG379" s="741"/>
      <c r="BH379" s="741">
        <v>29</v>
      </c>
      <c r="BI379" s="741"/>
      <c r="BJ379" s="741">
        <v>30</v>
      </c>
      <c r="BK379" s="741"/>
      <c r="BL379" s="741">
        <v>31</v>
      </c>
      <c r="BM379" s="741"/>
      <c r="BN379" s="738" t="s">
        <v>251</v>
      </c>
      <c r="BO379" s="760"/>
      <c r="BP379" s="771" t="s">
        <v>353</v>
      </c>
      <c r="BQ379" s="772"/>
    </row>
    <row r="380" spans="2:69" ht="24.75" customHeight="1">
      <c r="B380" s="744"/>
      <c r="C380" s="747"/>
      <c r="D380" s="752" t="str">
        <f>D2</f>
        <v>土</v>
      </c>
      <c r="E380" s="740"/>
      <c r="F380" s="739" t="str">
        <f>F2</f>
        <v>日</v>
      </c>
      <c r="G380" s="740"/>
      <c r="H380" s="739" t="str">
        <f>H2</f>
        <v>月</v>
      </c>
      <c r="I380" s="740"/>
      <c r="J380" s="739" t="str">
        <f>J2</f>
        <v>火</v>
      </c>
      <c r="K380" s="740"/>
      <c r="L380" s="739" t="str">
        <f>L2</f>
        <v>水</v>
      </c>
      <c r="M380" s="740"/>
      <c r="N380" s="739" t="str">
        <f>N2</f>
        <v>木</v>
      </c>
      <c r="O380" s="740"/>
      <c r="P380" s="739" t="str">
        <f>P2</f>
        <v>金</v>
      </c>
      <c r="Q380" s="740"/>
      <c r="R380" s="739" t="str">
        <f>R2</f>
        <v>土</v>
      </c>
      <c r="S380" s="740"/>
      <c r="T380" s="739" t="str">
        <f>T2</f>
        <v>日</v>
      </c>
      <c r="U380" s="740"/>
      <c r="V380" s="739" t="str">
        <f>V2</f>
        <v>月</v>
      </c>
      <c r="W380" s="740"/>
      <c r="X380" s="739" t="str">
        <f>X2</f>
        <v>火</v>
      </c>
      <c r="Y380" s="740"/>
      <c r="Z380" s="739" t="str">
        <f>Z2</f>
        <v>水</v>
      </c>
      <c r="AA380" s="740"/>
      <c r="AB380" s="739" t="str">
        <f>AB2</f>
        <v>木</v>
      </c>
      <c r="AC380" s="740"/>
      <c r="AD380" s="739" t="str">
        <f>AD2</f>
        <v>金</v>
      </c>
      <c r="AE380" s="740"/>
      <c r="AF380" s="739" t="str">
        <f>AF2</f>
        <v>土</v>
      </c>
      <c r="AG380" s="756"/>
      <c r="AH380" s="768" t="str">
        <f>AH2</f>
        <v>日</v>
      </c>
      <c r="AI380" s="769"/>
      <c r="AJ380" s="770" t="str">
        <f>AJ2</f>
        <v>月</v>
      </c>
      <c r="AK380" s="770"/>
      <c r="AL380" s="770" t="str">
        <f>AL2</f>
        <v>火</v>
      </c>
      <c r="AM380" s="770"/>
      <c r="AN380" s="770" t="str">
        <f>AN2</f>
        <v>水</v>
      </c>
      <c r="AO380" s="770"/>
      <c r="AP380" s="770" t="str">
        <f>AP2</f>
        <v>木</v>
      </c>
      <c r="AQ380" s="770"/>
      <c r="AR380" s="770" t="str">
        <f>AR2</f>
        <v>金</v>
      </c>
      <c r="AS380" s="770"/>
      <c r="AT380" s="770" t="str">
        <f>AT2</f>
        <v>土</v>
      </c>
      <c r="AU380" s="770"/>
      <c r="AV380" s="770" t="str">
        <f>AV2</f>
        <v>日</v>
      </c>
      <c r="AW380" s="770"/>
      <c r="AX380" s="770" t="str">
        <f>AX2</f>
        <v>月</v>
      </c>
      <c r="AY380" s="770"/>
      <c r="AZ380" s="770" t="str">
        <f>AZ2</f>
        <v>火</v>
      </c>
      <c r="BA380" s="770"/>
      <c r="BB380" s="770" t="str">
        <f>BB2</f>
        <v>水</v>
      </c>
      <c r="BC380" s="770"/>
      <c r="BD380" s="770" t="str">
        <f>BD2</f>
        <v>木</v>
      </c>
      <c r="BE380" s="770"/>
      <c r="BF380" s="770" t="str">
        <f>BF2</f>
        <v>金</v>
      </c>
      <c r="BG380" s="770"/>
      <c r="BH380" s="770" t="str">
        <f>BH2</f>
        <v>土</v>
      </c>
      <c r="BI380" s="770"/>
      <c r="BJ380" s="770" t="str">
        <f>BJ2</f>
        <v>日</v>
      </c>
      <c r="BK380" s="770"/>
      <c r="BL380" s="770" t="str">
        <f>BL2</f>
        <v>月</v>
      </c>
      <c r="BM380" s="770"/>
      <c r="BN380" s="761"/>
      <c r="BO380" s="762"/>
      <c r="BP380" s="773"/>
      <c r="BQ380" s="774"/>
    </row>
    <row r="381" spans="2:69" ht="24.95" customHeight="1" thickBot="1">
      <c r="B381" s="748"/>
      <c r="C381" s="750"/>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ht="50.1" customHeight="1" thickTop="1">
      <c r="B382" s="210" t="s">
        <v>60</v>
      </c>
      <c r="C382" s="152"/>
      <c r="D382" s="12">
        <f>D24</f>
        <v>0</v>
      </c>
      <c r="E382" s="53">
        <f>E24</f>
        <v>0</v>
      </c>
      <c r="F382" s="54">
        <f>F24</f>
        <v>0</v>
      </c>
      <c r="G382" s="55">
        <f>G24</f>
        <v>0</v>
      </c>
      <c r="H382" s="54">
        <f>H24</f>
        <v>0</v>
      </c>
      <c r="I382" s="55">
        <f>I24</f>
        <v>0</v>
      </c>
      <c r="J382" s="54">
        <f>J24</f>
        <v>0</v>
      </c>
      <c r="K382" s="55">
        <f>K24</f>
        <v>0</v>
      </c>
      <c r="L382" s="54">
        <f>L24</f>
        <v>0</v>
      </c>
      <c r="M382" s="55">
        <f>M24</f>
        <v>0</v>
      </c>
      <c r="N382" s="54">
        <f>N24</f>
        <v>0</v>
      </c>
      <c r="O382" s="55">
        <f>O24</f>
        <v>0</v>
      </c>
      <c r="P382" s="54">
        <f>P24</f>
        <v>0</v>
      </c>
      <c r="Q382" s="55">
        <f>Q24</f>
        <v>0</v>
      </c>
      <c r="R382" s="54">
        <f>R24</f>
        <v>0</v>
      </c>
      <c r="S382" s="55">
        <f>S24</f>
        <v>0</v>
      </c>
      <c r="T382" s="54">
        <f>T24</f>
        <v>0</v>
      </c>
      <c r="U382" s="55">
        <f>U24</f>
        <v>0</v>
      </c>
      <c r="V382" s="54">
        <f>V24</f>
        <v>0</v>
      </c>
      <c r="W382" s="55">
        <f>W24</f>
        <v>0</v>
      </c>
      <c r="X382" s="54">
        <f>X24</f>
        <v>0</v>
      </c>
      <c r="Y382" s="55">
        <f>Y24</f>
        <v>0</v>
      </c>
      <c r="Z382" s="54">
        <f>Z24</f>
        <v>0</v>
      </c>
      <c r="AA382" s="55">
        <f>AA24</f>
        <v>0</v>
      </c>
      <c r="AB382" s="54">
        <f>AB24</f>
        <v>0</v>
      </c>
      <c r="AC382" s="55">
        <f>AC24</f>
        <v>0</v>
      </c>
      <c r="AD382" s="54">
        <f>AD24</f>
        <v>0</v>
      </c>
      <c r="AE382" s="55">
        <f>AE24</f>
        <v>0</v>
      </c>
      <c r="AF382" s="54">
        <f>AF24</f>
        <v>0</v>
      </c>
      <c r="AG382" s="53">
        <f>AG24</f>
        <v>0</v>
      </c>
      <c r="AH382" s="54">
        <f>AH24</f>
        <v>0</v>
      </c>
      <c r="AI382" s="55">
        <f>AI24</f>
        <v>0</v>
      </c>
      <c r="AJ382" s="54">
        <f>AJ24</f>
        <v>0</v>
      </c>
      <c r="AK382" s="55">
        <f>AK24</f>
        <v>0</v>
      </c>
      <c r="AL382" s="54">
        <f>AL24</f>
        <v>0</v>
      </c>
      <c r="AM382" s="55">
        <f>AM24</f>
        <v>0</v>
      </c>
      <c r="AN382" s="54">
        <f>AN24</f>
        <v>0</v>
      </c>
      <c r="AO382" s="55">
        <f>AO24</f>
        <v>0</v>
      </c>
      <c r="AP382" s="54">
        <f>AP24</f>
        <v>0</v>
      </c>
      <c r="AQ382" s="55">
        <f>AQ24</f>
        <v>0</v>
      </c>
      <c r="AR382" s="54">
        <f>AR24</f>
        <v>0</v>
      </c>
      <c r="AS382" s="55">
        <f>AS24</f>
        <v>0</v>
      </c>
      <c r="AT382" s="54">
        <f>AT24</f>
        <v>0</v>
      </c>
      <c r="AU382" s="55">
        <f>AU24</f>
        <v>0</v>
      </c>
      <c r="AV382" s="54">
        <f>AV24</f>
        <v>0</v>
      </c>
      <c r="AW382" s="55">
        <f>AW24</f>
        <v>0</v>
      </c>
      <c r="AX382" s="54">
        <f>AX24</f>
        <v>0</v>
      </c>
      <c r="AY382" s="55">
        <f>AY24</f>
        <v>0</v>
      </c>
      <c r="AZ382" s="54">
        <f>AZ24</f>
        <v>0</v>
      </c>
      <c r="BA382" s="55">
        <f>BA24</f>
        <v>0</v>
      </c>
      <c r="BB382" s="54">
        <f>BB24</f>
        <v>0</v>
      </c>
      <c r="BC382" s="55">
        <f>BC24</f>
        <v>0</v>
      </c>
      <c r="BD382" s="54">
        <f>BD24</f>
        <v>0</v>
      </c>
      <c r="BE382" s="55">
        <f>BE24</f>
        <v>0</v>
      </c>
      <c r="BF382" s="54">
        <f>BF24</f>
        <v>0</v>
      </c>
      <c r="BG382" s="55">
        <f>BG24</f>
        <v>0</v>
      </c>
      <c r="BH382" s="54">
        <f>BH24</f>
        <v>0</v>
      </c>
      <c r="BI382" s="55">
        <f>BI24</f>
        <v>0</v>
      </c>
      <c r="BJ382" s="54">
        <f>BJ24</f>
        <v>0</v>
      </c>
      <c r="BK382" s="53">
        <f>BK24</f>
        <v>0</v>
      </c>
      <c r="BL382" s="54">
        <f>BL24</f>
        <v>0</v>
      </c>
      <c r="BM382" s="55">
        <f>BM24</f>
        <v>0</v>
      </c>
      <c r="BN382" s="102">
        <f>SUM(D382,F382,H382,J382,L382,N382,P382,R382,T382,V382,X382,Z382,AB382,AD382,AF382,AH382,AJ382,AL382,AN382,AP382,AR382,AT382,AV382,AX382,AZ382,BB382,BD382,BF382,BH382,BJ382,BL382)</f>
        <v>0</v>
      </c>
      <c r="BO382" s="47">
        <f>SUM(E382,G382,I382,K382,M382,O382,Q382,S382,U382,W382,Y382,AA382,AC382,AE382,AG382,AI382,AK382,AM382,AO382,AQ382,AS382,AU382,AW382,AY382,BA382,BC382,BE382,BG382,BI382,BK382,BM382)</f>
        <v>0</v>
      </c>
      <c r="BP382" s="631">
        <f>INDEX('1月'!$B$382:$BQ$406,MATCH('2月'!B382,'1月'!$B$382:$B$406,0),67)+BN382</f>
        <v>1</v>
      </c>
      <c r="BQ382" s="702">
        <f>INDEX('1月'!$B$382:$BQ$406,MATCH('2月'!B382,'1月'!$B$382:$B$406,0),68)+BO382</f>
        <v>1</v>
      </c>
    </row>
    <row r="383" spans="2:69" s="6" customFormat="1" ht="50.1" customHeight="1">
      <c r="B383" s="211" t="s">
        <v>213</v>
      </c>
      <c r="C383" s="145"/>
      <c r="D383" s="70">
        <f>D54</f>
        <v>0</v>
      </c>
      <c r="E383" s="56">
        <f>E54</f>
        <v>0</v>
      </c>
      <c r="F383" s="57">
        <f>F54</f>
        <v>0</v>
      </c>
      <c r="G383" s="51">
        <f>G54</f>
        <v>0</v>
      </c>
      <c r="H383" s="57">
        <f>H54</f>
        <v>0</v>
      </c>
      <c r="I383" s="51">
        <f>I54</f>
        <v>0</v>
      </c>
      <c r="J383" s="57">
        <f>J54</f>
        <v>0</v>
      </c>
      <c r="K383" s="51">
        <f>K54</f>
        <v>0</v>
      </c>
      <c r="L383" s="57">
        <f>L54</f>
        <v>0</v>
      </c>
      <c r="M383" s="51">
        <f>M54</f>
        <v>0</v>
      </c>
      <c r="N383" s="57">
        <f>N54</f>
        <v>0</v>
      </c>
      <c r="O383" s="51">
        <f>O54</f>
        <v>0</v>
      </c>
      <c r="P383" s="57">
        <f>P54</f>
        <v>0</v>
      </c>
      <c r="Q383" s="51">
        <f>Q54</f>
        <v>0</v>
      </c>
      <c r="R383" s="57">
        <f>R54</f>
        <v>0</v>
      </c>
      <c r="S383" s="51">
        <f>S54</f>
        <v>0</v>
      </c>
      <c r="T383" s="57">
        <f>T54</f>
        <v>0</v>
      </c>
      <c r="U383" s="51">
        <f>U54</f>
        <v>0</v>
      </c>
      <c r="V383" s="57">
        <f>V54</f>
        <v>0</v>
      </c>
      <c r="W383" s="51">
        <f>W54</f>
        <v>0</v>
      </c>
      <c r="X383" s="57">
        <f>X54</f>
        <v>0</v>
      </c>
      <c r="Y383" s="51">
        <f>Y54</f>
        <v>0</v>
      </c>
      <c r="Z383" s="57">
        <f>Z54</f>
        <v>0</v>
      </c>
      <c r="AA383" s="51">
        <f>AA54</f>
        <v>0</v>
      </c>
      <c r="AB383" s="57">
        <f>AB54</f>
        <v>0</v>
      </c>
      <c r="AC383" s="51">
        <f>AC54</f>
        <v>0</v>
      </c>
      <c r="AD383" s="57">
        <f>AD54</f>
        <v>0</v>
      </c>
      <c r="AE383" s="51">
        <f>AE54</f>
        <v>0</v>
      </c>
      <c r="AF383" s="57">
        <f>AF54</f>
        <v>0</v>
      </c>
      <c r="AG383" s="604">
        <f>AG54</f>
        <v>0</v>
      </c>
      <c r="AH383" s="606">
        <f>AH54</f>
        <v>0</v>
      </c>
      <c r="AI383" s="607">
        <f>AI54</f>
        <v>0</v>
      </c>
      <c r="AJ383" s="57">
        <f>AJ54</f>
        <v>0</v>
      </c>
      <c r="AK383" s="51">
        <f>AK54</f>
        <v>0</v>
      </c>
      <c r="AL383" s="57">
        <f>AL54</f>
        <v>0</v>
      </c>
      <c r="AM383" s="51">
        <f>AM54</f>
        <v>0</v>
      </c>
      <c r="AN383" s="57">
        <f>AN54</f>
        <v>0</v>
      </c>
      <c r="AO383" s="51">
        <f>AO54</f>
        <v>0</v>
      </c>
      <c r="AP383" s="57">
        <f>AP54</f>
        <v>0</v>
      </c>
      <c r="AQ383" s="51">
        <f>AQ54</f>
        <v>0</v>
      </c>
      <c r="AR383" s="57">
        <f>AR54</f>
        <v>0</v>
      </c>
      <c r="AS383" s="51">
        <f>AS54</f>
        <v>0</v>
      </c>
      <c r="AT383" s="57">
        <f>AT54</f>
        <v>0</v>
      </c>
      <c r="AU383" s="51">
        <f>AU54</f>
        <v>0</v>
      </c>
      <c r="AV383" s="57">
        <f>AV54</f>
        <v>0</v>
      </c>
      <c r="AW383" s="51">
        <f>AW54</f>
        <v>0</v>
      </c>
      <c r="AX383" s="57">
        <f>AX54</f>
        <v>0</v>
      </c>
      <c r="AY383" s="51">
        <f>AY54</f>
        <v>0</v>
      </c>
      <c r="AZ383" s="57">
        <f>AZ54</f>
        <v>0</v>
      </c>
      <c r="BA383" s="51">
        <f>BA54</f>
        <v>0</v>
      </c>
      <c r="BB383" s="57">
        <f>BB54</f>
        <v>0</v>
      </c>
      <c r="BC383" s="51">
        <f>BC54</f>
        <v>0</v>
      </c>
      <c r="BD383" s="57">
        <f>BD54</f>
        <v>0</v>
      </c>
      <c r="BE383" s="51">
        <f>BE54</f>
        <v>0</v>
      </c>
      <c r="BF383" s="57">
        <f>BF54</f>
        <v>0</v>
      </c>
      <c r="BG383" s="51">
        <f>BG54</f>
        <v>0</v>
      </c>
      <c r="BH383" s="57">
        <f>BH54</f>
        <v>0</v>
      </c>
      <c r="BI383" s="51">
        <f>BI54</f>
        <v>0</v>
      </c>
      <c r="BJ383" s="57">
        <f>BJ54</f>
        <v>0</v>
      </c>
      <c r="BK383" s="51">
        <f>BK54</f>
        <v>0</v>
      </c>
      <c r="BL383" s="57">
        <f>BL54</f>
        <v>0</v>
      </c>
      <c r="BM383" s="51">
        <f>BM54</f>
        <v>0</v>
      </c>
      <c r="BN383" s="102">
        <f t="shared" ref="BN383:BN403" si="60">SUM(D383,F383,H383,J383,L383,N383,P383,R383,T383,V383,X383,Z383,AB383,AD383,AF383,AH383,AJ383,AL383,AN383,AP383,AR383,AT383,AV383,AX383,AZ383,BB383,BD383,BF383,BH383,BJ383,BL383)</f>
        <v>0</v>
      </c>
      <c r="BO383" s="47">
        <f t="shared" ref="BO383:BO403" si="61">SUM(E383,G383,I383,K383,M383,O383,Q383,S383,U383,W383,Y383,AA383,AC383,AE383,AG383,AI383,AK383,AM383,AO383,AQ383,AS383,AU383,AW383,AY383,BA383,BC383,BE383,BG383,BI383,BK383,BM383)</f>
        <v>0</v>
      </c>
      <c r="BP383" s="248">
        <f>INDEX('1月'!$B$382:$BQ$406,MATCH('2月'!B383,'1月'!$B$382:$B$406,0),67)+BN383</f>
        <v>20</v>
      </c>
      <c r="BQ383" s="249">
        <f>INDEX('1月'!$B$382:$BQ$406,MATCH('2月'!B383,'1月'!$B$382:$B$406,0),68)+BO383</f>
        <v>30</v>
      </c>
    </row>
    <row r="384" spans="2:69" s="6" customFormat="1" ht="50.1" customHeight="1">
      <c r="B384" s="211" t="s">
        <v>171</v>
      </c>
      <c r="C384" s="145"/>
      <c r="D384" s="102">
        <f>D66</f>
        <v>0</v>
      </c>
      <c r="E384" s="51">
        <f>E66</f>
        <v>0</v>
      </c>
      <c r="F384" s="57">
        <f>F66</f>
        <v>0</v>
      </c>
      <c r="G384" s="51">
        <f>G66</f>
        <v>0</v>
      </c>
      <c r="H384" s="57">
        <f>H66</f>
        <v>0</v>
      </c>
      <c r="I384" s="51">
        <f>I66</f>
        <v>0</v>
      </c>
      <c r="J384" s="57">
        <f>J66</f>
        <v>0</v>
      </c>
      <c r="K384" s="51">
        <f>K66</f>
        <v>0</v>
      </c>
      <c r="L384" s="57">
        <f>L66</f>
        <v>0</v>
      </c>
      <c r="M384" s="51">
        <f>M66</f>
        <v>0</v>
      </c>
      <c r="N384" s="57">
        <f>N66</f>
        <v>0</v>
      </c>
      <c r="O384" s="51">
        <f>O66</f>
        <v>0</v>
      </c>
      <c r="P384" s="57">
        <f>P66</f>
        <v>0</v>
      </c>
      <c r="Q384" s="51">
        <f>Q66</f>
        <v>0</v>
      </c>
      <c r="R384" s="57">
        <f>R66</f>
        <v>0</v>
      </c>
      <c r="S384" s="51">
        <f>S66</f>
        <v>0</v>
      </c>
      <c r="T384" s="57">
        <f>T66</f>
        <v>0</v>
      </c>
      <c r="U384" s="51">
        <f>U66</f>
        <v>0</v>
      </c>
      <c r="V384" s="57">
        <f>V66</f>
        <v>0</v>
      </c>
      <c r="W384" s="51">
        <f>W66</f>
        <v>0</v>
      </c>
      <c r="X384" s="57">
        <f>X66</f>
        <v>0</v>
      </c>
      <c r="Y384" s="51">
        <f>Y66</f>
        <v>0</v>
      </c>
      <c r="Z384" s="57">
        <f>Z66</f>
        <v>0</v>
      </c>
      <c r="AA384" s="51">
        <f>AA66</f>
        <v>0</v>
      </c>
      <c r="AB384" s="57">
        <f>AB66</f>
        <v>0</v>
      </c>
      <c r="AC384" s="51">
        <f>AC66</f>
        <v>0</v>
      </c>
      <c r="AD384" s="57">
        <f>AD66</f>
        <v>0</v>
      </c>
      <c r="AE384" s="56">
        <f>AE66</f>
        <v>0</v>
      </c>
      <c r="AF384" s="57">
        <f>AF66</f>
        <v>0</v>
      </c>
      <c r="AG384" s="604">
        <f>AG66</f>
        <v>0</v>
      </c>
      <c r="AH384" s="606">
        <f>AH66</f>
        <v>0</v>
      </c>
      <c r="AI384" s="607">
        <f>AI66</f>
        <v>0</v>
      </c>
      <c r="AJ384" s="57">
        <f>AJ66</f>
        <v>0</v>
      </c>
      <c r="AK384" s="51">
        <f>AK66</f>
        <v>0</v>
      </c>
      <c r="AL384" s="57">
        <f>AL66</f>
        <v>0</v>
      </c>
      <c r="AM384" s="51">
        <f>AM66</f>
        <v>0</v>
      </c>
      <c r="AN384" s="57">
        <f>AN66</f>
        <v>0</v>
      </c>
      <c r="AO384" s="51">
        <f>AO66</f>
        <v>0</v>
      </c>
      <c r="AP384" s="57">
        <f>AP66</f>
        <v>0</v>
      </c>
      <c r="AQ384" s="51">
        <f>AQ66</f>
        <v>0</v>
      </c>
      <c r="AR384" s="57">
        <f>AR66</f>
        <v>0</v>
      </c>
      <c r="AS384" s="51">
        <f>AS66</f>
        <v>0</v>
      </c>
      <c r="AT384" s="57">
        <f>AT66</f>
        <v>0</v>
      </c>
      <c r="AU384" s="51">
        <f>AU66</f>
        <v>0</v>
      </c>
      <c r="AV384" s="57">
        <f>AV66</f>
        <v>0</v>
      </c>
      <c r="AW384" s="51">
        <f>AW66</f>
        <v>0</v>
      </c>
      <c r="AX384" s="57">
        <f>AX66</f>
        <v>0</v>
      </c>
      <c r="AY384" s="51">
        <f>AY66</f>
        <v>0</v>
      </c>
      <c r="AZ384" s="57">
        <f>AZ66</f>
        <v>0</v>
      </c>
      <c r="BA384" s="51">
        <f>BA66</f>
        <v>0</v>
      </c>
      <c r="BB384" s="57">
        <f>BB66</f>
        <v>0</v>
      </c>
      <c r="BC384" s="51">
        <f>BC66</f>
        <v>0</v>
      </c>
      <c r="BD384" s="57">
        <f>BD66</f>
        <v>0</v>
      </c>
      <c r="BE384" s="51">
        <f>BE66</f>
        <v>0</v>
      </c>
      <c r="BF384" s="57">
        <f>BF66</f>
        <v>0</v>
      </c>
      <c r="BG384" s="51">
        <f>BG66</f>
        <v>0</v>
      </c>
      <c r="BH384" s="57">
        <f>BH66</f>
        <v>0</v>
      </c>
      <c r="BI384" s="51">
        <f>BI66</f>
        <v>0</v>
      </c>
      <c r="BJ384" s="57">
        <f>BJ66</f>
        <v>0</v>
      </c>
      <c r="BK384" s="51">
        <f>BK66</f>
        <v>0</v>
      </c>
      <c r="BL384" s="57">
        <f>BL66</f>
        <v>0</v>
      </c>
      <c r="BM384" s="51">
        <f>BM66</f>
        <v>0</v>
      </c>
      <c r="BN384" s="102">
        <f t="shared" si="60"/>
        <v>0</v>
      </c>
      <c r="BO384" s="47">
        <f t="shared" si="61"/>
        <v>0</v>
      </c>
      <c r="BP384" s="248">
        <f>INDEX('1月'!$B$382:$BQ$406,MATCH('2月'!B384,'1月'!$B$382:$B$406,0),67)+BN384</f>
        <v>2</v>
      </c>
      <c r="BQ384" s="250">
        <f>INDEX('1月'!$B$382:$BQ$406,MATCH('2月'!B384,'1月'!$B$382:$B$406,0),68)+BO384</f>
        <v>2</v>
      </c>
    </row>
    <row r="385" spans="2:69" s="6" customFormat="1" ht="50.1" customHeight="1">
      <c r="B385" s="212" t="s">
        <v>80</v>
      </c>
      <c r="C385" s="146"/>
      <c r="D385" s="44">
        <f>D75</f>
        <v>0</v>
      </c>
      <c r="E385" s="56">
        <f>E75</f>
        <v>0</v>
      </c>
      <c r="F385" s="57">
        <f>F75</f>
        <v>0</v>
      </c>
      <c r="G385" s="51">
        <f>G75</f>
        <v>0</v>
      </c>
      <c r="H385" s="57">
        <f>H75</f>
        <v>0</v>
      </c>
      <c r="I385" s="51">
        <f>I75</f>
        <v>0</v>
      </c>
      <c r="J385" s="57">
        <f>J75</f>
        <v>0</v>
      </c>
      <c r="K385" s="51">
        <f>K75</f>
        <v>0</v>
      </c>
      <c r="L385" s="57">
        <f>L75</f>
        <v>0</v>
      </c>
      <c r="M385" s="51">
        <f>M75</f>
        <v>0</v>
      </c>
      <c r="N385" s="57">
        <f>N75</f>
        <v>0</v>
      </c>
      <c r="O385" s="51">
        <f>O75</f>
        <v>0</v>
      </c>
      <c r="P385" s="57">
        <f>P75</f>
        <v>0</v>
      </c>
      <c r="Q385" s="51">
        <f>Q75</f>
        <v>0</v>
      </c>
      <c r="R385" s="57">
        <f>R75</f>
        <v>0</v>
      </c>
      <c r="S385" s="51">
        <f>S75</f>
        <v>0</v>
      </c>
      <c r="T385" s="57">
        <f>T75</f>
        <v>0</v>
      </c>
      <c r="U385" s="51">
        <f>U75</f>
        <v>0</v>
      </c>
      <c r="V385" s="57">
        <f>V75</f>
        <v>0</v>
      </c>
      <c r="W385" s="51">
        <f>W75</f>
        <v>0</v>
      </c>
      <c r="X385" s="57">
        <f>X75</f>
        <v>0</v>
      </c>
      <c r="Y385" s="51">
        <f>Y75</f>
        <v>0</v>
      </c>
      <c r="Z385" s="57">
        <f>Z75</f>
        <v>0</v>
      </c>
      <c r="AA385" s="51">
        <f>AA75</f>
        <v>0</v>
      </c>
      <c r="AB385" s="57">
        <f>AB75</f>
        <v>0</v>
      </c>
      <c r="AC385" s="51">
        <f>AC75</f>
        <v>0</v>
      </c>
      <c r="AD385" s="57">
        <f>AD75</f>
        <v>0</v>
      </c>
      <c r="AE385" s="56">
        <f>AE75</f>
        <v>0</v>
      </c>
      <c r="AF385" s="57">
        <f>AF75</f>
        <v>0</v>
      </c>
      <c r="AG385" s="604">
        <f>AG75</f>
        <v>0</v>
      </c>
      <c r="AH385" s="608">
        <f>AH75</f>
        <v>0</v>
      </c>
      <c r="AI385" s="607">
        <f>AI75</f>
        <v>0</v>
      </c>
      <c r="AJ385" s="57">
        <f>AJ75</f>
        <v>0</v>
      </c>
      <c r="AK385" s="51">
        <f>AK75</f>
        <v>0</v>
      </c>
      <c r="AL385" s="57">
        <f>AL75</f>
        <v>0</v>
      </c>
      <c r="AM385" s="51">
        <f>AM75</f>
        <v>0</v>
      </c>
      <c r="AN385" s="57">
        <f>AN75</f>
        <v>0</v>
      </c>
      <c r="AO385" s="51">
        <f>AO75</f>
        <v>0</v>
      </c>
      <c r="AP385" s="57">
        <f>AP75</f>
        <v>0</v>
      </c>
      <c r="AQ385" s="51">
        <f>AQ75</f>
        <v>0</v>
      </c>
      <c r="AR385" s="57">
        <f>AR75</f>
        <v>0</v>
      </c>
      <c r="AS385" s="51">
        <f>AS75</f>
        <v>0</v>
      </c>
      <c r="AT385" s="57">
        <f>AT75</f>
        <v>0</v>
      </c>
      <c r="AU385" s="51">
        <f>AU75</f>
        <v>0</v>
      </c>
      <c r="AV385" s="57">
        <f>AV75</f>
        <v>0</v>
      </c>
      <c r="AW385" s="51">
        <f>AW75</f>
        <v>0</v>
      </c>
      <c r="AX385" s="57">
        <f>AX75</f>
        <v>0</v>
      </c>
      <c r="AY385" s="51">
        <f>AY75</f>
        <v>0</v>
      </c>
      <c r="AZ385" s="57">
        <f>AZ75</f>
        <v>0</v>
      </c>
      <c r="BA385" s="51">
        <f>BA75</f>
        <v>0</v>
      </c>
      <c r="BB385" s="57">
        <f>BB75</f>
        <v>0</v>
      </c>
      <c r="BC385" s="51">
        <f>BC75</f>
        <v>0</v>
      </c>
      <c r="BD385" s="57">
        <f>BD75</f>
        <v>0</v>
      </c>
      <c r="BE385" s="51">
        <f>BE75</f>
        <v>0</v>
      </c>
      <c r="BF385" s="57">
        <f>BF75</f>
        <v>0</v>
      </c>
      <c r="BG385" s="51">
        <f>BG75</f>
        <v>0</v>
      </c>
      <c r="BH385" s="57">
        <f>BH75</f>
        <v>0</v>
      </c>
      <c r="BI385" s="56">
        <f>BI75</f>
        <v>0</v>
      </c>
      <c r="BJ385" s="57">
        <f>BJ75</f>
        <v>0</v>
      </c>
      <c r="BK385" s="56">
        <f>BK75</f>
        <v>0</v>
      </c>
      <c r="BL385" s="57">
        <f>BL75</f>
        <v>0</v>
      </c>
      <c r="BM385" s="56">
        <f>BM75</f>
        <v>0</v>
      </c>
      <c r="BN385" s="102">
        <f t="shared" si="60"/>
        <v>0</v>
      </c>
      <c r="BO385" s="47">
        <f t="shared" si="61"/>
        <v>0</v>
      </c>
      <c r="BP385" s="248">
        <f>INDEX('1月'!$B$382:$BQ$406,MATCH('2月'!B385,'1月'!$B$382:$B$406,0),67)+BN385</f>
        <v>3</v>
      </c>
      <c r="BQ385" s="250">
        <f>INDEX('1月'!$B$382:$BQ$406,MATCH('2月'!B385,'1月'!$B$382:$B$406,0),68)+BO385</f>
        <v>6</v>
      </c>
    </row>
    <row r="386" spans="2:69" s="6" customFormat="1" ht="50.1" customHeight="1">
      <c r="B386" s="212" t="s">
        <v>97</v>
      </c>
      <c r="C386" s="146"/>
      <c r="D386" s="17">
        <f>D89</f>
        <v>0</v>
      </c>
      <c r="E386" s="51">
        <f>E89</f>
        <v>0</v>
      </c>
      <c r="F386" s="57">
        <f>F89</f>
        <v>0</v>
      </c>
      <c r="G386" s="51">
        <f>G89</f>
        <v>0</v>
      </c>
      <c r="H386" s="57">
        <f>H89</f>
        <v>0</v>
      </c>
      <c r="I386" s="51">
        <f>I89</f>
        <v>0</v>
      </c>
      <c r="J386" s="57">
        <f>J89</f>
        <v>0</v>
      </c>
      <c r="K386" s="51">
        <f>K89</f>
        <v>0</v>
      </c>
      <c r="L386" s="57">
        <f>L89</f>
        <v>0</v>
      </c>
      <c r="M386" s="51">
        <f>M89</f>
        <v>0</v>
      </c>
      <c r="N386" s="57">
        <f>N89</f>
        <v>0</v>
      </c>
      <c r="O386" s="51">
        <f>O89</f>
        <v>0</v>
      </c>
      <c r="P386" s="57">
        <f>P89</f>
        <v>0</v>
      </c>
      <c r="Q386" s="51">
        <f>Q89</f>
        <v>0</v>
      </c>
      <c r="R386" s="57">
        <f>R89</f>
        <v>0</v>
      </c>
      <c r="S386" s="51">
        <f>S89</f>
        <v>0</v>
      </c>
      <c r="T386" s="57">
        <f>T89</f>
        <v>0</v>
      </c>
      <c r="U386" s="51">
        <f>U89</f>
        <v>0</v>
      </c>
      <c r="V386" s="57">
        <f>V89</f>
        <v>0</v>
      </c>
      <c r="W386" s="51">
        <f>W89</f>
        <v>0</v>
      </c>
      <c r="X386" s="57">
        <f>X89</f>
        <v>0</v>
      </c>
      <c r="Y386" s="51">
        <f>Y89</f>
        <v>0</v>
      </c>
      <c r="Z386" s="57">
        <f>Z89</f>
        <v>0</v>
      </c>
      <c r="AA386" s="51">
        <f>AA89</f>
        <v>0</v>
      </c>
      <c r="AB386" s="57">
        <f>AB89</f>
        <v>0</v>
      </c>
      <c r="AC386" s="51">
        <f>AC89</f>
        <v>0</v>
      </c>
      <c r="AD386" s="57">
        <f>AD89</f>
        <v>0</v>
      </c>
      <c r="AE386" s="51">
        <f>AE89</f>
        <v>0</v>
      </c>
      <c r="AF386" s="57">
        <f>AF89</f>
        <v>0</v>
      </c>
      <c r="AG386" s="604">
        <f>AG89</f>
        <v>0</v>
      </c>
      <c r="AH386" s="606">
        <f>AH89</f>
        <v>0</v>
      </c>
      <c r="AI386" s="607">
        <f>AI89</f>
        <v>0</v>
      </c>
      <c r="AJ386" s="57">
        <f>AJ89</f>
        <v>0</v>
      </c>
      <c r="AK386" s="51">
        <f>AK89</f>
        <v>0</v>
      </c>
      <c r="AL386" s="57">
        <f>AL89</f>
        <v>0</v>
      </c>
      <c r="AM386" s="51">
        <f>AM89</f>
        <v>0</v>
      </c>
      <c r="AN386" s="57">
        <f>AN89</f>
        <v>0</v>
      </c>
      <c r="AO386" s="51">
        <f>AO89</f>
        <v>0</v>
      </c>
      <c r="AP386" s="57">
        <f>AP89</f>
        <v>0</v>
      </c>
      <c r="AQ386" s="51">
        <f>AQ89</f>
        <v>0</v>
      </c>
      <c r="AR386" s="57">
        <f>AR89</f>
        <v>0</v>
      </c>
      <c r="AS386" s="51">
        <f>AS89</f>
        <v>0</v>
      </c>
      <c r="AT386" s="57">
        <f>AT89</f>
        <v>0</v>
      </c>
      <c r="AU386" s="51">
        <f>AU89</f>
        <v>0</v>
      </c>
      <c r="AV386" s="57">
        <f>AV89</f>
        <v>0</v>
      </c>
      <c r="AW386" s="51">
        <f>AW89</f>
        <v>0</v>
      </c>
      <c r="AX386" s="57">
        <f>AX89</f>
        <v>0</v>
      </c>
      <c r="AY386" s="51">
        <f>AY89</f>
        <v>0</v>
      </c>
      <c r="AZ386" s="57">
        <f>AZ89</f>
        <v>0</v>
      </c>
      <c r="BA386" s="51">
        <f>BA89</f>
        <v>0</v>
      </c>
      <c r="BB386" s="57">
        <f>BB89</f>
        <v>0</v>
      </c>
      <c r="BC386" s="51">
        <f>BC89</f>
        <v>0</v>
      </c>
      <c r="BD386" s="57">
        <f>BD89</f>
        <v>0</v>
      </c>
      <c r="BE386" s="51">
        <f>BE89</f>
        <v>0</v>
      </c>
      <c r="BF386" s="57">
        <f>BF89</f>
        <v>0</v>
      </c>
      <c r="BG386" s="51">
        <f>BG89</f>
        <v>0</v>
      </c>
      <c r="BH386" s="57">
        <f>BH89</f>
        <v>0</v>
      </c>
      <c r="BI386" s="51">
        <f>BI89</f>
        <v>0</v>
      </c>
      <c r="BJ386" s="57">
        <f>BJ89</f>
        <v>0</v>
      </c>
      <c r="BK386" s="51">
        <f>BK89</f>
        <v>0</v>
      </c>
      <c r="BL386" s="57">
        <f>BL89</f>
        <v>0</v>
      </c>
      <c r="BM386" s="51">
        <f>BM89</f>
        <v>0</v>
      </c>
      <c r="BN386" s="102">
        <f t="shared" si="60"/>
        <v>0</v>
      </c>
      <c r="BO386" s="47">
        <f t="shared" si="61"/>
        <v>0</v>
      </c>
      <c r="BP386" s="248">
        <f>INDEX('1月'!$B$382:$BQ$406,MATCH('2月'!B386,'1月'!$B$382:$B$406,0),67)+BN386</f>
        <v>2</v>
      </c>
      <c r="BQ386" s="250">
        <f>INDEX('1月'!$B$382:$BQ$406,MATCH('2月'!B386,'1月'!$B$382:$B$406,0),68)+BO386</f>
        <v>4</v>
      </c>
    </row>
    <row r="387" spans="2:69" s="6" customFormat="1" ht="50.1" customHeight="1">
      <c r="B387" s="212" t="s">
        <v>82</v>
      </c>
      <c r="C387" s="146"/>
      <c r="D387" s="58">
        <f>D97</f>
        <v>0</v>
      </c>
      <c r="E387" s="51">
        <f>E97</f>
        <v>0</v>
      </c>
      <c r="F387" s="57">
        <f>F97</f>
        <v>0</v>
      </c>
      <c r="G387" s="51">
        <f>G97</f>
        <v>0</v>
      </c>
      <c r="H387" s="57">
        <f>H97</f>
        <v>0</v>
      </c>
      <c r="I387" s="51">
        <f>I97</f>
        <v>0</v>
      </c>
      <c r="J387" s="57">
        <f>J97</f>
        <v>0</v>
      </c>
      <c r="K387" s="51">
        <f>K97</f>
        <v>0</v>
      </c>
      <c r="L387" s="57">
        <f>L97</f>
        <v>0</v>
      </c>
      <c r="M387" s="51">
        <f>M97</f>
        <v>0</v>
      </c>
      <c r="N387" s="57">
        <f>N97</f>
        <v>0</v>
      </c>
      <c r="O387" s="51">
        <f>O97</f>
        <v>0</v>
      </c>
      <c r="P387" s="57">
        <f>P97</f>
        <v>0</v>
      </c>
      <c r="Q387" s="51">
        <f>Q97</f>
        <v>0</v>
      </c>
      <c r="R387" s="57">
        <f>R97</f>
        <v>0</v>
      </c>
      <c r="S387" s="51">
        <f>S97</f>
        <v>0</v>
      </c>
      <c r="T387" s="57">
        <f>T97</f>
        <v>0</v>
      </c>
      <c r="U387" s="51">
        <f>U97</f>
        <v>0</v>
      </c>
      <c r="V387" s="57">
        <f>V97</f>
        <v>0</v>
      </c>
      <c r="W387" s="51">
        <f>W97</f>
        <v>0</v>
      </c>
      <c r="X387" s="57">
        <f>X97</f>
        <v>0</v>
      </c>
      <c r="Y387" s="51">
        <f>Y97</f>
        <v>0</v>
      </c>
      <c r="Z387" s="57">
        <f>Z97</f>
        <v>0</v>
      </c>
      <c r="AA387" s="51">
        <f>AA97</f>
        <v>0</v>
      </c>
      <c r="AB387" s="57">
        <f>AB97</f>
        <v>0</v>
      </c>
      <c r="AC387" s="51">
        <f>AC97</f>
        <v>0</v>
      </c>
      <c r="AD387" s="57">
        <f>AD97</f>
        <v>0</v>
      </c>
      <c r="AE387" s="51">
        <f>AE97</f>
        <v>0</v>
      </c>
      <c r="AF387" s="57">
        <f>AF97</f>
        <v>0</v>
      </c>
      <c r="AG387" s="604">
        <f>AG97</f>
        <v>0</v>
      </c>
      <c r="AH387" s="79">
        <f>AH97</f>
        <v>0</v>
      </c>
      <c r="AI387" s="607">
        <f>AI97</f>
        <v>0</v>
      </c>
      <c r="AJ387" s="57">
        <f>AJ97</f>
        <v>0</v>
      </c>
      <c r="AK387" s="51">
        <f>AK97</f>
        <v>0</v>
      </c>
      <c r="AL387" s="57">
        <f>AL97</f>
        <v>0</v>
      </c>
      <c r="AM387" s="51">
        <f>AM97</f>
        <v>0</v>
      </c>
      <c r="AN387" s="57">
        <f>AN97</f>
        <v>0</v>
      </c>
      <c r="AO387" s="51">
        <f>AO97</f>
        <v>0</v>
      </c>
      <c r="AP387" s="57">
        <f>AP97</f>
        <v>0</v>
      </c>
      <c r="AQ387" s="51">
        <f>AQ97</f>
        <v>0</v>
      </c>
      <c r="AR387" s="57">
        <f>AR97</f>
        <v>0</v>
      </c>
      <c r="AS387" s="51">
        <f>AS97</f>
        <v>0</v>
      </c>
      <c r="AT387" s="57">
        <f>AT97</f>
        <v>0</v>
      </c>
      <c r="AU387" s="51">
        <f>AU97</f>
        <v>0</v>
      </c>
      <c r="AV387" s="57">
        <f>AV97</f>
        <v>0</v>
      </c>
      <c r="AW387" s="51">
        <f>AW97</f>
        <v>0</v>
      </c>
      <c r="AX387" s="57">
        <f>AX97</f>
        <v>0</v>
      </c>
      <c r="AY387" s="51">
        <f>AY97</f>
        <v>0</v>
      </c>
      <c r="AZ387" s="57">
        <f>AZ97</f>
        <v>0</v>
      </c>
      <c r="BA387" s="51">
        <f>BA97</f>
        <v>0</v>
      </c>
      <c r="BB387" s="57">
        <f>BB97</f>
        <v>0</v>
      </c>
      <c r="BC387" s="51">
        <f>BC97</f>
        <v>0</v>
      </c>
      <c r="BD387" s="57">
        <f>BD97</f>
        <v>0</v>
      </c>
      <c r="BE387" s="51">
        <f>BE97</f>
        <v>0</v>
      </c>
      <c r="BF387" s="57">
        <f>BF97</f>
        <v>0</v>
      </c>
      <c r="BG387" s="51">
        <f>BG97</f>
        <v>0</v>
      </c>
      <c r="BH387" s="57">
        <f>BH97</f>
        <v>0</v>
      </c>
      <c r="BI387" s="51">
        <f>BI97</f>
        <v>0</v>
      </c>
      <c r="BJ387" s="57">
        <f>BJ97</f>
        <v>0</v>
      </c>
      <c r="BK387" s="51">
        <f>BK97</f>
        <v>0</v>
      </c>
      <c r="BL387" s="57">
        <f>BL97</f>
        <v>0</v>
      </c>
      <c r="BM387" s="51">
        <f>BM97</f>
        <v>0</v>
      </c>
      <c r="BN387" s="102">
        <f t="shared" si="60"/>
        <v>0</v>
      </c>
      <c r="BO387" s="47">
        <f t="shared" si="61"/>
        <v>0</v>
      </c>
      <c r="BP387" s="248">
        <f>INDEX('1月'!$B$382:$BQ$406,MATCH('2月'!B387,'1月'!$B$382:$B$406,0),67)+BN387</f>
        <v>1</v>
      </c>
      <c r="BQ387" s="250">
        <f>INDEX('1月'!$B$382:$BQ$406,MATCH('2月'!B387,'1月'!$B$382:$B$406,0),68)+BO387</f>
        <v>1</v>
      </c>
    </row>
    <row r="388" spans="2:69" s="6" customFormat="1" ht="50.1" customHeight="1">
      <c r="B388" s="212" t="s">
        <v>83</v>
      </c>
      <c r="C388" s="146"/>
      <c r="D388" s="59">
        <f>D108</f>
        <v>0</v>
      </c>
      <c r="E388" s="51">
        <f>E108</f>
        <v>0</v>
      </c>
      <c r="F388" s="57">
        <f>F108</f>
        <v>0</v>
      </c>
      <c r="G388" s="51">
        <f>G108</f>
        <v>0</v>
      </c>
      <c r="H388" s="57">
        <f>H108</f>
        <v>0</v>
      </c>
      <c r="I388" s="51">
        <f>I108</f>
        <v>0</v>
      </c>
      <c r="J388" s="57">
        <f>J108</f>
        <v>0</v>
      </c>
      <c r="K388" s="51">
        <f>K108</f>
        <v>0</v>
      </c>
      <c r="L388" s="57">
        <f>L108</f>
        <v>0</v>
      </c>
      <c r="M388" s="51">
        <f>M108</f>
        <v>0</v>
      </c>
      <c r="N388" s="57">
        <f>N108</f>
        <v>0</v>
      </c>
      <c r="O388" s="51">
        <f>O108</f>
        <v>0</v>
      </c>
      <c r="P388" s="57">
        <f>P108</f>
        <v>0</v>
      </c>
      <c r="Q388" s="51">
        <f>Q108</f>
        <v>0</v>
      </c>
      <c r="R388" s="57">
        <f>R108</f>
        <v>0</v>
      </c>
      <c r="S388" s="51">
        <f>S108</f>
        <v>0</v>
      </c>
      <c r="T388" s="57">
        <f>T108</f>
        <v>0</v>
      </c>
      <c r="U388" s="51">
        <f>U108</f>
        <v>0</v>
      </c>
      <c r="V388" s="57">
        <f>V108</f>
        <v>0</v>
      </c>
      <c r="W388" s="51">
        <f>W108</f>
        <v>0</v>
      </c>
      <c r="X388" s="57">
        <f>X108</f>
        <v>0</v>
      </c>
      <c r="Y388" s="51">
        <f>Y108</f>
        <v>0</v>
      </c>
      <c r="Z388" s="57">
        <f>Z108</f>
        <v>0</v>
      </c>
      <c r="AA388" s="51">
        <f>AA108</f>
        <v>0</v>
      </c>
      <c r="AB388" s="57">
        <f>AB108</f>
        <v>0</v>
      </c>
      <c r="AC388" s="51">
        <f>AC108</f>
        <v>0</v>
      </c>
      <c r="AD388" s="57">
        <f>AD108</f>
        <v>0</v>
      </c>
      <c r="AE388" s="51">
        <f>AE108</f>
        <v>0</v>
      </c>
      <c r="AF388" s="57">
        <f>AF108</f>
        <v>0</v>
      </c>
      <c r="AG388" s="604">
        <f>AG108</f>
        <v>0</v>
      </c>
      <c r="AH388" s="79">
        <f>AH108</f>
        <v>0</v>
      </c>
      <c r="AI388" s="607">
        <f>AI108</f>
        <v>0</v>
      </c>
      <c r="AJ388" s="57">
        <f>AJ108</f>
        <v>0</v>
      </c>
      <c r="AK388" s="51">
        <f>AK108</f>
        <v>0</v>
      </c>
      <c r="AL388" s="57">
        <f>AL108</f>
        <v>0</v>
      </c>
      <c r="AM388" s="51">
        <f>AM108</f>
        <v>0</v>
      </c>
      <c r="AN388" s="57">
        <f>AN108</f>
        <v>0</v>
      </c>
      <c r="AO388" s="51">
        <f>AO108</f>
        <v>0</v>
      </c>
      <c r="AP388" s="57">
        <f>AP108</f>
        <v>0</v>
      </c>
      <c r="AQ388" s="51">
        <f>AQ108</f>
        <v>0</v>
      </c>
      <c r="AR388" s="57">
        <f>AR108</f>
        <v>0</v>
      </c>
      <c r="AS388" s="51">
        <f>AS108</f>
        <v>0</v>
      </c>
      <c r="AT388" s="57">
        <f>AT108</f>
        <v>0</v>
      </c>
      <c r="AU388" s="51">
        <f>AU108</f>
        <v>0</v>
      </c>
      <c r="AV388" s="57">
        <f>AV108</f>
        <v>0</v>
      </c>
      <c r="AW388" s="51">
        <f>AW108</f>
        <v>0</v>
      </c>
      <c r="AX388" s="57">
        <f>AX108</f>
        <v>0</v>
      </c>
      <c r="AY388" s="51">
        <f>AY108</f>
        <v>0</v>
      </c>
      <c r="AZ388" s="57">
        <f>AZ108</f>
        <v>0</v>
      </c>
      <c r="BA388" s="51">
        <f>BA108</f>
        <v>0</v>
      </c>
      <c r="BB388" s="57">
        <f>BB108</f>
        <v>0</v>
      </c>
      <c r="BC388" s="51">
        <f>BC108</f>
        <v>0</v>
      </c>
      <c r="BD388" s="57">
        <f>BD108</f>
        <v>0</v>
      </c>
      <c r="BE388" s="51">
        <f>BE108</f>
        <v>0</v>
      </c>
      <c r="BF388" s="57">
        <f>BF108</f>
        <v>0</v>
      </c>
      <c r="BG388" s="51">
        <f>BG108</f>
        <v>0</v>
      </c>
      <c r="BH388" s="57">
        <f>BH108</f>
        <v>0</v>
      </c>
      <c r="BI388" s="51">
        <f>BI108</f>
        <v>0</v>
      </c>
      <c r="BJ388" s="57">
        <f>BJ108</f>
        <v>0</v>
      </c>
      <c r="BK388" s="51">
        <f>BK108</f>
        <v>0</v>
      </c>
      <c r="BL388" s="57">
        <f>BL108</f>
        <v>0</v>
      </c>
      <c r="BM388" s="51">
        <f>BM108</f>
        <v>0</v>
      </c>
      <c r="BN388" s="102">
        <f t="shared" si="60"/>
        <v>0</v>
      </c>
      <c r="BO388" s="47">
        <f t="shared" si="61"/>
        <v>0</v>
      </c>
      <c r="BP388" s="248">
        <f>INDEX('1月'!$B$382:$BQ$406,MATCH('2月'!B388,'1月'!$B$382:$B$406,0),67)+BN388</f>
        <v>2</v>
      </c>
      <c r="BQ388" s="250">
        <f>INDEX('1月'!$B$382:$BQ$406,MATCH('2月'!B388,'1月'!$B$382:$B$406,0),68)+BO388</f>
        <v>2</v>
      </c>
    </row>
    <row r="389" spans="2:69" s="6" customFormat="1" ht="50.1" customHeight="1">
      <c r="B389" s="212" t="s">
        <v>84</v>
      </c>
      <c r="C389" s="146"/>
      <c r="D389" s="59">
        <f>D126</f>
        <v>0</v>
      </c>
      <c r="E389" s="51">
        <f>E126</f>
        <v>0</v>
      </c>
      <c r="F389" s="57">
        <f>F126</f>
        <v>0</v>
      </c>
      <c r="G389" s="51">
        <f>G126</f>
        <v>0</v>
      </c>
      <c r="H389" s="57">
        <f>H126</f>
        <v>0</v>
      </c>
      <c r="I389" s="51">
        <f>I126</f>
        <v>0</v>
      </c>
      <c r="J389" s="57">
        <f>J126</f>
        <v>0</v>
      </c>
      <c r="K389" s="51">
        <f>K126</f>
        <v>0</v>
      </c>
      <c r="L389" s="57">
        <f>L126</f>
        <v>0</v>
      </c>
      <c r="M389" s="51">
        <f>M126</f>
        <v>0</v>
      </c>
      <c r="N389" s="57">
        <f>N126</f>
        <v>0</v>
      </c>
      <c r="O389" s="51">
        <f>O126</f>
        <v>0</v>
      </c>
      <c r="P389" s="57">
        <f>P126</f>
        <v>0</v>
      </c>
      <c r="Q389" s="51">
        <f>Q126</f>
        <v>0</v>
      </c>
      <c r="R389" s="57">
        <f>R126</f>
        <v>0</v>
      </c>
      <c r="S389" s="51">
        <f>S126</f>
        <v>0</v>
      </c>
      <c r="T389" s="57">
        <f>T126</f>
        <v>0</v>
      </c>
      <c r="U389" s="51">
        <f>U126</f>
        <v>0</v>
      </c>
      <c r="V389" s="57">
        <f>V126</f>
        <v>0</v>
      </c>
      <c r="W389" s="51">
        <f>W126</f>
        <v>0</v>
      </c>
      <c r="X389" s="57">
        <f>X126</f>
        <v>0</v>
      </c>
      <c r="Y389" s="51">
        <f>Y126</f>
        <v>0</v>
      </c>
      <c r="Z389" s="57">
        <f>Z126</f>
        <v>0</v>
      </c>
      <c r="AA389" s="51">
        <f>AA126</f>
        <v>0</v>
      </c>
      <c r="AB389" s="57">
        <f>AB126</f>
        <v>0</v>
      </c>
      <c r="AC389" s="51">
        <f>AC126</f>
        <v>0</v>
      </c>
      <c r="AD389" s="57">
        <f>AD126</f>
        <v>0</v>
      </c>
      <c r="AE389" s="51">
        <f>AE126</f>
        <v>0</v>
      </c>
      <c r="AF389" s="57">
        <f>AF126</f>
        <v>0</v>
      </c>
      <c r="AG389" s="604">
        <f>AG126</f>
        <v>0</v>
      </c>
      <c r="AH389" s="609">
        <f>AH126</f>
        <v>0</v>
      </c>
      <c r="AI389" s="607">
        <f>AI126</f>
        <v>0</v>
      </c>
      <c r="AJ389" s="78">
        <f>AJ126</f>
        <v>0</v>
      </c>
      <c r="AK389" s="51">
        <f>AK126</f>
        <v>0</v>
      </c>
      <c r="AL389" s="78">
        <f>AL126</f>
        <v>0</v>
      </c>
      <c r="AM389" s="51">
        <f>AM126</f>
        <v>0</v>
      </c>
      <c r="AN389" s="78">
        <f>AN126</f>
        <v>0</v>
      </c>
      <c r="AO389" s="51">
        <f>AO126</f>
        <v>0</v>
      </c>
      <c r="AP389" s="78">
        <f>AP126</f>
        <v>0</v>
      </c>
      <c r="AQ389" s="51">
        <f>AQ126</f>
        <v>0</v>
      </c>
      <c r="AR389" s="78">
        <f>AR126</f>
        <v>0</v>
      </c>
      <c r="AS389" s="51">
        <f>AS126</f>
        <v>0</v>
      </c>
      <c r="AT389" s="78">
        <f>AT126</f>
        <v>0</v>
      </c>
      <c r="AU389" s="51">
        <f>AU126</f>
        <v>0</v>
      </c>
      <c r="AV389" s="78">
        <f>AV126</f>
        <v>0</v>
      </c>
      <c r="AW389" s="51">
        <f>AW126</f>
        <v>0</v>
      </c>
      <c r="AX389" s="78">
        <f>AX126</f>
        <v>0</v>
      </c>
      <c r="AY389" s="51">
        <f>AY126</f>
        <v>0</v>
      </c>
      <c r="AZ389" s="78">
        <f>AZ126</f>
        <v>0</v>
      </c>
      <c r="BA389" s="51">
        <f>BA126</f>
        <v>0</v>
      </c>
      <c r="BB389" s="78">
        <f>BB126</f>
        <v>0</v>
      </c>
      <c r="BC389" s="51">
        <f>BC126</f>
        <v>0</v>
      </c>
      <c r="BD389" s="78">
        <f>BD126</f>
        <v>0</v>
      </c>
      <c r="BE389" s="51">
        <f>BE126</f>
        <v>0</v>
      </c>
      <c r="BF389" s="78">
        <f>BF126</f>
        <v>0</v>
      </c>
      <c r="BG389" s="51">
        <f>BG126</f>
        <v>0</v>
      </c>
      <c r="BH389" s="78">
        <f>BH126</f>
        <v>0</v>
      </c>
      <c r="BI389" s="51">
        <f>BI126</f>
        <v>0</v>
      </c>
      <c r="BJ389" s="78">
        <f>BJ126</f>
        <v>0</v>
      </c>
      <c r="BK389" s="51">
        <f>BK126</f>
        <v>0</v>
      </c>
      <c r="BL389" s="78">
        <f>BL126</f>
        <v>0</v>
      </c>
      <c r="BM389" s="51">
        <f>BM126</f>
        <v>0</v>
      </c>
      <c r="BN389" s="102">
        <f t="shared" si="60"/>
        <v>0</v>
      </c>
      <c r="BO389" s="47">
        <f t="shared" si="61"/>
        <v>0</v>
      </c>
      <c r="BP389" s="248">
        <f>INDEX('1月'!$B$382:$BQ$406,MATCH('2月'!B389,'1月'!$B$382:$B$406,0),67)+BN389</f>
        <v>6</v>
      </c>
      <c r="BQ389" s="250">
        <f>INDEX('1月'!$B$382:$BQ$406,MATCH('2月'!B389,'1月'!$B$382:$B$406,0),68)+BO389</f>
        <v>8</v>
      </c>
    </row>
    <row r="390" spans="2:69" s="6" customFormat="1" ht="50.1" customHeight="1">
      <c r="B390" s="212" t="s">
        <v>85</v>
      </c>
      <c r="C390" s="146"/>
      <c r="D390" s="59">
        <f>D142</f>
        <v>0</v>
      </c>
      <c r="E390" s="51">
        <f>E142</f>
        <v>0</v>
      </c>
      <c r="F390" s="59">
        <f>F142</f>
        <v>0</v>
      </c>
      <c r="G390" s="51">
        <f>G142</f>
        <v>0</v>
      </c>
      <c r="H390" s="59">
        <f>H142</f>
        <v>0</v>
      </c>
      <c r="I390" s="51">
        <f>I142</f>
        <v>0</v>
      </c>
      <c r="J390" s="59">
        <f>J142</f>
        <v>0</v>
      </c>
      <c r="K390" s="51">
        <f>K142</f>
        <v>0</v>
      </c>
      <c r="L390" s="59">
        <f>L142</f>
        <v>0</v>
      </c>
      <c r="M390" s="51">
        <f>M142</f>
        <v>0</v>
      </c>
      <c r="N390" s="59">
        <f>N142</f>
        <v>0</v>
      </c>
      <c r="O390" s="51">
        <f>O142</f>
        <v>0</v>
      </c>
      <c r="P390" s="59">
        <f>P142</f>
        <v>0</v>
      </c>
      <c r="Q390" s="51">
        <f>Q142</f>
        <v>0</v>
      </c>
      <c r="R390" s="59">
        <f>R142</f>
        <v>0</v>
      </c>
      <c r="S390" s="51">
        <f>S142</f>
        <v>0</v>
      </c>
      <c r="T390" s="59">
        <f>T142</f>
        <v>0</v>
      </c>
      <c r="U390" s="51">
        <f>U142</f>
        <v>0</v>
      </c>
      <c r="V390" s="59">
        <f>V142</f>
        <v>0</v>
      </c>
      <c r="W390" s="51">
        <f>W142</f>
        <v>0</v>
      </c>
      <c r="X390" s="59">
        <f>X142</f>
        <v>0</v>
      </c>
      <c r="Y390" s="51">
        <f>Y142</f>
        <v>0</v>
      </c>
      <c r="Z390" s="59">
        <f>Z142</f>
        <v>0</v>
      </c>
      <c r="AA390" s="51">
        <f>AA142</f>
        <v>0</v>
      </c>
      <c r="AB390" s="59">
        <f>AB142</f>
        <v>0</v>
      </c>
      <c r="AC390" s="51">
        <f>AC142</f>
        <v>0</v>
      </c>
      <c r="AD390" s="59">
        <f>AD142</f>
        <v>0</v>
      </c>
      <c r="AE390" s="56">
        <f>AE142</f>
        <v>0</v>
      </c>
      <c r="AF390" s="57">
        <f>AF142</f>
        <v>0</v>
      </c>
      <c r="AG390" s="604">
        <f>AG142</f>
        <v>0</v>
      </c>
      <c r="AH390" s="609">
        <f>AH142</f>
        <v>0</v>
      </c>
      <c r="AI390" s="607">
        <f>AI142</f>
        <v>0</v>
      </c>
      <c r="AJ390" s="78">
        <f>AJ142</f>
        <v>0</v>
      </c>
      <c r="AK390" s="51">
        <f>AK142</f>
        <v>0</v>
      </c>
      <c r="AL390" s="78">
        <f>AL142</f>
        <v>0</v>
      </c>
      <c r="AM390" s="51">
        <f>AM142</f>
        <v>0</v>
      </c>
      <c r="AN390" s="78">
        <f>AN142</f>
        <v>0</v>
      </c>
      <c r="AO390" s="51">
        <f>AO142</f>
        <v>0</v>
      </c>
      <c r="AP390" s="78">
        <f>AP142</f>
        <v>0</v>
      </c>
      <c r="AQ390" s="51">
        <f>AQ142</f>
        <v>0</v>
      </c>
      <c r="AR390" s="78">
        <f>AR142</f>
        <v>0</v>
      </c>
      <c r="AS390" s="51">
        <f>AS142</f>
        <v>0</v>
      </c>
      <c r="AT390" s="78">
        <f>AT142</f>
        <v>0</v>
      </c>
      <c r="AU390" s="51">
        <f>AU142</f>
        <v>0</v>
      </c>
      <c r="AV390" s="78">
        <f>AV142</f>
        <v>0</v>
      </c>
      <c r="AW390" s="51">
        <f>AW142</f>
        <v>0</v>
      </c>
      <c r="AX390" s="78">
        <f>AX142</f>
        <v>0</v>
      </c>
      <c r="AY390" s="51">
        <f>AY142</f>
        <v>0</v>
      </c>
      <c r="AZ390" s="78">
        <f>AZ142</f>
        <v>0</v>
      </c>
      <c r="BA390" s="51">
        <f>BA142</f>
        <v>0</v>
      </c>
      <c r="BB390" s="78">
        <f>BB142</f>
        <v>0</v>
      </c>
      <c r="BC390" s="51">
        <f>BC142</f>
        <v>0</v>
      </c>
      <c r="BD390" s="78">
        <f>BD142</f>
        <v>0</v>
      </c>
      <c r="BE390" s="51">
        <f>BE142</f>
        <v>0</v>
      </c>
      <c r="BF390" s="78">
        <f>BF142</f>
        <v>0</v>
      </c>
      <c r="BG390" s="51">
        <f>BG142</f>
        <v>0</v>
      </c>
      <c r="BH390" s="78">
        <f>BH142</f>
        <v>0</v>
      </c>
      <c r="BI390" s="51">
        <f>BI142</f>
        <v>0</v>
      </c>
      <c r="BJ390" s="78">
        <f>BJ142</f>
        <v>0</v>
      </c>
      <c r="BK390" s="51">
        <f>BK142</f>
        <v>0</v>
      </c>
      <c r="BL390" s="78">
        <f>BL142</f>
        <v>0</v>
      </c>
      <c r="BM390" s="51">
        <f>BM142</f>
        <v>0</v>
      </c>
      <c r="BN390" s="102">
        <f t="shared" si="60"/>
        <v>0</v>
      </c>
      <c r="BO390" s="47">
        <f t="shared" si="61"/>
        <v>0</v>
      </c>
      <c r="BP390" s="248">
        <f>INDEX('1月'!$B$382:$BQ$406,MATCH('2月'!B390,'1月'!$B$382:$B$406,0),67)+BN390</f>
        <v>0</v>
      </c>
      <c r="BQ390" s="250">
        <f>INDEX('1月'!$B$382:$BQ$406,MATCH('2月'!B390,'1月'!$B$382:$B$406,0),68)+BO390</f>
        <v>0</v>
      </c>
    </row>
    <row r="391" spans="2:69" s="6" customFormat="1" ht="50.1" customHeight="1">
      <c r="B391" s="212" t="s">
        <v>87</v>
      </c>
      <c r="C391" s="146"/>
      <c r="D391" s="59">
        <f>D160</f>
        <v>0</v>
      </c>
      <c r="E391" s="51">
        <f>E160</f>
        <v>0</v>
      </c>
      <c r="F391" s="57">
        <f>F160</f>
        <v>0</v>
      </c>
      <c r="G391" s="51">
        <f>G160</f>
        <v>0</v>
      </c>
      <c r="H391" s="57">
        <f>H160</f>
        <v>0</v>
      </c>
      <c r="I391" s="51">
        <f>I160</f>
        <v>0</v>
      </c>
      <c r="J391" s="57">
        <f>J160</f>
        <v>0</v>
      </c>
      <c r="K391" s="51">
        <f>K160</f>
        <v>0</v>
      </c>
      <c r="L391" s="57">
        <f>L160</f>
        <v>0</v>
      </c>
      <c r="M391" s="51">
        <f>M160</f>
        <v>0</v>
      </c>
      <c r="N391" s="57">
        <f>N160</f>
        <v>0</v>
      </c>
      <c r="O391" s="51">
        <f>O160</f>
        <v>0</v>
      </c>
      <c r="P391" s="57">
        <f>P160</f>
        <v>0</v>
      </c>
      <c r="Q391" s="51">
        <f>Q160</f>
        <v>0</v>
      </c>
      <c r="R391" s="57">
        <f>R160</f>
        <v>0</v>
      </c>
      <c r="S391" s="51">
        <f>S160</f>
        <v>0</v>
      </c>
      <c r="T391" s="57">
        <f>T160</f>
        <v>0</v>
      </c>
      <c r="U391" s="51">
        <f>U160</f>
        <v>0</v>
      </c>
      <c r="V391" s="57">
        <f>V160</f>
        <v>0</v>
      </c>
      <c r="W391" s="51">
        <f>W160</f>
        <v>0</v>
      </c>
      <c r="X391" s="57">
        <f>X160</f>
        <v>0</v>
      </c>
      <c r="Y391" s="51">
        <f>Y160</f>
        <v>0</v>
      </c>
      <c r="Z391" s="57">
        <f>Z160</f>
        <v>0</v>
      </c>
      <c r="AA391" s="51">
        <f>AA160</f>
        <v>0</v>
      </c>
      <c r="AB391" s="57">
        <f>AB160</f>
        <v>0</v>
      </c>
      <c r="AC391" s="51">
        <f>AC160</f>
        <v>0</v>
      </c>
      <c r="AD391" s="57">
        <f>AD160</f>
        <v>0</v>
      </c>
      <c r="AE391" s="51">
        <f>AE160</f>
        <v>0</v>
      </c>
      <c r="AF391" s="57">
        <f>AF160</f>
        <v>0</v>
      </c>
      <c r="AG391" s="604">
        <f>AG160</f>
        <v>0</v>
      </c>
      <c r="AH391" s="609">
        <f>AH160</f>
        <v>0</v>
      </c>
      <c r="AI391" s="607">
        <f>AI160</f>
        <v>0</v>
      </c>
      <c r="AJ391" s="59">
        <f>AJ160</f>
        <v>0</v>
      </c>
      <c r="AK391" s="51">
        <f>AK160</f>
        <v>0</v>
      </c>
      <c r="AL391" s="59">
        <f>AL160</f>
        <v>0</v>
      </c>
      <c r="AM391" s="51">
        <f>AM160</f>
        <v>0</v>
      </c>
      <c r="AN391" s="59">
        <f>AN160</f>
        <v>0</v>
      </c>
      <c r="AO391" s="51">
        <f>AO160</f>
        <v>0</v>
      </c>
      <c r="AP391" s="59">
        <f>AP160</f>
        <v>0</v>
      </c>
      <c r="AQ391" s="51">
        <f>AQ160</f>
        <v>0</v>
      </c>
      <c r="AR391" s="59">
        <f>AR160</f>
        <v>0</v>
      </c>
      <c r="AS391" s="51">
        <f>AS160</f>
        <v>0</v>
      </c>
      <c r="AT391" s="59">
        <f>AT160</f>
        <v>0</v>
      </c>
      <c r="AU391" s="51">
        <f>AU160</f>
        <v>0</v>
      </c>
      <c r="AV391" s="59">
        <f>AV160</f>
        <v>0</v>
      </c>
      <c r="AW391" s="51">
        <f>AW160</f>
        <v>0</v>
      </c>
      <c r="AX391" s="59">
        <f>AX160</f>
        <v>0</v>
      </c>
      <c r="AY391" s="51">
        <f>AY160</f>
        <v>0</v>
      </c>
      <c r="AZ391" s="59">
        <f>AZ160</f>
        <v>0</v>
      </c>
      <c r="BA391" s="51">
        <f>BA160</f>
        <v>0</v>
      </c>
      <c r="BB391" s="59">
        <f>BB160</f>
        <v>0</v>
      </c>
      <c r="BC391" s="51">
        <f>BC160</f>
        <v>0</v>
      </c>
      <c r="BD391" s="59">
        <f>BD160</f>
        <v>0</v>
      </c>
      <c r="BE391" s="51">
        <f>BE160</f>
        <v>0</v>
      </c>
      <c r="BF391" s="59">
        <f>BF160</f>
        <v>0</v>
      </c>
      <c r="BG391" s="51">
        <f>BG160</f>
        <v>0</v>
      </c>
      <c r="BH391" s="59">
        <f>BH160</f>
        <v>0</v>
      </c>
      <c r="BI391" s="51">
        <f>BI160</f>
        <v>0</v>
      </c>
      <c r="BJ391" s="78">
        <f>BJ160</f>
        <v>0</v>
      </c>
      <c r="BK391" s="51">
        <f>BK160</f>
        <v>0</v>
      </c>
      <c r="BL391" s="59">
        <f>BL160</f>
        <v>0</v>
      </c>
      <c r="BM391" s="51">
        <f>BM160</f>
        <v>0</v>
      </c>
      <c r="BN391" s="102">
        <f t="shared" si="60"/>
        <v>0</v>
      </c>
      <c r="BO391" s="47">
        <f t="shared" si="61"/>
        <v>0</v>
      </c>
      <c r="BP391" s="248">
        <f>INDEX('1月'!$B$382:$BQ$406,MATCH('2月'!B391,'1月'!$B$382:$B$406,0),67)+BN391</f>
        <v>3</v>
      </c>
      <c r="BQ391" s="250">
        <f>INDEX('1月'!$B$382:$BQ$406,MATCH('2月'!B391,'1月'!$B$382:$B$406,0),68)+BO391</f>
        <v>5</v>
      </c>
    </row>
    <row r="392" spans="2:69" s="6" customFormat="1" ht="50.1" customHeight="1">
      <c r="B392" s="212" t="s">
        <v>215</v>
      </c>
      <c r="C392" s="146"/>
      <c r="D392" s="59">
        <f>D196</f>
        <v>0</v>
      </c>
      <c r="E392" s="51">
        <f>E196</f>
        <v>0</v>
      </c>
      <c r="F392" s="57">
        <f>F196</f>
        <v>0</v>
      </c>
      <c r="G392" s="51">
        <f>G196</f>
        <v>0</v>
      </c>
      <c r="H392" s="57">
        <f>H196</f>
        <v>0</v>
      </c>
      <c r="I392" s="51">
        <f>I196</f>
        <v>0</v>
      </c>
      <c r="J392" s="57">
        <f>J196</f>
        <v>0</v>
      </c>
      <c r="K392" s="51">
        <f>K196</f>
        <v>0</v>
      </c>
      <c r="L392" s="57">
        <f>L196</f>
        <v>0</v>
      </c>
      <c r="M392" s="51">
        <f>M196</f>
        <v>0</v>
      </c>
      <c r="N392" s="57">
        <f>N196</f>
        <v>0</v>
      </c>
      <c r="O392" s="51">
        <f>O196</f>
        <v>0</v>
      </c>
      <c r="P392" s="57">
        <f>P196</f>
        <v>0</v>
      </c>
      <c r="Q392" s="51">
        <f>Q196</f>
        <v>0</v>
      </c>
      <c r="R392" s="57">
        <f>R196</f>
        <v>0</v>
      </c>
      <c r="S392" s="51">
        <f>S196</f>
        <v>0</v>
      </c>
      <c r="T392" s="57">
        <f>T196</f>
        <v>0</v>
      </c>
      <c r="U392" s="51">
        <f>U196</f>
        <v>0</v>
      </c>
      <c r="V392" s="57">
        <f>V196</f>
        <v>0</v>
      </c>
      <c r="W392" s="51">
        <f>W196</f>
        <v>0</v>
      </c>
      <c r="X392" s="57">
        <f>X196</f>
        <v>0</v>
      </c>
      <c r="Y392" s="51">
        <f>Y196</f>
        <v>0</v>
      </c>
      <c r="Z392" s="57">
        <f>Z196</f>
        <v>0</v>
      </c>
      <c r="AA392" s="51">
        <f>AA196</f>
        <v>0</v>
      </c>
      <c r="AB392" s="57">
        <f>AB196</f>
        <v>0</v>
      </c>
      <c r="AC392" s="51">
        <f>AC196</f>
        <v>0</v>
      </c>
      <c r="AD392" s="57">
        <f>AD196</f>
        <v>0</v>
      </c>
      <c r="AE392" s="51">
        <f>AE196</f>
        <v>0</v>
      </c>
      <c r="AF392" s="57">
        <f>AF196</f>
        <v>0</v>
      </c>
      <c r="AG392" s="604">
        <f>AG196</f>
        <v>0</v>
      </c>
      <c r="AH392" s="609">
        <f>AH196</f>
        <v>0</v>
      </c>
      <c r="AI392" s="607">
        <f>AI196</f>
        <v>0</v>
      </c>
      <c r="AJ392" s="57">
        <f>AJ196</f>
        <v>0</v>
      </c>
      <c r="AK392" s="51">
        <f>AK196</f>
        <v>0</v>
      </c>
      <c r="AL392" s="57">
        <f>AL196</f>
        <v>0</v>
      </c>
      <c r="AM392" s="51">
        <f>AM196</f>
        <v>0</v>
      </c>
      <c r="AN392" s="57">
        <f>AN196</f>
        <v>0</v>
      </c>
      <c r="AO392" s="51">
        <f>AO196</f>
        <v>0</v>
      </c>
      <c r="AP392" s="57">
        <f>AP196</f>
        <v>0</v>
      </c>
      <c r="AQ392" s="51">
        <f>AQ196</f>
        <v>0</v>
      </c>
      <c r="AR392" s="57">
        <f>AR196</f>
        <v>0</v>
      </c>
      <c r="AS392" s="51">
        <f>AS196</f>
        <v>0</v>
      </c>
      <c r="AT392" s="57">
        <f>AT196</f>
        <v>0</v>
      </c>
      <c r="AU392" s="51">
        <f>AU196</f>
        <v>0</v>
      </c>
      <c r="AV392" s="57">
        <f>AV196</f>
        <v>0</v>
      </c>
      <c r="AW392" s="51">
        <f>AW196</f>
        <v>0</v>
      </c>
      <c r="AX392" s="57">
        <f>AX196</f>
        <v>0</v>
      </c>
      <c r="AY392" s="51">
        <f>AY196</f>
        <v>0</v>
      </c>
      <c r="AZ392" s="57">
        <f>AZ196</f>
        <v>0</v>
      </c>
      <c r="BA392" s="51">
        <f>BA196</f>
        <v>0</v>
      </c>
      <c r="BB392" s="57">
        <f>BB196</f>
        <v>0</v>
      </c>
      <c r="BC392" s="51">
        <f>BC196</f>
        <v>0</v>
      </c>
      <c r="BD392" s="57">
        <f>BD196</f>
        <v>0</v>
      </c>
      <c r="BE392" s="51">
        <f>BE196</f>
        <v>0</v>
      </c>
      <c r="BF392" s="57">
        <f>BF196</f>
        <v>0</v>
      </c>
      <c r="BG392" s="51">
        <f>BG196</f>
        <v>0</v>
      </c>
      <c r="BH392" s="57">
        <f>BH196</f>
        <v>0</v>
      </c>
      <c r="BI392" s="51">
        <f>BI196</f>
        <v>0</v>
      </c>
      <c r="BJ392" s="57">
        <f>BJ196</f>
        <v>0</v>
      </c>
      <c r="BK392" s="51">
        <f>BK196</f>
        <v>0</v>
      </c>
      <c r="BL392" s="57">
        <f>BL196</f>
        <v>0</v>
      </c>
      <c r="BM392" s="51">
        <f>BM196</f>
        <v>0</v>
      </c>
      <c r="BN392" s="102">
        <f t="shared" si="60"/>
        <v>0</v>
      </c>
      <c r="BO392" s="47">
        <f t="shared" si="61"/>
        <v>0</v>
      </c>
      <c r="BP392" s="248">
        <f>INDEX('1月'!$B$382:$BQ$406,MATCH('2月'!B392,'1月'!$B$382:$B$406,0),67)+BN392</f>
        <v>2</v>
      </c>
      <c r="BQ392" s="250">
        <f>INDEX('1月'!$B$382:$BQ$406,MATCH('2月'!B392,'1月'!$B$382:$B$406,0),68)+BO392</f>
        <v>2</v>
      </c>
    </row>
    <row r="393" spans="2:69" s="6" customFormat="1" ht="50.1" customHeight="1">
      <c r="B393" s="213" t="s">
        <v>214</v>
      </c>
      <c r="C393" s="147"/>
      <c r="D393" s="59">
        <f>D221</f>
        <v>0</v>
      </c>
      <c r="E393" s="51">
        <f>E221</f>
        <v>0</v>
      </c>
      <c r="F393" s="78">
        <f>F221</f>
        <v>0</v>
      </c>
      <c r="G393" s="51">
        <f>G221</f>
        <v>0</v>
      </c>
      <c r="H393" s="78">
        <f>H221</f>
        <v>0</v>
      </c>
      <c r="I393" s="51">
        <f>I221</f>
        <v>0</v>
      </c>
      <c r="J393" s="78">
        <f>J221</f>
        <v>0</v>
      </c>
      <c r="K393" s="51">
        <f>K221</f>
        <v>0</v>
      </c>
      <c r="L393" s="78">
        <f>L221</f>
        <v>0</v>
      </c>
      <c r="M393" s="51">
        <f>M221</f>
        <v>0</v>
      </c>
      <c r="N393" s="78">
        <f>N221</f>
        <v>0</v>
      </c>
      <c r="O393" s="51">
        <f>O221</f>
        <v>0</v>
      </c>
      <c r="P393" s="78">
        <f>P221</f>
        <v>0</v>
      </c>
      <c r="Q393" s="51">
        <f>Q221</f>
        <v>0</v>
      </c>
      <c r="R393" s="78">
        <f>R221</f>
        <v>0</v>
      </c>
      <c r="S393" s="51">
        <f>S221</f>
        <v>0</v>
      </c>
      <c r="T393" s="78">
        <f>T221</f>
        <v>0</v>
      </c>
      <c r="U393" s="51">
        <f>U221</f>
        <v>0</v>
      </c>
      <c r="V393" s="78">
        <f>V221</f>
        <v>0</v>
      </c>
      <c r="W393" s="51">
        <f>W221</f>
        <v>0</v>
      </c>
      <c r="X393" s="78">
        <f>X221</f>
        <v>0</v>
      </c>
      <c r="Y393" s="51">
        <f>Y221</f>
        <v>0</v>
      </c>
      <c r="Z393" s="78">
        <f>Z221</f>
        <v>0</v>
      </c>
      <c r="AA393" s="51">
        <f>AA221</f>
        <v>0</v>
      </c>
      <c r="AB393" s="78">
        <f>AB221</f>
        <v>0</v>
      </c>
      <c r="AC393" s="51">
        <f>AC221</f>
        <v>0</v>
      </c>
      <c r="AD393" s="78">
        <f>AD221</f>
        <v>0</v>
      </c>
      <c r="AE393" s="51">
        <f>AE221</f>
        <v>0</v>
      </c>
      <c r="AF393" s="57">
        <f>AF221</f>
        <v>0</v>
      </c>
      <c r="AG393" s="604">
        <f>AG221</f>
        <v>0</v>
      </c>
      <c r="AH393" s="609">
        <f>AH221</f>
        <v>0</v>
      </c>
      <c r="AI393" s="607">
        <f>AI221</f>
        <v>0</v>
      </c>
      <c r="AJ393" s="57">
        <f>AJ221</f>
        <v>0</v>
      </c>
      <c r="AK393" s="51">
        <f>AK221</f>
        <v>0</v>
      </c>
      <c r="AL393" s="57">
        <f>AL221</f>
        <v>0</v>
      </c>
      <c r="AM393" s="51">
        <f>AM221</f>
        <v>0</v>
      </c>
      <c r="AN393" s="57">
        <f>AN221</f>
        <v>0</v>
      </c>
      <c r="AO393" s="51">
        <f>AO221</f>
        <v>0</v>
      </c>
      <c r="AP393" s="57">
        <f>AP221</f>
        <v>0</v>
      </c>
      <c r="AQ393" s="51">
        <f>AQ221</f>
        <v>0</v>
      </c>
      <c r="AR393" s="57">
        <f>AR221</f>
        <v>0</v>
      </c>
      <c r="AS393" s="51">
        <f>AS221</f>
        <v>0</v>
      </c>
      <c r="AT393" s="57">
        <f>AT221</f>
        <v>0</v>
      </c>
      <c r="AU393" s="51">
        <f>AU221</f>
        <v>0</v>
      </c>
      <c r="AV393" s="57">
        <f>AV221</f>
        <v>0</v>
      </c>
      <c r="AW393" s="51">
        <f>AW221</f>
        <v>0</v>
      </c>
      <c r="AX393" s="57">
        <f>AX221</f>
        <v>0</v>
      </c>
      <c r="AY393" s="51">
        <f>AY221</f>
        <v>0</v>
      </c>
      <c r="AZ393" s="57">
        <f>AZ221</f>
        <v>0</v>
      </c>
      <c r="BA393" s="51">
        <f>BA221</f>
        <v>0</v>
      </c>
      <c r="BB393" s="57">
        <f>BB221</f>
        <v>0</v>
      </c>
      <c r="BC393" s="51">
        <f>BC221</f>
        <v>0</v>
      </c>
      <c r="BD393" s="57">
        <f>BD221</f>
        <v>0</v>
      </c>
      <c r="BE393" s="51">
        <f>BE221</f>
        <v>0</v>
      </c>
      <c r="BF393" s="57">
        <f>BF221</f>
        <v>0</v>
      </c>
      <c r="BG393" s="51">
        <f>BG221</f>
        <v>0</v>
      </c>
      <c r="BH393" s="57">
        <f>BH221</f>
        <v>0</v>
      </c>
      <c r="BI393" s="51">
        <f>BI221</f>
        <v>0</v>
      </c>
      <c r="BJ393" s="57">
        <f>BJ221</f>
        <v>0</v>
      </c>
      <c r="BK393" s="51">
        <f>BK221</f>
        <v>0</v>
      </c>
      <c r="BL393" s="57">
        <f>BL221</f>
        <v>0</v>
      </c>
      <c r="BM393" s="51">
        <f>BM221</f>
        <v>0</v>
      </c>
      <c r="BN393" s="102">
        <f t="shared" si="60"/>
        <v>0</v>
      </c>
      <c r="BO393" s="47">
        <f t="shared" si="61"/>
        <v>0</v>
      </c>
      <c r="BP393" s="248">
        <f>INDEX('1月'!$B$382:$BQ$406,MATCH('2月'!B393,'1月'!$B$382:$B$406,0),67)+BN393</f>
        <v>3</v>
      </c>
      <c r="BQ393" s="250">
        <f>INDEX('1月'!$B$382:$BQ$406,MATCH('2月'!B393,'1月'!$B$382:$B$406,0),68)+BO393</f>
        <v>3</v>
      </c>
    </row>
    <row r="394" spans="2:69" s="6" customFormat="1" ht="50.1" customHeight="1" thickBot="1">
      <c r="B394" s="625" t="s">
        <v>89</v>
      </c>
      <c r="C394" s="591"/>
      <c r="D394" s="626">
        <f>D246</f>
        <v>0</v>
      </c>
      <c r="E394" s="611">
        <f>E246</f>
        <v>0</v>
      </c>
      <c r="F394" s="608">
        <f>F246</f>
        <v>0</v>
      </c>
      <c r="G394" s="611">
        <f>G246</f>
        <v>0</v>
      </c>
      <c r="H394" s="608">
        <f>H246</f>
        <v>0</v>
      </c>
      <c r="I394" s="611">
        <f>I246</f>
        <v>0</v>
      </c>
      <c r="J394" s="608">
        <f>J246</f>
        <v>0</v>
      </c>
      <c r="K394" s="611">
        <f>K246</f>
        <v>0</v>
      </c>
      <c r="L394" s="608">
        <f>L246</f>
        <v>0</v>
      </c>
      <c r="M394" s="611">
        <f>M246</f>
        <v>0</v>
      </c>
      <c r="N394" s="608">
        <f>N246</f>
        <v>0</v>
      </c>
      <c r="O394" s="611">
        <f>O246</f>
        <v>0</v>
      </c>
      <c r="P394" s="608">
        <f>P246</f>
        <v>0</v>
      </c>
      <c r="Q394" s="611">
        <f>Q246</f>
        <v>0</v>
      </c>
      <c r="R394" s="608">
        <f>R246</f>
        <v>0</v>
      </c>
      <c r="S394" s="611">
        <f>S246</f>
        <v>0</v>
      </c>
      <c r="T394" s="608">
        <f>T246</f>
        <v>0</v>
      </c>
      <c r="U394" s="611">
        <f>U246</f>
        <v>0</v>
      </c>
      <c r="V394" s="608">
        <f>V246</f>
        <v>0</v>
      </c>
      <c r="W394" s="611">
        <f>W246</f>
        <v>0</v>
      </c>
      <c r="X394" s="608">
        <f>X246</f>
        <v>0</v>
      </c>
      <c r="Y394" s="611">
        <f>Y246</f>
        <v>0</v>
      </c>
      <c r="Z394" s="608">
        <f>Z246</f>
        <v>0</v>
      </c>
      <c r="AA394" s="611">
        <f>AA246</f>
        <v>0</v>
      </c>
      <c r="AB394" s="608">
        <f>AB246</f>
        <v>0</v>
      </c>
      <c r="AC394" s="611">
        <f>AC246</f>
        <v>0</v>
      </c>
      <c r="AD394" s="608">
        <f>AD246</f>
        <v>0</v>
      </c>
      <c r="AE394" s="611">
        <f>AE246</f>
        <v>0</v>
      </c>
      <c r="AF394" s="608">
        <f>AF246</f>
        <v>0</v>
      </c>
      <c r="AG394" s="605">
        <f>AG246</f>
        <v>0</v>
      </c>
      <c r="AH394" s="610">
        <f>AH246</f>
        <v>0</v>
      </c>
      <c r="AI394" s="611">
        <f>AI246</f>
        <v>0</v>
      </c>
      <c r="AJ394" s="608">
        <f>AJ246</f>
        <v>0</v>
      </c>
      <c r="AK394" s="611">
        <f>AK246</f>
        <v>0</v>
      </c>
      <c r="AL394" s="608">
        <f>AL246</f>
        <v>0</v>
      </c>
      <c r="AM394" s="611">
        <f>AM246</f>
        <v>0</v>
      </c>
      <c r="AN394" s="608">
        <f>AN246</f>
        <v>0</v>
      </c>
      <c r="AO394" s="611">
        <f>AO246</f>
        <v>0</v>
      </c>
      <c r="AP394" s="608">
        <f>AP246</f>
        <v>0</v>
      </c>
      <c r="AQ394" s="611">
        <f>AQ246</f>
        <v>0</v>
      </c>
      <c r="AR394" s="608">
        <f>AR246</f>
        <v>0</v>
      </c>
      <c r="AS394" s="611">
        <f>AS246</f>
        <v>0</v>
      </c>
      <c r="AT394" s="608">
        <f>AT246</f>
        <v>0</v>
      </c>
      <c r="AU394" s="611">
        <f>AU246</f>
        <v>0</v>
      </c>
      <c r="AV394" s="608">
        <f>AV246</f>
        <v>0</v>
      </c>
      <c r="AW394" s="611">
        <f>AW246</f>
        <v>0</v>
      </c>
      <c r="AX394" s="608">
        <f>AX246</f>
        <v>0</v>
      </c>
      <c r="AY394" s="611">
        <f>AY246</f>
        <v>0</v>
      </c>
      <c r="AZ394" s="608">
        <f>AZ246</f>
        <v>0</v>
      </c>
      <c r="BA394" s="611">
        <f>BA246</f>
        <v>0</v>
      </c>
      <c r="BB394" s="608">
        <f>BB246</f>
        <v>0</v>
      </c>
      <c r="BC394" s="611">
        <f>BC246</f>
        <v>0</v>
      </c>
      <c r="BD394" s="608">
        <f>BD246</f>
        <v>0</v>
      </c>
      <c r="BE394" s="611">
        <f>BE246</f>
        <v>0</v>
      </c>
      <c r="BF394" s="608">
        <f>BF246</f>
        <v>0</v>
      </c>
      <c r="BG394" s="611">
        <f>BG246</f>
        <v>0</v>
      </c>
      <c r="BH394" s="608">
        <f>BH246</f>
        <v>0</v>
      </c>
      <c r="BI394" s="611">
        <f>BI246</f>
        <v>0</v>
      </c>
      <c r="BJ394" s="608">
        <f>BJ246</f>
        <v>0</v>
      </c>
      <c r="BK394" s="605">
        <f>BK246</f>
        <v>0</v>
      </c>
      <c r="BL394" s="608">
        <f>BL246</f>
        <v>0</v>
      </c>
      <c r="BM394" s="605">
        <f>BM246</f>
        <v>0</v>
      </c>
      <c r="BN394" s="102">
        <f t="shared" si="60"/>
        <v>0</v>
      </c>
      <c r="BO394" s="47">
        <f t="shared" si="61"/>
        <v>0</v>
      </c>
      <c r="BP394" s="251">
        <f>INDEX('1月'!$B$382:$BQ$406,MATCH('2月'!B394,'1月'!$B$382:$B$406,0),67)+BN394</f>
        <v>14</v>
      </c>
      <c r="BQ394" s="627">
        <f>INDEX('1月'!$B$382:$BQ$406,MATCH('2月'!B394,'1月'!$B$382:$B$406,0),68)+BO394</f>
        <v>17</v>
      </c>
    </row>
    <row r="395" spans="2:69" s="6" customFormat="1" ht="50.1" customHeight="1" thickBot="1">
      <c r="B395" s="214" t="s">
        <v>202</v>
      </c>
      <c r="C395" s="149"/>
      <c r="D395" s="29">
        <f t="shared" ref="D395:BM395" si="62">SUM(D382:D394)</f>
        <v>0</v>
      </c>
      <c r="E395" s="31">
        <f t="shared" si="62"/>
        <v>0</v>
      </c>
      <c r="F395" s="29">
        <f t="shared" si="62"/>
        <v>0</v>
      </c>
      <c r="G395" s="31">
        <f t="shared" si="62"/>
        <v>0</v>
      </c>
      <c r="H395" s="29">
        <f t="shared" si="62"/>
        <v>0</v>
      </c>
      <c r="I395" s="31">
        <f t="shared" si="62"/>
        <v>0</v>
      </c>
      <c r="J395" s="29">
        <f t="shared" si="62"/>
        <v>0</v>
      </c>
      <c r="K395" s="31">
        <f t="shared" si="62"/>
        <v>0</v>
      </c>
      <c r="L395" s="29">
        <f t="shared" si="62"/>
        <v>0</v>
      </c>
      <c r="M395" s="31">
        <f t="shared" si="62"/>
        <v>0</v>
      </c>
      <c r="N395" s="29">
        <f t="shared" si="62"/>
        <v>0</v>
      </c>
      <c r="O395" s="31">
        <f t="shared" si="62"/>
        <v>0</v>
      </c>
      <c r="P395" s="29">
        <f t="shared" si="62"/>
        <v>0</v>
      </c>
      <c r="Q395" s="31">
        <f t="shared" si="62"/>
        <v>0</v>
      </c>
      <c r="R395" s="29">
        <f t="shared" si="62"/>
        <v>0</v>
      </c>
      <c r="S395" s="31">
        <f t="shared" si="62"/>
        <v>0</v>
      </c>
      <c r="T395" s="29">
        <f t="shared" si="62"/>
        <v>0</v>
      </c>
      <c r="U395" s="31">
        <f t="shared" si="62"/>
        <v>0</v>
      </c>
      <c r="V395" s="29">
        <f t="shared" si="62"/>
        <v>0</v>
      </c>
      <c r="W395" s="31">
        <f t="shared" si="62"/>
        <v>0</v>
      </c>
      <c r="X395" s="29">
        <f t="shared" si="62"/>
        <v>0</v>
      </c>
      <c r="Y395" s="31">
        <f t="shared" si="62"/>
        <v>0</v>
      </c>
      <c r="Z395" s="29">
        <f t="shared" si="62"/>
        <v>0</v>
      </c>
      <c r="AA395" s="31">
        <f t="shared" si="62"/>
        <v>0</v>
      </c>
      <c r="AB395" s="29">
        <f t="shared" si="62"/>
        <v>0</v>
      </c>
      <c r="AC395" s="31">
        <f t="shared" si="62"/>
        <v>0</v>
      </c>
      <c r="AD395" s="29">
        <f t="shared" si="62"/>
        <v>0</v>
      </c>
      <c r="AE395" s="31">
        <f t="shared" si="62"/>
        <v>0</v>
      </c>
      <c r="AF395" s="39">
        <f t="shared" si="62"/>
        <v>0</v>
      </c>
      <c r="AG395" s="41">
        <f t="shared" si="62"/>
        <v>0</v>
      </c>
      <c r="AH395" s="39">
        <f t="shared" si="62"/>
        <v>0</v>
      </c>
      <c r="AI395" s="31">
        <f t="shared" si="62"/>
        <v>0</v>
      </c>
      <c r="AJ395" s="29">
        <f>SUM(AJ382:AJ394)</f>
        <v>0</v>
      </c>
      <c r="AK395" s="31">
        <f>SUM(AK382:AK394)</f>
        <v>0</v>
      </c>
      <c r="AL395" s="29">
        <f>SUM(AL382:AL394)</f>
        <v>0</v>
      </c>
      <c r="AM395" s="31">
        <f t="shared" si="62"/>
        <v>0</v>
      </c>
      <c r="AN395" s="29">
        <f t="shared" si="62"/>
        <v>0</v>
      </c>
      <c r="AO395" s="31">
        <f t="shared" si="62"/>
        <v>0</v>
      </c>
      <c r="AP395" s="29">
        <f t="shared" si="62"/>
        <v>0</v>
      </c>
      <c r="AQ395" s="31">
        <f t="shared" si="62"/>
        <v>0</v>
      </c>
      <c r="AR395" s="29">
        <f t="shared" si="62"/>
        <v>0</v>
      </c>
      <c r="AS395" s="31">
        <f t="shared" si="62"/>
        <v>0</v>
      </c>
      <c r="AT395" s="29">
        <f t="shared" si="62"/>
        <v>0</v>
      </c>
      <c r="AU395" s="31">
        <f t="shared" si="62"/>
        <v>0</v>
      </c>
      <c r="AV395" s="29">
        <f t="shared" si="62"/>
        <v>0</v>
      </c>
      <c r="AW395" s="31">
        <f t="shared" si="62"/>
        <v>0</v>
      </c>
      <c r="AX395" s="29">
        <f t="shared" si="62"/>
        <v>0</v>
      </c>
      <c r="AY395" s="31">
        <f t="shared" si="62"/>
        <v>0</v>
      </c>
      <c r="AZ395" s="29">
        <f t="shared" si="62"/>
        <v>0</v>
      </c>
      <c r="BA395" s="31">
        <f t="shared" si="62"/>
        <v>0</v>
      </c>
      <c r="BB395" s="29">
        <f t="shared" si="62"/>
        <v>0</v>
      </c>
      <c r="BC395" s="31">
        <f t="shared" si="62"/>
        <v>0</v>
      </c>
      <c r="BD395" s="29">
        <f t="shared" si="62"/>
        <v>0</v>
      </c>
      <c r="BE395" s="31">
        <f t="shared" si="62"/>
        <v>0</v>
      </c>
      <c r="BF395" s="29">
        <f t="shared" si="62"/>
        <v>0</v>
      </c>
      <c r="BG395" s="31">
        <f t="shared" si="62"/>
        <v>0</v>
      </c>
      <c r="BH395" s="29">
        <f t="shared" si="62"/>
        <v>0</v>
      </c>
      <c r="BI395" s="31">
        <f t="shared" si="62"/>
        <v>0</v>
      </c>
      <c r="BJ395" s="39">
        <f t="shared" si="62"/>
        <v>0</v>
      </c>
      <c r="BK395" s="31">
        <f t="shared" si="62"/>
        <v>0</v>
      </c>
      <c r="BL395" s="39">
        <f t="shared" si="62"/>
        <v>0</v>
      </c>
      <c r="BM395" s="31">
        <f t="shared" si="62"/>
        <v>0</v>
      </c>
      <c r="BN395" s="233">
        <f>SUM(BN382:BN394)</f>
        <v>0</v>
      </c>
      <c r="BO395" s="40">
        <f>SUM(BO382:BO394)</f>
        <v>0</v>
      </c>
      <c r="BP395" s="252">
        <f>INDEX('1月'!$B$382:$BQ$406,MATCH('2月'!B395,'1月'!$B$382:$B$406,0),67)+BN395</f>
        <v>59</v>
      </c>
      <c r="BQ395" s="253">
        <f>INDEX('1月'!$B$382:$BQ$406,MATCH('2月'!B395,'1月'!$B$382:$B$406,0),68)+BO395</f>
        <v>81</v>
      </c>
    </row>
    <row r="396" spans="2:69" s="6" customFormat="1" ht="50.1" customHeight="1">
      <c r="B396" s="211" t="s">
        <v>54</v>
      </c>
      <c r="C396" s="145"/>
      <c r="D396" s="58">
        <f>D258</f>
        <v>0</v>
      </c>
      <c r="E396" s="66">
        <f>E258</f>
        <v>0</v>
      </c>
      <c r="F396" s="628">
        <f>F258</f>
        <v>0</v>
      </c>
      <c r="G396" s="66">
        <f>G258</f>
        <v>0</v>
      </c>
      <c r="H396" s="628">
        <f>H258</f>
        <v>0</v>
      </c>
      <c r="I396" s="66">
        <f>I258</f>
        <v>0</v>
      </c>
      <c r="J396" s="628">
        <f>J258</f>
        <v>0</v>
      </c>
      <c r="K396" s="66">
        <f>K258</f>
        <v>0</v>
      </c>
      <c r="L396" s="628">
        <f>L258</f>
        <v>0</v>
      </c>
      <c r="M396" s="66">
        <f>M258</f>
        <v>0</v>
      </c>
      <c r="N396" s="628">
        <f>N258</f>
        <v>0</v>
      </c>
      <c r="O396" s="66">
        <f>O258</f>
        <v>0</v>
      </c>
      <c r="P396" s="628">
        <f>P258</f>
        <v>0</v>
      </c>
      <c r="Q396" s="66">
        <f>Q258</f>
        <v>0</v>
      </c>
      <c r="R396" s="628">
        <f>R258</f>
        <v>0</v>
      </c>
      <c r="S396" s="66">
        <f>S258</f>
        <v>0</v>
      </c>
      <c r="T396" s="628">
        <f>T258</f>
        <v>0</v>
      </c>
      <c r="U396" s="66">
        <f>U258</f>
        <v>0</v>
      </c>
      <c r="V396" s="628">
        <f>V258</f>
        <v>0</v>
      </c>
      <c r="W396" s="66">
        <f>W258</f>
        <v>0</v>
      </c>
      <c r="X396" s="628">
        <f>X258</f>
        <v>0</v>
      </c>
      <c r="Y396" s="66">
        <f>Y258</f>
        <v>0</v>
      </c>
      <c r="Z396" s="628">
        <f>Z258</f>
        <v>0</v>
      </c>
      <c r="AA396" s="66">
        <f>AA258</f>
        <v>0</v>
      </c>
      <c r="AB396" s="628">
        <f>AB258</f>
        <v>0</v>
      </c>
      <c r="AC396" s="66">
        <f>AC258</f>
        <v>0</v>
      </c>
      <c r="AD396" s="628">
        <f>AD258</f>
        <v>0</v>
      </c>
      <c r="AE396" s="66">
        <f>AE258</f>
        <v>0</v>
      </c>
      <c r="AF396" s="628">
        <f>AF258</f>
        <v>0</v>
      </c>
      <c r="AG396" s="232">
        <f>AG258</f>
        <v>0</v>
      </c>
      <c r="AH396" s="79">
        <f>AH258</f>
        <v>0</v>
      </c>
      <c r="AI396" s="66">
        <f>AI258</f>
        <v>0</v>
      </c>
      <c r="AJ396" s="628">
        <f>AJ258</f>
        <v>0</v>
      </c>
      <c r="AK396" s="66">
        <f>AK258</f>
        <v>0</v>
      </c>
      <c r="AL396" s="628">
        <f>AL258</f>
        <v>0</v>
      </c>
      <c r="AM396" s="66">
        <f>AM258</f>
        <v>0</v>
      </c>
      <c r="AN396" s="628">
        <f>AN258</f>
        <v>0</v>
      </c>
      <c r="AO396" s="66">
        <f>AO258</f>
        <v>0</v>
      </c>
      <c r="AP396" s="628">
        <f>AP258</f>
        <v>0</v>
      </c>
      <c r="AQ396" s="66">
        <f>AQ258</f>
        <v>0</v>
      </c>
      <c r="AR396" s="628">
        <f>AR258</f>
        <v>0</v>
      </c>
      <c r="AS396" s="66">
        <f>AS258</f>
        <v>0</v>
      </c>
      <c r="AT396" s="628">
        <f>AT258</f>
        <v>0</v>
      </c>
      <c r="AU396" s="66">
        <f>AU258</f>
        <v>0</v>
      </c>
      <c r="AV396" s="628">
        <f>AV258</f>
        <v>0</v>
      </c>
      <c r="AW396" s="66">
        <f>AW258</f>
        <v>0</v>
      </c>
      <c r="AX396" s="628">
        <f>AX258</f>
        <v>0</v>
      </c>
      <c r="AY396" s="66">
        <f>AY258</f>
        <v>0</v>
      </c>
      <c r="AZ396" s="628">
        <f>AZ258</f>
        <v>0</v>
      </c>
      <c r="BA396" s="66">
        <f>BA258</f>
        <v>0</v>
      </c>
      <c r="BB396" s="628">
        <f>BB258</f>
        <v>0</v>
      </c>
      <c r="BC396" s="66">
        <f>BC258</f>
        <v>0</v>
      </c>
      <c r="BD396" s="628">
        <f>BD258</f>
        <v>0</v>
      </c>
      <c r="BE396" s="66">
        <f>BE258</f>
        <v>0</v>
      </c>
      <c r="BF396" s="628">
        <f>BF258</f>
        <v>0</v>
      </c>
      <c r="BG396" s="66">
        <f>BG258</f>
        <v>0</v>
      </c>
      <c r="BH396" s="628">
        <f>BH258</f>
        <v>0</v>
      </c>
      <c r="BI396" s="66">
        <f>BI258</f>
        <v>0</v>
      </c>
      <c r="BJ396" s="628">
        <f>BJ258</f>
        <v>0</v>
      </c>
      <c r="BK396" s="232">
        <f>BK258</f>
        <v>0</v>
      </c>
      <c r="BL396" s="628">
        <f>BL258</f>
        <v>0</v>
      </c>
      <c r="BM396" s="232">
        <f>BM258</f>
        <v>0</v>
      </c>
      <c r="BN396" s="70">
        <f t="shared" si="60"/>
        <v>0</v>
      </c>
      <c r="BO396" s="73">
        <f t="shared" si="61"/>
        <v>0</v>
      </c>
      <c r="BP396" s="248">
        <f>INDEX('1月'!$B$382:$BQ$406,MATCH('2月'!B396,'1月'!$B$382:$B$406,0),67)+BN396</f>
        <v>2</v>
      </c>
      <c r="BQ396" s="249">
        <f>INDEX('1月'!$B$382:$BQ$406,MATCH('2月'!B396,'1月'!$B$382:$B$406,0),68)+BO396</f>
        <v>4</v>
      </c>
    </row>
    <row r="397" spans="2:69" s="6" customFormat="1" ht="50.1" customHeight="1">
      <c r="B397" s="212" t="s">
        <v>69</v>
      </c>
      <c r="C397" s="146"/>
      <c r="D397" s="59">
        <f>D292</f>
        <v>0</v>
      </c>
      <c r="E397" s="51">
        <f>E292</f>
        <v>0</v>
      </c>
      <c r="F397" s="57">
        <f>F292</f>
        <v>0</v>
      </c>
      <c r="G397" s="51">
        <f>G292</f>
        <v>0</v>
      </c>
      <c r="H397" s="57">
        <f>H292</f>
        <v>0</v>
      </c>
      <c r="I397" s="51">
        <f>I292</f>
        <v>0</v>
      </c>
      <c r="J397" s="57">
        <f>J292</f>
        <v>0</v>
      </c>
      <c r="K397" s="51">
        <f>K292</f>
        <v>0</v>
      </c>
      <c r="L397" s="57">
        <f>L292</f>
        <v>0</v>
      </c>
      <c r="M397" s="51">
        <f>M292</f>
        <v>0</v>
      </c>
      <c r="N397" s="57">
        <f>N292</f>
        <v>0</v>
      </c>
      <c r="O397" s="51">
        <f>O292</f>
        <v>0</v>
      </c>
      <c r="P397" s="57">
        <f>P292</f>
        <v>0</v>
      </c>
      <c r="Q397" s="51">
        <f>Q292</f>
        <v>0</v>
      </c>
      <c r="R397" s="57">
        <f>R292</f>
        <v>0</v>
      </c>
      <c r="S397" s="51">
        <f>S292</f>
        <v>0</v>
      </c>
      <c r="T397" s="57">
        <f>T292</f>
        <v>0</v>
      </c>
      <c r="U397" s="51">
        <f>U292</f>
        <v>0</v>
      </c>
      <c r="V397" s="57">
        <f>V292</f>
        <v>0</v>
      </c>
      <c r="W397" s="51">
        <f>W292</f>
        <v>0</v>
      </c>
      <c r="X397" s="57">
        <f>X292</f>
        <v>0</v>
      </c>
      <c r="Y397" s="51">
        <f>Y292</f>
        <v>0</v>
      </c>
      <c r="Z397" s="57">
        <f>Z292</f>
        <v>0</v>
      </c>
      <c r="AA397" s="51">
        <f>AA292</f>
        <v>0</v>
      </c>
      <c r="AB397" s="57">
        <f>AB292</f>
        <v>0</v>
      </c>
      <c r="AC397" s="51">
        <f>AC292</f>
        <v>0</v>
      </c>
      <c r="AD397" s="57">
        <f>AD292</f>
        <v>0</v>
      </c>
      <c r="AE397" s="51">
        <f>AE292</f>
        <v>0</v>
      </c>
      <c r="AF397" s="57">
        <f>AF292</f>
        <v>0</v>
      </c>
      <c r="AG397" s="604">
        <f>AG292</f>
        <v>0</v>
      </c>
      <c r="AH397" s="609">
        <f>AH292</f>
        <v>0</v>
      </c>
      <c r="AI397" s="607">
        <f>AI292</f>
        <v>0</v>
      </c>
      <c r="AJ397" s="57">
        <f>AJ292</f>
        <v>0</v>
      </c>
      <c r="AK397" s="51">
        <f>AK292</f>
        <v>0</v>
      </c>
      <c r="AL397" s="57">
        <f>AL292</f>
        <v>0</v>
      </c>
      <c r="AM397" s="51">
        <f>AM292</f>
        <v>0</v>
      </c>
      <c r="AN397" s="57">
        <f>AN292</f>
        <v>0</v>
      </c>
      <c r="AO397" s="51">
        <f>AO292</f>
        <v>0</v>
      </c>
      <c r="AP397" s="57">
        <f>AP292</f>
        <v>0</v>
      </c>
      <c r="AQ397" s="51">
        <f>AQ292</f>
        <v>0</v>
      </c>
      <c r="AR397" s="57">
        <f>AR292</f>
        <v>0</v>
      </c>
      <c r="AS397" s="51">
        <f>AS292</f>
        <v>0</v>
      </c>
      <c r="AT397" s="57">
        <f>AT292</f>
        <v>0</v>
      </c>
      <c r="AU397" s="51">
        <f>AU292</f>
        <v>0</v>
      </c>
      <c r="AV397" s="57">
        <f>AV292</f>
        <v>0</v>
      </c>
      <c r="AW397" s="51">
        <f>AW292</f>
        <v>0</v>
      </c>
      <c r="AX397" s="57">
        <f>AX292</f>
        <v>0</v>
      </c>
      <c r="AY397" s="51">
        <f>AY292</f>
        <v>0</v>
      </c>
      <c r="AZ397" s="57">
        <f>AZ292</f>
        <v>0</v>
      </c>
      <c r="BA397" s="51">
        <f>BA292</f>
        <v>0</v>
      </c>
      <c r="BB397" s="57">
        <f>BB292</f>
        <v>0</v>
      </c>
      <c r="BC397" s="51">
        <f>BC292</f>
        <v>0</v>
      </c>
      <c r="BD397" s="57">
        <f>BD292</f>
        <v>0</v>
      </c>
      <c r="BE397" s="51">
        <f>BE292</f>
        <v>0</v>
      </c>
      <c r="BF397" s="57">
        <f>BF292</f>
        <v>0</v>
      </c>
      <c r="BG397" s="51">
        <f>BG292</f>
        <v>0</v>
      </c>
      <c r="BH397" s="57">
        <f>BH292</f>
        <v>0</v>
      </c>
      <c r="BI397" s="51">
        <f>BI292</f>
        <v>0</v>
      </c>
      <c r="BJ397" s="57">
        <f>BJ292</f>
        <v>0</v>
      </c>
      <c r="BK397" s="56">
        <f>BK292</f>
        <v>0</v>
      </c>
      <c r="BL397" s="57">
        <f>BL292</f>
        <v>0</v>
      </c>
      <c r="BM397" s="56">
        <f>BM292</f>
        <v>0</v>
      </c>
      <c r="BN397" s="70">
        <f t="shared" si="60"/>
        <v>0</v>
      </c>
      <c r="BO397" s="73">
        <f t="shared" si="61"/>
        <v>0</v>
      </c>
      <c r="BP397" s="248">
        <f>INDEX('1月'!$B$382:$BQ$406,MATCH('2月'!B397,'1月'!$B$382:$B$406,0),67)+BN397</f>
        <v>9</v>
      </c>
      <c r="BQ397" s="250">
        <f>INDEX('1月'!$B$382:$BQ$406,MATCH('2月'!B397,'1月'!$B$382:$B$406,0),68)+BO397</f>
        <v>14</v>
      </c>
    </row>
    <row r="398" spans="2:69" s="6" customFormat="1" ht="50.1" customHeight="1">
      <c r="B398" s="212" t="s">
        <v>147</v>
      </c>
      <c r="C398" s="146"/>
      <c r="D398" s="59">
        <f>D327</f>
        <v>0</v>
      </c>
      <c r="E398" s="51">
        <f>E327</f>
        <v>0</v>
      </c>
      <c r="F398" s="57">
        <f>F327</f>
        <v>0</v>
      </c>
      <c r="G398" s="51">
        <f>G327</f>
        <v>0</v>
      </c>
      <c r="H398" s="57">
        <f>H327</f>
        <v>0</v>
      </c>
      <c r="I398" s="51">
        <f>I327</f>
        <v>0</v>
      </c>
      <c r="J398" s="57">
        <f>J327</f>
        <v>0</v>
      </c>
      <c r="K398" s="51">
        <f>K327</f>
        <v>0</v>
      </c>
      <c r="L398" s="57">
        <f>L327</f>
        <v>0</v>
      </c>
      <c r="M398" s="51">
        <f>M327</f>
        <v>0</v>
      </c>
      <c r="N398" s="57">
        <f>N327</f>
        <v>0</v>
      </c>
      <c r="O398" s="51">
        <f>O327</f>
        <v>0</v>
      </c>
      <c r="P398" s="57">
        <f>P327</f>
        <v>0</v>
      </c>
      <c r="Q398" s="51">
        <f>Q327</f>
        <v>0</v>
      </c>
      <c r="R398" s="57">
        <f>R327</f>
        <v>0</v>
      </c>
      <c r="S398" s="51">
        <f>S327</f>
        <v>0</v>
      </c>
      <c r="T398" s="57">
        <f>T327</f>
        <v>0</v>
      </c>
      <c r="U398" s="51">
        <f>U327</f>
        <v>0</v>
      </c>
      <c r="V398" s="57">
        <f>V327</f>
        <v>0</v>
      </c>
      <c r="W398" s="51">
        <f>W327</f>
        <v>0</v>
      </c>
      <c r="X398" s="57">
        <f>X327</f>
        <v>0</v>
      </c>
      <c r="Y398" s="51">
        <f>Y327</f>
        <v>0</v>
      </c>
      <c r="Z398" s="57">
        <f>Z327</f>
        <v>0</v>
      </c>
      <c r="AA398" s="51">
        <f>AA327</f>
        <v>0</v>
      </c>
      <c r="AB398" s="57">
        <f>AB327</f>
        <v>0</v>
      </c>
      <c r="AC398" s="51">
        <f>AC327</f>
        <v>0</v>
      </c>
      <c r="AD398" s="57">
        <f>AD327</f>
        <v>0</v>
      </c>
      <c r="AE398" s="51">
        <f>AE327</f>
        <v>0</v>
      </c>
      <c r="AF398" s="57">
        <f>AF327</f>
        <v>0</v>
      </c>
      <c r="AG398" s="604">
        <f>AG327</f>
        <v>0</v>
      </c>
      <c r="AH398" s="609">
        <f>AH327</f>
        <v>0</v>
      </c>
      <c r="AI398" s="607">
        <f>AI327</f>
        <v>0</v>
      </c>
      <c r="AJ398" s="57">
        <f>AJ327</f>
        <v>0</v>
      </c>
      <c r="AK398" s="51">
        <f>AK327</f>
        <v>0</v>
      </c>
      <c r="AL398" s="57">
        <f>AL327</f>
        <v>0</v>
      </c>
      <c r="AM398" s="51">
        <f>AM327</f>
        <v>0</v>
      </c>
      <c r="AN398" s="57">
        <f>AN327</f>
        <v>0</v>
      </c>
      <c r="AO398" s="51">
        <f>AO327</f>
        <v>0</v>
      </c>
      <c r="AP398" s="57">
        <f>AP327</f>
        <v>0</v>
      </c>
      <c r="AQ398" s="51">
        <f>AQ327</f>
        <v>0</v>
      </c>
      <c r="AR398" s="57">
        <f>AR327</f>
        <v>0</v>
      </c>
      <c r="AS398" s="51">
        <f>AS327</f>
        <v>0</v>
      </c>
      <c r="AT398" s="57">
        <f>AT327</f>
        <v>0</v>
      </c>
      <c r="AU398" s="51">
        <f>AU327</f>
        <v>0</v>
      </c>
      <c r="AV398" s="57">
        <f>AV327</f>
        <v>0</v>
      </c>
      <c r="AW398" s="51">
        <f>AW327</f>
        <v>0</v>
      </c>
      <c r="AX398" s="57">
        <f>AX327</f>
        <v>0</v>
      </c>
      <c r="AY398" s="51">
        <f>AY327</f>
        <v>0</v>
      </c>
      <c r="AZ398" s="57">
        <f>AZ327</f>
        <v>0</v>
      </c>
      <c r="BA398" s="51">
        <f>BA327</f>
        <v>0</v>
      </c>
      <c r="BB398" s="57">
        <f>BB327</f>
        <v>0</v>
      </c>
      <c r="BC398" s="51">
        <f>BC327</f>
        <v>0</v>
      </c>
      <c r="BD398" s="57">
        <f>BD327</f>
        <v>0</v>
      </c>
      <c r="BE398" s="51">
        <f>BE327</f>
        <v>0</v>
      </c>
      <c r="BF398" s="57">
        <f>BF327</f>
        <v>0</v>
      </c>
      <c r="BG398" s="51">
        <f>BG327</f>
        <v>0</v>
      </c>
      <c r="BH398" s="57">
        <f>BH327</f>
        <v>0</v>
      </c>
      <c r="BI398" s="51">
        <f>BI327</f>
        <v>0</v>
      </c>
      <c r="BJ398" s="57">
        <f>BJ327</f>
        <v>0</v>
      </c>
      <c r="BK398" s="56">
        <f>BK327</f>
        <v>0</v>
      </c>
      <c r="BL398" s="57">
        <f>BL327</f>
        <v>0</v>
      </c>
      <c r="BM398" s="56">
        <f>BM327</f>
        <v>0</v>
      </c>
      <c r="BN398" s="70">
        <f t="shared" si="60"/>
        <v>0</v>
      </c>
      <c r="BO398" s="73">
        <f t="shared" si="61"/>
        <v>0</v>
      </c>
      <c r="BP398" s="248">
        <f>INDEX('1月'!$B$382:$BQ$406,MATCH('2月'!B398,'1月'!$B$382:$B$406,0),67)+BN398</f>
        <v>4</v>
      </c>
      <c r="BQ398" s="250">
        <f>INDEX('1月'!$B$382:$BQ$406,MATCH('2月'!B398,'1月'!$B$382:$B$406,0),68)+BO398</f>
        <v>6</v>
      </c>
    </row>
    <row r="399" spans="2:69" s="6" customFormat="1" ht="50.1" customHeight="1">
      <c r="B399" s="212" t="s">
        <v>49</v>
      </c>
      <c r="C399" s="146"/>
      <c r="D399" s="60">
        <f>D343</f>
        <v>0</v>
      </c>
      <c r="E399" s="61">
        <f>E343</f>
        <v>0</v>
      </c>
      <c r="F399" s="57">
        <f>F343</f>
        <v>0</v>
      </c>
      <c r="G399" s="51">
        <f>G343</f>
        <v>0</v>
      </c>
      <c r="H399" s="57">
        <f>H343</f>
        <v>0</v>
      </c>
      <c r="I399" s="51">
        <f>I343</f>
        <v>0</v>
      </c>
      <c r="J399" s="57">
        <f>J343</f>
        <v>0</v>
      </c>
      <c r="K399" s="51">
        <f>K343</f>
        <v>0</v>
      </c>
      <c r="L399" s="57">
        <f>L343</f>
        <v>0</v>
      </c>
      <c r="M399" s="51">
        <f>M343</f>
        <v>0</v>
      </c>
      <c r="N399" s="57">
        <f>N343</f>
        <v>0</v>
      </c>
      <c r="O399" s="51">
        <f>O343</f>
        <v>0</v>
      </c>
      <c r="P399" s="57">
        <f>P343</f>
        <v>0</v>
      </c>
      <c r="Q399" s="51">
        <f>Q343</f>
        <v>0</v>
      </c>
      <c r="R399" s="57">
        <f>R343</f>
        <v>0</v>
      </c>
      <c r="S399" s="51">
        <f>S343</f>
        <v>0</v>
      </c>
      <c r="T399" s="57">
        <f>T343</f>
        <v>0</v>
      </c>
      <c r="U399" s="51">
        <f>U343</f>
        <v>0</v>
      </c>
      <c r="V399" s="57">
        <f>V343</f>
        <v>0</v>
      </c>
      <c r="W399" s="51">
        <f>W343</f>
        <v>0</v>
      </c>
      <c r="X399" s="57">
        <f>X343</f>
        <v>0</v>
      </c>
      <c r="Y399" s="51">
        <f>Y343</f>
        <v>0</v>
      </c>
      <c r="Z399" s="57">
        <f>Z343</f>
        <v>0</v>
      </c>
      <c r="AA399" s="51">
        <f>AA343</f>
        <v>0</v>
      </c>
      <c r="AB399" s="57">
        <f>AB343</f>
        <v>0</v>
      </c>
      <c r="AC399" s="51">
        <f>AC343</f>
        <v>0</v>
      </c>
      <c r="AD399" s="57">
        <f>AD343</f>
        <v>0</v>
      </c>
      <c r="AE399" s="51">
        <f>AE343</f>
        <v>0</v>
      </c>
      <c r="AF399" s="57">
        <f>AF343</f>
        <v>0</v>
      </c>
      <c r="AG399" s="604">
        <f>AG343</f>
        <v>0</v>
      </c>
      <c r="AH399" s="610">
        <f>AH343</f>
        <v>0</v>
      </c>
      <c r="AI399" s="611">
        <f>AI343</f>
        <v>0</v>
      </c>
      <c r="AJ399" s="57">
        <f>AJ343</f>
        <v>0</v>
      </c>
      <c r="AK399" s="51">
        <f>AK343</f>
        <v>0</v>
      </c>
      <c r="AL399" s="57">
        <f>AL343</f>
        <v>0</v>
      </c>
      <c r="AM399" s="51">
        <f>AM343</f>
        <v>0</v>
      </c>
      <c r="AN399" s="57">
        <f>AN343</f>
        <v>0</v>
      </c>
      <c r="AO399" s="51">
        <f>AO343</f>
        <v>0</v>
      </c>
      <c r="AP399" s="57">
        <f>AP343</f>
        <v>0</v>
      </c>
      <c r="AQ399" s="51">
        <f>AQ343</f>
        <v>0</v>
      </c>
      <c r="AR399" s="57">
        <f>AR343</f>
        <v>0</v>
      </c>
      <c r="AS399" s="51">
        <f>AS343</f>
        <v>0</v>
      </c>
      <c r="AT399" s="57">
        <f>AT343</f>
        <v>0</v>
      </c>
      <c r="AU399" s="51">
        <f>AU343</f>
        <v>0</v>
      </c>
      <c r="AV399" s="57">
        <f>AV343</f>
        <v>0</v>
      </c>
      <c r="AW399" s="51">
        <f>AW343</f>
        <v>0</v>
      </c>
      <c r="AX399" s="57">
        <f>AX343</f>
        <v>0</v>
      </c>
      <c r="AY399" s="51">
        <f>AY343</f>
        <v>0</v>
      </c>
      <c r="AZ399" s="57">
        <f>AZ343</f>
        <v>0</v>
      </c>
      <c r="BA399" s="51">
        <f>BA343</f>
        <v>0</v>
      </c>
      <c r="BB399" s="57">
        <f>BB343</f>
        <v>0</v>
      </c>
      <c r="BC399" s="51">
        <f>BC343</f>
        <v>0</v>
      </c>
      <c r="BD399" s="57">
        <f>BD343</f>
        <v>0</v>
      </c>
      <c r="BE399" s="51">
        <f>BE343</f>
        <v>0</v>
      </c>
      <c r="BF399" s="57">
        <f>BF343</f>
        <v>0</v>
      </c>
      <c r="BG399" s="51">
        <f>BG343</f>
        <v>0</v>
      </c>
      <c r="BH399" s="57">
        <f>BH343</f>
        <v>0</v>
      </c>
      <c r="BI399" s="51">
        <f>BI343</f>
        <v>0</v>
      </c>
      <c r="BJ399" s="57">
        <f>BJ343</f>
        <v>0</v>
      </c>
      <c r="BK399" s="56">
        <f>BK343</f>
        <v>0</v>
      </c>
      <c r="BL399" s="57">
        <f>BL343</f>
        <v>0</v>
      </c>
      <c r="BM399" s="56">
        <f>BM343</f>
        <v>0</v>
      </c>
      <c r="BN399" s="70">
        <f t="shared" si="60"/>
        <v>0</v>
      </c>
      <c r="BO399" s="73">
        <f t="shared" si="61"/>
        <v>0</v>
      </c>
      <c r="BP399" s="248">
        <f>INDEX('1月'!$B$382:$BQ$406,MATCH('2月'!B399,'1月'!$B$382:$B$406,0),67)+BN399</f>
        <v>3</v>
      </c>
      <c r="BQ399" s="250">
        <f>INDEX('1月'!$B$382:$BQ$406,MATCH('2月'!B399,'1月'!$B$382:$B$406,0),68)+BO399</f>
        <v>5</v>
      </c>
    </row>
    <row r="400" spans="2:69" s="6" customFormat="1" ht="50.1" customHeight="1">
      <c r="B400" s="212" t="s">
        <v>95</v>
      </c>
      <c r="C400" s="146"/>
      <c r="D400" s="102">
        <f t="shared" ref="D400:BM400" si="63">D365</f>
        <v>0</v>
      </c>
      <c r="E400" s="51">
        <f t="shared" si="63"/>
        <v>0</v>
      </c>
      <c r="F400" s="57">
        <f t="shared" si="63"/>
        <v>0</v>
      </c>
      <c r="G400" s="51">
        <f t="shared" si="63"/>
        <v>0</v>
      </c>
      <c r="H400" s="57">
        <f t="shared" si="63"/>
        <v>0</v>
      </c>
      <c r="I400" s="51">
        <f t="shared" si="63"/>
        <v>0</v>
      </c>
      <c r="J400" s="57">
        <f t="shared" si="63"/>
        <v>0</v>
      </c>
      <c r="K400" s="51">
        <f t="shared" si="63"/>
        <v>0</v>
      </c>
      <c r="L400" s="57">
        <f t="shared" si="63"/>
        <v>0</v>
      </c>
      <c r="M400" s="51">
        <f t="shared" si="63"/>
        <v>0</v>
      </c>
      <c r="N400" s="57">
        <f t="shared" si="63"/>
        <v>0</v>
      </c>
      <c r="O400" s="51">
        <f t="shared" si="63"/>
        <v>0</v>
      </c>
      <c r="P400" s="57">
        <f t="shared" si="63"/>
        <v>0</v>
      </c>
      <c r="Q400" s="51">
        <f t="shared" si="63"/>
        <v>0</v>
      </c>
      <c r="R400" s="57">
        <f t="shared" si="63"/>
        <v>0</v>
      </c>
      <c r="S400" s="51">
        <f t="shared" si="63"/>
        <v>0</v>
      </c>
      <c r="T400" s="57">
        <f t="shared" si="63"/>
        <v>0</v>
      </c>
      <c r="U400" s="51">
        <f t="shared" si="63"/>
        <v>0</v>
      </c>
      <c r="V400" s="57">
        <f t="shared" si="63"/>
        <v>0</v>
      </c>
      <c r="W400" s="51">
        <f t="shared" si="63"/>
        <v>0</v>
      </c>
      <c r="X400" s="57">
        <f t="shared" si="63"/>
        <v>0</v>
      </c>
      <c r="Y400" s="51">
        <f t="shared" si="63"/>
        <v>0</v>
      </c>
      <c r="Z400" s="57">
        <f t="shared" si="63"/>
        <v>0</v>
      </c>
      <c r="AA400" s="51">
        <f t="shared" si="63"/>
        <v>0</v>
      </c>
      <c r="AB400" s="57">
        <f t="shared" si="63"/>
        <v>0</v>
      </c>
      <c r="AC400" s="51">
        <f t="shared" si="63"/>
        <v>0</v>
      </c>
      <c r="AD400" s="57">
        <f t="shared" si="63"/>
        <v>0</v>
      </c>
      <c r="AE400" s="51">
        <f t="shared" si="63"/>
        <v>0</v>
      </c>
      <c r="AF400" s="57">
        <f t="shared" si="63"/>
        <v>0</v>
      </c>
      <c r="AG400" s="604">
        <f t="shared" si="63"/>
        <v>0</v>
      </c>
      <c r="AH400" s="609">
        <f t="shared" si="63"/>
        <v>0</v>
      </c>
      <c r="AI400" s="607">
        <f t="shared" si="63"/>
        <v>0</v>
      </c>
      <c r="AJ400" s="57">
        <f t="shared" si="63"/>
        <v>0</v>
      </c>
      <c r="AK400" s="51">
        <f t="shared" si="63"/>
        <v>0</v>
      </c>
      <c r="AL400" s="57">
        <f t="shared" si="63"/>
        <v>0</v>
      </c>
      <c r="AM400" s="51">
        <f t="shared" si="63"/>
        <v>0</v>
      </c>
      <c r="AN400" s="57">
        <f t="shared" si="63"/>
        <v>0</v>
      </c>
      <c r="AO400" s="51">
        <f t="shared" si="63"/>
        <v>0</v>
      </c>
      <c r="AP400" s="57">
        <f t="shared" si="63"/>
        <v>0</v>
      </c>
      <c r="AQ400" s="51">
        <f t="shared" si="63"/>
        <v>0</v>
      </c>
      <c r="AR400" s="57">
        <f t="shared" si="63"/>
        <v>0</v>
      </c>
      <c r="AS400" s="51">
        <f t="shared" si="63"/>
        <v>0</v>
      </c>
      <c r="AT400" s="57">
        <f t="shared" si="63"/>
        <v>0</v>
      </c>
      <c r="AU400" s="51">
        <f t="shared" si="63"/>
        <v>0</v>
      </c>
      <c r="AV400" s="57">
        <f t="shared" si="63"/>
        <v>0</v>
      </c>
      <c r="AW400" s="51">
        <f t="shared" si="63"/>
        <v>0</v>
      </c>
      <c r="AX400" s="57">
        <f t="shared" si="63"/>
        <v>0</v>
      </c>
      <c r="AY400" s="51">
        <f t="shared" si="63"/>
        <v>0</v>
      </c>
      <c r="AZ400" s="57">
        <f t="shared" si="63"/>
        <v>0</v>
      </c>
      <c r="BA400" s="51">
        <f t="shared" si="63"/>
        <v>0</v>
      </c>
      <c r="BB400" s="57">
        <f t="shared" si="63"/>
        <v>0</v>
      </c>
      <c r="BC400" s="51">
        <f t="shared" si="63"/>
        <v>0</v>
      </c>
      <c r="BD400" s="57">
        <f t="shared" si="63"/>
        <v>0</v>
      </c>
      <c r="BE400" s="51">
        <f t="shared" si="63"/>
        <v>0</v>
      </c>
      <c r="BF400" s="57">
        <f t="shared" si="63"/>
        <v>0</v>
      </c>
      <c r="BG400" s="51">
        <f t="shared" si="63"/>
        <v>0</v>
      </c>
      <c r="BH400" s="57">
        <f t="shared" si="63"/>
        <v>0</v>
      </c>
      <c r="BI400" s="51">
        <f t="shared" si="63"/>
        <v>0</v>
      </c>
      <c r="BJ400" s="57">
        <f t="shared" si="63"/>
        <v>0</v>
      </c>
      <c r="BK400" s="56">
        <f t="shared" si="63"/>
        <v>0</v>
      </c>
      <c r="BL400" s="57">
        <f t="shared" si="63"/>
        <v>0</v>
      </c>
      <c r="BM400" s="56">
        <f t="shared" si="63"/>
        <v>0</v>
      </c>
      <c r="BN400" s="70">
        <f t="shared" si="60"/>
        <v>0</v>
      </c>
      <c r="BO400" s="73">
        <f t="shared" si="61"/>
        <v>0</v>
      </c>
      <c r="BP400" s="248">
        <f>INDEX('1月'!$B$382:$BQ$406,MATCH('2月'!B400,'1月'!$B$382:$B$406,0),67)+BN400</f>
        <v>1</v>
      </c>
      <c r="BQ400" s="250">
        <f>INDEX('1月'!$B$382:$BQ$406,MATCH('2月'!B400,'1月'!$B$382:$B$406,0),68)+BO400</f>
        <v>2</v>
      </c>
    </row>
    <row r="401" spans="2:69" s="6" customFormat="1" ht="50.1" customHeight="1">
      <c r="B401" s="212" t="s">
        <v>59</v>
      </c>
      <c r="C401" s="146"/>
      <c r="D401" s="59">
        <f t="shared" ref="D401:BM401" si="64">D376</f>
        <v>0</v>
      </c>
      <c r="E401" s="51">
        <f t="shared" si="64"/>
        <v>0</v>
      </c>
      <c r="F401" s="57">
        <f t="shared" si="64"/>
        <v>0</v>
      </c>
      <c r="G401" s="51">
        <f t="shared" si="64"/>
        <v>0</v>
      </c>
      <c r="H401" s="57">
        <f t="shared" si="64"/>
        <v>0</v>
      </c>
      <c r="I401" s="51">
        <f t="shared" si="64"/>
        <v>0</v>
      </c>
      <c r="J401" s="57">
        <f t="shared" si="64"/>
        <v>0</v>
      </c>
      <c r="K401" s="51">
        <f t="shared" si="64"/>
        <v>0</v>
      </c>
      <c r="L401" s="57">
        <f t="shared" si="64"/>
        <v>0</v>
      </c>
      <c r="M401" s="51">
        <f t="shared" si="64"/>
        <v>0</v>
      </c>
      <c r="N401" s="57">
        <f t="shared" si="64"/>
        <v>0</v>
      </c>
      <c r="O401" s="51">
        <f t="shared" si="64"/>
        <v>0</v>
      </c>
      <c r="P401" s="57">
        <f t="shared" si="64"/>
        <v>0</v>
      </c>
      <c r="Q401" s="51">
        <f t="shared" si="64"/>
        <v>0</v>
      </c>
      <c r="R401" s="57">
        <f t="shared" si="64"/>
        <v>0</v>
      </c>
      <c r="S401" s="51">
        <f t="shared" si="64"/>
        <v>0</v>
      </c>
      <c r="T401" s="57">
        <f t="shared" si="64"/>
        <v>0</v>
      </c>
      <c r="U401" s="51">
        <f t="shared" si="64"/>
        <v>0</v>
      </c>
      <c r="V401" s="57">
        <f t="shared" si="64"/>
        <v>0</v>
      </c>
      <c r="W401" s="51">
        <f t="shared" si="64"/>
        <v>0</v>
      </c>
      <c r="X401" s="57">
        <f t="shared" si="64"/>
        <v>0</v>
      </c>
      <c r="Y401" s="51">
        <f t="shared" si="64"/>
        <v>0</v>
      </c>
      <c r="Z401" s="57">
        <f t="shared" si="64"/>
        <v>0</v>
      </c>
      <c r="AA401" s="51">
        <f t="shared" si="64"/>
        <v>0</v>
      </c>
      <c r="AB401" s="57">
        <f t="shared" si="64"/>
        <v>0</v>
      </c>
      <c r="AC401" s="51">
        <f t="shared" si="64"/>
        <v>0</v>
      </c>
      <c r="AD401" s="57">
        <f t="shared" si="64"/>
        <v>0</v>
      </c>
      <c r="AE401" s="51">
        <f t="shared" si="64"/>
        <v>0</v>
      </c>
      <c r="AF401" s="57">
        <f t="shared" si="64"/>
        <v>0</v>
      </c>
      <c r="AG401" s="604">
        <f t="shared" si="64"/>
        <v>0</v>
      </c>
      <c r="AH401" s="609">
        <f t="shared" si="64"/>
        <v>0</v>
      </c>
      <c r="AI401" s="607">
        <f t="shared" si="64"/>
        <v>0</v>
      </c>
      <c r="AJ401" s="57">
        <f t="shared" si="64"/>
        <v>0</v>
      </c>
      <c r="AK401" s="51">
        <f t="shared" si="64"/>
        <v>0</v>
      </c>
      <c r="AL401" s="57">
        <f t="shared" si="64"/>
        <v>0</v>
      </c>
      <c r="AM401" s="51">
        <f t="shared" si="64"/>
        <v>0</v>
      </c>
      <c r="AN401" s="57">
        <f t="shared" si="64"/>
        <v>0</v>
      </c>
      <c r="AO401" s="51">
        <f t="shared" si="64"/>
        <v>0</v>
      </c>
      <c r="AP401" s="57">
        <f t="shared" si="64"/>
        <v>0</v>
      </c>
      <c r="AQ401" s="51">
        <f t="shared" si="64"/>
        <v>0</v>
      </c>
      <c r="AR401" s="57">
        <f t="shared" si="64"/>
        <v>0</v>
      </c>
      <c r="AS401" s="51">
        <f t="shared" si="64"/>
        <v>0</v>
      </c>
      <c r="AT401" s="57">
        <f t="shared" si="64"/>
        <v>0</v>
      </c>
      <c r="AU401" s="51">
        <f t="shared" si="64"/>
        <v>0</v>
      </c>
      <c r="AV401" s="57">
        <f t="shared" si="64"/>
        <v>0</v>
      </c>
      <c r="AW401" s="51">
        <f t="shared" si="64"/>
        <v>0</v>
      </c>
      <c r="AX401" s="57">
        <f t="shared" si="64"/>
        <v>0</v>
      </c>
      <c r="AY401" s="51">
        <f t="shared" si="64"/>
        <v>0</v>
      </c>
      <c r="AZ401" s="57">
        <f t="shared" si="64"/>
        <v>0</v>
      </c>
      <c r="BA401" s="51">
        <f t="shared" si="64"/>
        <v>0</v>
      </c>
      <c r="BB401" s="57">
        <f t="shared" si="64"/>
        <v>0</v>
      </c>
      <c r="BC401" s="51">
        <f t="shared" si="64"/>
        <v>0</v>
      </c>
      <c r="BD401" s="57">
        <f t="shared" si="64"/>
        <v>0</v>
      </c>
      <c r="BE401" s="51">
        <f t="shared" si="64"/>
        <v>0</v>
      </c>
      <c r="BF401" s="57">
        <f t="shared" si="64"/>
        <v>0</v>
      </c>
      <c r="BG401" s="51">
        <f t="shared" si="64"/>
        <v>0</v>
      </c>
      <c r="BH401" s="57">
        <f t="shared" si="64"/>
        <v>0</v>
      </c>
      <c r="BI401" s="51">
        <f t="shared" si="64"/>
        <v>0</v>
      </c>
      <c r="BJ401" s="57">
        <f t="shared" si="64"/>
        <v>0</v>
      </c>
      <c r="BK401" s="56">
        <f t="shared" si="64"/>
        <v>0</v>
      </c>
      <c r="BL401" s="57">
        <f t="shared" si="64"/>
        <v>0</v>
      </c>
      <c r="BM401" s="56">
        <f t="shared" si="64"/>
        <v>0</v>
      </c>
      <c r="BN401" s="70">
        <f t="shared" si="60"/>
        <v>0</v>
      </c>
      <c r="BO401" s="73">
        <f t="shared" si="61"/>
        <v>0</v>
      </c>
      <c r="BP401" s="248">
        <f>INDEX('1月'!$B$382:$BQ$406,MATCH('2月'!B401,'1月'!$B$382:$B$406,0),67)+BN401</f>
        <v>0</v>
      </c>
      <c r="BQ401" s="250">
        <f>INDEX('1月'!$B$382:$BQ$406,MATCH('2月'!B401,'1月'!$B$382:$B$406,0),68)+BO401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04"/>
      <c r="AH402" s="609"/>
      <c r="AI402" s="607"/>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78"/>
      <c r="BK402" s="56"/>
      <c r="BL402" s="78"/>
      <c r="BM402" s="51"/>
      <c r="BN402" s="70">
        <f t="shared" si="60"/>
        <v>0</v>
      </c>
      <c r="BO402" s="73">
        <f t="shared" si="61"/>
        <v>0</v>
      </c>
      <c r="BP402" s="248">
        <f>INDEX('1月'!$B$382:$BQ$406,MATCH('2月'!B402,'1月'!$B$382:$B$406,0),67)+BN402</f>
        <v>0</v>
      </c>
      <c r="BQ402" s="250">
        <f>INDEX('1月'!$B$382:$BQ$406,MATCH('2月'!B402,'1月'!$B$382:$B$406,0),68)+BO402</f>
        <v>0</v>
      </c>
    </row>
    <row r="403" spans="2:69" s="6" customFormat="1" ht="50.1" customHeight="1" thickBot="1">
      <c r="B403" s="625" t="s">
        <v>99</v>
      </c>
      <c r="C403" s="591"/>
      <c r="D403" s="626"/>
      <c r="E403" s="611"/>
      <c r="F403" s="626"/>
      <c r="G403" s="611"/>
      <c r="H403" s="626"/>
      <c r="I403" s="611"/>
      <c r="J403" s="626"/>
      <c r="K403" s="611"/>
      <c r="L403" s="626"/>
      <c r="M403" s="611"/>
      <c r="N403" s="626"/>
      <c r="O403" s="611"/>
      <c r="P403" s="626"/>
      <c r="Q403" s="611"/>
      <c r="R403" s="626"/>
      <c r="S403" s="611"/>
      <c r="T403" s="626"/>
      <c r="U403" s="611"/>
      <c r="V403" s="626"/>
      <c r="W403" s="611"/>
      <c r="X403" s="626"/>
      <c r="Y403" s="611"/>
      <c r="Z403" s="626"/>
      <c r="AA403" s="611"/>
      <c r="AB403" s="626"/>
      <c r="AC403" s="611"/>
      <c r="AD403" s="626"/>
      <c r="AE403" s="611"/>
      <c r="AF403" s="626"/>
      <c r="AG403" s="605"/>
      <c r="AH403" s="610"/>
      <c r="AI403" s="611"/>
      <c r="AJ403" s="626"/>
      <c r="AK403" s="611"/>
      <c r="AL403" s="626"/>
      <c r="AM403" s="611"/>
      <c r="AN403" s="626"/>
      <c r="AO403" s="611"/>
      <c r="AP403" s="626"/>
      <c r="AQ403" s="611"/>
      <c r="AR403" s="626"/>
      <c r="AS403" s="611"/>
      <c r="AT403" s="626"/>
      <c r="AU403" s="611"/>
      <c r="AV403" s="626"/>
      <c r="AW403" s="611"/>
      <c r="AX403" s="626"/>
      <c r="AY403" s="611"/>
      <c r="AZ403" s="626"/>
      <c r="BA403" s="611"/>
      <c r="BB403" s="626"/>
      <c r="BC403" s="611"/>
      <c r="BD403" s="626"/>
      <c r="BE403" s="611"/>
      <c r="BF403" s="626"/>
      <c r="BG403" s="611"/>
      <c r="BH403" s="626"/>
      <c r="BI403" s="611"/>
      <c r="BJ403" s="626"/>
      <c r="BK403" s="611"/>
      <c r="BL403" s="626"/>
      <c r="BM403" s="611"/>
      <c r="BN403" s="70">
        <f t="shared" si="60"/>
        <v>0</v>
      </c>
      <c r="BO403" s="73">
        <f t="shared" si="61"/>
        <v>0</v>
      </c>
      <c r="BP403" s="251">
        <f>INDEX('1月'!$B$382:$BQ$406,MATCH('2月'!B403,'1月'!$B$382:$B$406,0),67)+BN403</f>
        <v>0</v>
      </c>
      <c r="BQ403" s="627">
        <f>INDEX('1月'!$B$382:$BQ$406,MATCH('2月'!B403,'1月'!$B$382:$B$406,0),68)+BO403</f>
        <v>0</v>
      </c>
    </row>
    <row r="404" spans="2:69" s="6" customFormat="1" ht="50.1" customHeight="1" thickBot="1">
      <c r="B404" s="214" t="s">
        <v>203</v>
      </c>
      <c r="C404" s="149"/>
      <c r="D404" s="29">
        <f>SUM(D396:D403)</f>
        <v>0</v>
      </c>
      <c r="E404" s="31">
        <f t="shared" ref="E404:AE404" si="65">SUM(E396:E403)</f>
        <v>0</v>
      </c>
      <c r="F404" s="29">
        <f t="shared" si="65"/>
        <v>0</v>
      </c>
      <c r="G404" s="31">
        <f t="shared" si="65"/>
        <v>0</v>
      </c>
      <c r="H404" s="29">
        <f>SUM(H396:H403)</f>
        <v>0</v>
      </c>
      <c r="I404" s="31">
        <f t="shared" si="65"/>
        <v>0</v>
      </c>
      <c r="J404" s="29">
        <f t="shared" si="65"/>
        <v>0</v>
      </c>
      <c r="K404" s="31">
        <f t="shared" si="65"/>
        <v>0</v>
      </c>
      <c r="L404" s="29">
        <f t="shared" si="65"/>
        <v>0</v>
      </c>
      <c r="M404" s="31">
        <f t="shared" si="65"/>
        <v>0</v>
      </c>
      <c r="N404" s="29">
        <f t="shared" si="65"/>
        <v>0</v>
      </c>
      <c r="O404" s="31">
        <f t="shared" si="65"/>
        <v>0</v>
      </c>
      <c r="P404" s="29">
        <f t="shared" si="65"/>
        <v>0</v>
      </c>
      <c r="Q404" s="31">
        <f t="shared" si="65"/>
        <v>0</v>
      </c>
      <c r="R404" s="29">
        <f t="shared" si="65"/>
        <v>0</v>
      </c>
      <c r="S404" s="31">
        <f t="shared" si="65"/>
        <v>0</v>
      </c>
      <c r="T404" s="29">
        <f t="shared" si="65"/>
        <v>0</v>
      </c>
      <c r="U404" s="31">
        <f t="shared" si="65"/>
        <v>0</v>
      </c>
      <c r="V404" s="29">
        <f t="shared" si="65"/>
        <v>0</v>
      </c>
      <c r="W404" s="31">
        <f t="shared" si="65"/>
        <v>0</v>
      </c>
      <c r="X404" s="29">
        <f t="shared" si="65"/>
        <v>0</v>
      </c>
      <c r="Y404" s="31">
        <f t="shared" si="65"/>
        <v>0</v>
      </c>
      <c r="Z404" s="29">
        <f t="shared" si="65"/>
        <v>0</v>
      </c>
      <c r="AA404" s="31">
        <f t="shared" si="65"/>
        <v>0</v>
      </c>
      <c r="AB404" s="29">
        <f t="shared" si="65"/>
        <v>0</v>
      </c>
      <c r="AC404" s="31">
        <f t="shared" si="65"/>
        <v>0</v>
      </c>
      <c r="AD404" s="29">
        <f t="shared" si="65"/>
        <v>0</v>
      </c>
      <c r="AE404" s="31">
        <f t="shared" si="65"/>
        <v>0</v>
      </c>
      <c r="AF404" s="29">
        <f t="shared" ref="AF404:BM404" si="66">SUM(AF396:AF403)</f>
        <v>0</v>
      </c>
      <c r="AG404" s="41">
        <f t="shared" si="66"/>
        <v>0</v>
      </c>
      <c r="AH404" s="39">
        <f t="shared" si="66"/>
        <v>0</v>
      </c>
      <c r="AI404" s="31">
        <f t="shared" si="66"/>
        <v>0</v>
      </c>
      <c r="AJ404" s="29">
        <f t="shared" si="66"/>
        <v>0</v>
      </c>
      <c r="AK404" s="31">
        <f t="shared" si="66"/>
        <v>0</v>
      </c>
      <c r="AL404" s="29">
        <f t="shared" si="66"/>
        <v>0</v>
      </c>
      <c r="AM404" s="31">
        <f t="shared" si="66"/>
        <v>0</v>
      </c>
      <c r="AN404" s="29">
        <f t="shared" si="66"/>
        <v>0</v>
      </c>
      <c r="AO404" s="31">
        <f t="shared" si="66"/>
        <v>0</v>
      </c>
      <c r="AP404" s="29">
        <f t="shared" si="66"/>
        <v>0</v>
      </c>
      <c r="AQ404" s="31">
        <f t="shared" si="66"/>
        <v>0</v>
      </c>
      <c r="AR404" s="29">
        <f t="shared" si="66"/>
        <v>0</v>
      </c>
      <c r="AS404" s="31">
        <f t="shared" si="66"/>
        <v>0</v>
      </c>
      <c r="AT404" s="29">
        <f t="shared" si="66"/>
        <v>0</v>
      </c>
      <c r="AU404" s="31">
        <f t="shared" si="66"/>
        <v>0</v>
      </c>
      <c r="AV404" s="29">
        <f t="shared" si="66"/>
        <v>0</v>
      </c>
      <c r="AW404" s="31">
        <f t="shared" si="66"/>
        <v>0</v>
      </c>
      <c r="AX404" s="29">
        <f t="shared" si="66"/>
        <v>0</v>
      </c>
      <c r="AY404" s="31">
        <f t="shared" si="66"/>
        <v>0</v>
      </c>
      <c r="AZ404" s="29">
        <f t="shared" si="66"/>
        <v>0</v>
      </c>
      <c r="BA404" s="31">
        <f t="shared" si="66"/>
        <v>0</v>
      </c>
      <c r="BB404" s="29">
        <f t="shared" si="66"/>
        <v>0</v>
      </c>
      <c r="BC404" s="31">
        <f t="shared" si="66"/>
        <v>0</v>
      </c>
      <c r="BD404" s="29">
        <f t="shared" si="66"/>
        <v>0</v>
      </c>
      <c r="BE404" s="31">
        <f t="shared" si="66"/>
        <v>0</v>
      </c>
      <c r="BF404" s="29">
        <f t="shared" si="66"/>
        <v>0</v>
      </c>
      <c r="BG404" s="31">
        <f t="shared" si="66"/>
        <v>0</v>
      </c>
      <c r="BH404" s="29">
        <f t="shared" si="66"/>
        <v>0</v>
      </c>
      <c r="BI404" s="31">
        <f t="shared" si="66"/>
        <v>0</v>
      </c>
      <c r="BJ404" s="29">
        <f t="shared" si="66"/>
        <v>0</v>
      </c>
      <c r="BK404" s="31">
        <f t="shared" si="66"/>
        <v>0</v>
      </c>
      <c r="BL404" s="29">
        <f t="shared" si="66"/>
        <v>0</v>
      </c>
      <c r="BM404" s="31">
        <f t="shared" si="66"/>
        <v>0</v>
      </c>
      <c r="BN404" s="233">
        <f>SUM(BN396:BN403)</f>
        <v>0</v>
      </c>
      <c r="BO404" s="40">
        <f>SUM(BO396:BO403)</f>
        <v>0</v>
      </c>
      <c r="BP404" s="252">
        <f>INDEX('1月'!$B$382:$BQ$406,MATCH('2月'!B404,'1月'!$B$382:$B$406,0),67)+BN404</f>
        <v>19</v>
      </c>
      <c r="BQ404" s="253">
        <f>INDEX('1月'!$B$382:$BQ$406,MATCH('2月'!B404,'1月'!$B$382:$B$406,0),68)+BO404</f>
        <v>31</v>
      </c>
    </row>
    <row r="405" spans="2:69" s="6" customFormat="1" ht="50.1" customHeight="1" thickBot="1">
      <c r="B405" s="215" t="s">
        <v>204</v>
      </c>
      <c r="C405" s="153"/>
      <c r="D405" s="58">
        <f>SUM(D395+D404)</f>
        <v>0</v>
      </c>
      <c r="E405" s="66">
        <f>SUM(E395+E404)</f>
        <v>0</v>
      </c>
      <c r="F405" s="58">
        <f t="shared" ref="F405:AE405" si="67">SUM(F395+F404)</f>
        <v>0</v>
      </c>
      <c r="G405" s="66">
        <f t="shared" si="67"/>
        <v>0</v>
      </c>
      <c r="H405" s="58">
        <f>SUM(H395+H404)</f>
        <v>0</v>
      </c>
      <c r="I405" s="66">
        <f t="shared" si="67"/>
        <v>0</v>
      </c>
      <c r="J405" s="58">
        <f t="shared" si="67"/>
        <v>0</v>
      </c>
      <c r="K405" s="66">
        <f t="shared" si="67"/>
        <v>0</v>
      </c>
      <c r="L405" s="58">
        <f t="shared" si="67"/>
        <v>0</v>
      </c>
      <c r="M405" s="66">
        <f t="shared" si="67"/>
        <v>0</v>
      </c>
      <c r="N405" s="58">
        <f t="shared" si="67"/>
        <v>0</v>
      </c>
      <c r="O405" s="66">
        <f t="shared" si="67"/>
        <v>0</v>
      </c>
      <c r="P405" s="58">
        <f t="shared" si="67"/>
        <v>0</v>
      </c>
      <c r="Q405" s="66">
        <f t="shared" si="67"/>
        <v>0</v>
      </c>
      <c r="R405" s="58">
        <f t="shared" si="67"/>
        <v>0</v>
      </c>
      <c r="S405" s="66">
        <f t="shared" si="67"/>
        <v>0</v>
      </c>
      <c r="T405" s="58">
        <f t="shared" si="67"/>
        <v>0</v>
      </c>
      <c r="U405" s="66">
        <f t="shared" si="67"/>
        <v>0</v>
      </c>
      <c r="V405" s="58">
        <f t="shared" si="67"/>
        <v>0</v>
      </c>
      <c r="W405" s="66">
        <f t="shared" si="67"/>
        <v>0</v>
      </c>
      <c r="X405" s="58">
        <f t="shared" si="67"/>
        <v>0</v>
      </c>
      <c r="Y405" s="66">
        <f t="shared" si="67"/>
        <v>0</v>
      </c>
      <c r="Z405" s="58">
        <f t="shared" si="67"/>
        <v>0</v>
      </c>
      <c r="AA405" s="66">
        <f t="shared" si="67"/>
        <v>0</v>
      </c>
      <c r="AB405" s="58">
        <f t="shared" si="67"/>
        <v>0</v>
      </c>
      <c r="AC405" s="66">
        <f t="shared" si="67"/>
        <v>0</v>
      </c>
      <c r="AD405" s="58">
        <f t="shared" si="67"/>
        <v>0</v>
      </c>
      <c r="AE405" s="66">
        <f t="shared" si="67"/>
        <v>0</v>
      </c>
      <c r="AF405" s="58">
        <f t="shared" ref="AF405:BM405" si="68">SUM(AF395+AF404)</f>
        <v>0</v>
      </c>
      <c r="AG405" s="232">
        <f t="shared" si="68"/>
        <v>0</v>
      </c>
      <c r="AH405" s="79">
        <f t="shared" si="68"/>
        <v>0</v>
      </c>
      <c r="AI405" s="66">
        <f t="shared" si="68"/>
        <v>0</v>
      </c>
      <c r="AJ405" s="58">
        <f t="shared" si="68"/>
        <v>0</v>
      </c>
      <c r="AK405" s="66">
        <f t="shared" si="68"/>
        <v>0</v>
      </c>
      <c r="AL405" s="58">
        <f t="shared" si="68"/>
        <v>0</v>
      </c>
      <c r="AM405" s="66">
        <f t="shared" si="68"/>
        <v>0</v>
      </c>
      <c r="AN405" s="58">
        <f t="shared" si="68"/>
        <v>0</v>
      </c>
      <c r="AO405" s="66">
        <f t="shared" si="68"/>
        <v>0</v>
      </c>
      <c r="AP405" s="58">
        <f t="shared" si="68"/>
        <v>0</v>
      </c>
      <c r="AQ405" s="66">
        <f t="shared" si="68"/>
        <v>0</v>
      </c>
      <c r="AR405" s="58">
        <f t="shared" si="68"/>
        <v>0</v>
      </c>
      <c r="AS405" s="66">
        <f t="shared" si="68"/>
        <v>0</v>
      </c>
      <c r="AT405" s="58">
        <f t="shared" si="68"/>
        <v>0</v>
      </c>
      <c r="AU405" s="66">
        <f t="shared" si="68"/>
        <v>0</v>
      </c>
      <c r="AV405" s="58">
        <f t="shared" si="68"/>
        <v>0</v>
      </c>
      <c r="AW405" s="66">
        <f t="shared" si="68"/>
        <v>0</v>
      </c>
      <c r="AX405" s="58">
        <f t="shared" si="68"/>
        <v>0</v>
      </c>
      <c r="AY405" s="66">
        <f t="shared" si="68"/>
        <v>0</v>
      </c>
      <c r="AZ405" s="58">
        <f t="shared" si="68"/>
        <v>0</v>
      </c>
      <c r="BA405" s="66">
        <f t="shared" si="68"/>
        <v>0</v>
      </c>
      <c r="BB405" s="58">
        <f t="shared" si="68"/>
        <v>0</v>
      </c>
      <c r="BC405" s="66">
        <f t="shared" si="68"/>
        <v>0</v>
      </c>
      <c r="BD405" s="58">
        <f t="shared" si="68"/>
        <v>0</v>
      </c>
      <c r="BE405" s="66">
        <f t="shared" si="68"/>
        <v>0</v>
      </c>
      <c r="BF405" s="58">
        <f t="shared" si="68"/>
        <v>0</v>
      </c>
      <c r="BG405" s="66">
        <f t="shared" si="68"/>
        <v>0</v>
      </c>
      <c r="BH405" s="58">
        <f t="shared" si="68"/>
        <v>0</v>
      </c>
      <c r="BI405" s="66">
        <f t="shared" si="68"/>
        <v>0</v>
      </c>
      <c r="BJ405" s="58">
        <f t="shared" si="68"/>
        <v>0</v>
      </c>
      <c r="BK405" s="66">
        <f t="shared" si="68"/>
        <v>0</v>
      </c>
      <c r="BL405" s="58">
        <f t="shared" si="68"/>
        <v>0</v>
      </c>
      <c r="BM405" s="66">
        <f t="shared" si="68"/>
        <v>0</v>
      </c>
      <c r="BN405" s="70">
        <f>SUM(BN395,BN404)</f>
        <v>0</v>
      </c>
      <c r="BO405" s="73">
        <f>SUM(BO395,BO404)</f>
        <v>0</v>
      </c>
      <c r="BP405" s="519">
        <f>INDEX('1月'!$B$382:$BQ$406,MATCH('2月'!B405,'1月'!$B$382:$B$406,0),67)+BN405</f>
        <v>78</v>
      </c>
      <c r="BQ405" s="520">
        <f>INDEX('1月'!$B$382:$BQ$406,MATCH('2月'!B405,'1月'!$B$382:$B$406,0),68)+BO405</f>
        <v>112</v>
      </c>
    </row>
    <row r="406" spans="2:69" s="6" customFormat="1" ht="50.1" customHeight="1" thickBot="1">
      <c r="B406" s="214" t="s">
        <v>182</v>
      </c>
      <c r="C406" s="149"/>
      <c r="D406" s="29">
        <f>'1月'!BN406+D405</f>
        <v>78</v>
      </c>
      <c r="E406" s="31">
        <f>'1月'!BO406+E405</f>
        <v>112</v>
      </c>
      <c r="F406" s="29">
        <f>D406+F405</f>
        <v>78</v>
      </c>
      <c r="G406" s="31">
        <f>E406+G405</f>
        <v>112</v>
      </c>
      <c r="H406" s="29">
        <f t="shared" ref="H406:BM406" si="69">F406+H405</f>
        <v>78</v>
      </c>
      <c r="I406" s="31">
        <f t="shared" si="69"/>
        <v>112</v>
      </c>
      <c r="J406" s="29">
        <f t="shared" si="69"/>
        <v>78</v>
      </c>
      <c r="K406" s="31">
        <f t="shared" si="69"/>
        <v>112</v>
      </c>
      <c r="L406" s="29">
        <f t="shared" si="69"/>
        <v>78</v>
      </c>
      <c r="M406" s="31">
        <f t="shared" si="69"/>
        <v>112</v>
      </c>
      <c r="N406" s="29">
        <f t="shared" si="69"/>
        <v>78</v>
      </c>
      <c r="O406" s="31">
        <f t="shared" si="69"/>
        <v>112</v>
      </c>
      <c r="P406" s="29">
        <f t="shared" si="69"/>
        <v>78</v>
      </c>
      <c r="Q406" s="31">
        <f t="shared" si="69"/>
        <v>112</v>
      </c>
      <c r="R406" s="29">
        <f t="shared" si="69"/>
        <v>78</v>
      </c>
      <c r="S406" s="31">
        <f t="shared" si="69"/>
        <v>112</v>
      </c>
      <c r="T406" s="29">
        <f t="shared" si="69"/>
        <v>78</v>
      </c>
      <c r="U406" s="31">
        <f t="shared" si="69"/>
        <v>112</v>
      </c>
      <c r="V406" s="29">
        <f t="shared" si="69"/>
        <v>78</v>
      </c>
      <c r="W406" s="31">
        <f t="shared" si="69"/>
        <v>112</v>
      </c>
      <c r="X406" s="29">
        <f t="shared" si="69"/>
        <v>78</v>
      </c>
      <c r="Y406" s="31">
        <f t="shared" si="69"/>
        <v>112</v>
      </c>
      <c r="Z406" s="29">
        <f t="shared" si="69"/>
        <v>78</v>
      </c>
      <c r="AA406" s="31">
        <f t="shared" si="69"/>
        <v>112</v>
      </c>
      <c r="AB406" s="29">
        <f t="shared" si="69"/>
        <v>78</v>
      </c>
      <c r="AC406" s="31">
        <f t="shared" si="69"/>
        <v>112</v>
      </c>
      <c r="AD406" s="29">
        <f t="shared" si="69"/>
        <v>78</v>
      </c>
      <c r="AE406" s="31">
        <f t="shared" si="69"/>
        <v>112</v>
      </c>
      <c r="AF406" s="29">
        <f t="shared" si="69"/>
        <v>78</v>
      </c>
      <c r="AG406" s="41">
        <f t="shared" si="69"/>
        <v>112</v>
      </c>
      <c r="AH406" s="39">
        <f t="shared" si="69"/>
        <v>78</v>
      </c>
      <c r="AI406" s="31">
        <f t="shared" si="69"/>
        <v>112</v>
      </c>
      <c r="AJ406" s="29">
        <f t="shared" si="69"/>
        <v>78</v>
      </c>
      <c r="AK406" s="31">
        <f t="shared" si="69"/>
        <v>112</v>
      </c>
      <c r="AL406" s="29">
        <f t="shared" si="69"/>
        <v>78</v>
      </c>
      <c r="AM406" s="31">
        <f t="shared" si="69"/>
        <v>112</v>
      </c>
      <c r="AN406" s="29">
        <f t="shared" si="69"/>
        <v>78</v>
      </c>
      <c r="AO406" s="31">
        <f t="shared" si="69"/>
        <v>112</v>
      </c>
      <c r="AP406" s="29">
        <f t="shared" si="69"/>
        <v>78</v>
      </c>
      <c r="AQ406" s="31">
        <f t="shared" si="69"/>
        <v>112</v>
      </c>
      <c r="AR406" s="29">
        <f t="shared" si="69"/>
        <v>78</v>
      </c>
      <c r="AS406" s="31">
        <f t="shared" si="69"/>
        <v>112</v>
      </c>
      <c r="AT406" s="29">
        <f t="shared" si="69"/>
        <v>78</v>
      </c>
      <c r="AU406" s="31">
        <f t="shared" si="69"/>
        <v>112</v>
      </c>
      <c r="AV406" s="29">
        <f t="shared" si="69"/>
        <v>78</v>
      </c>
      <c r="AW406" s="31">
        <f t="shared" si="69"/>
        <v>112</v>
      </c>
      <c r="AX406" s="29">
        <f t="shared" si="69"/>
        <v>78</v>
      </c>
      <c r="AY406" s="31">
        <f t="shared" si="69"/>
        <v>112</v>
      </c>
      <c r="AZ406" s="29">
        <f t="shared" si="69"/>
        <v>78</v>
      </c>
      <c r="BA406" s="31">
        <f t="shared" si="69"/>
        <v>112</v>
      </c>
      <c r="BB406" s="29">
        <f t="shared" si="69"/>
        <v>78</v>
      </c>
      <c r="BC406" s="31">
        <f t="shared" si="69"/>
        <v>112</v>
      </c>
      <c r="BD406" s="29">
        <f t="shared" si="69"/>
        <v>78</v>
      </c>
      <c r="BE406" s="31">
        <f t="shared" si="69"/>
        <v>112</v>
      </c>
      <c r="BF406" s="29">
        <f t="shared" si="69"/>
        <v>78</v>
      </c>
      <c r="BG406" s="31">
        <f t="shared" si="69"/>
        <v>112</v>
      </c>
      <c r="BH406" s="29">
        <f t="shared" si="69"/>
        <v>78</v>
      </c>
      <c r="BI406" s="31">
        <f t="shared" si="69"/>
        <v>112</v>
      </c>
      <c r="BJ406" s="29">
        <f t="shared" si="69"/>
        <v>78</v>
      </c>
      <c r="BK406" s="31">
        <f t="shared" si="69"/>
        <v>112</v>
      </c>
      <c r="BL406" s="29">
        <f t="shared" si="69"/>
        <v>78</v>
      </c>
      <c r="BM406" s="31">
        <f t="shared" si="69"/>
        <v>112</v>
      </c>
      <c r="BN406" s="70"/>
      <c r="BO406" s="73"/>
      <c r="BP406" s="519">
        <f>INDEX('1月'!$B$382:$BQ$406,MATCH('2月'!B406,'1月'!$B$382:$B$406,0),67)+BN406</f>
        <v>78</v>
      </c>
      <c r="BQ406" s="520">
        <f>INDEX('1月'!$B$382:$BQ$406,MATCH('2月'!B406,'1月'!$B$382:$B$406,0),68)+BO406</f>
        <v>112</v>
      </c>
    </row>
    <row r="407" spans="2:69" s="6" customFormat="1" ht="50.1"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s="7"/>
      <c r="AK407" s="7"/>
    </row>
    <row r="408" spans="2:69" s="6" customFormat="1" ht="17.25"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s="6" customFormat="1" ht="33" customHeight="1">
      <c r="B409" s="123"/>
      <c r="C409" s="150"/>
      <c r="D409" s="71"/>
      <c r="E409" s="7"/>
      <c r="F409" s="7"/>
      <c r="G409" s="7"/>
      <c r="H409" s="7"/>
      <c r="I409" s="7"/>
      <c r="J409" s="7"/>
      <c r="K409" s="7"/>
      <c r="L409" s="7"/>
      <c r="M409" s="7"/>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row>
    <row r="410" spans="2:69" ht="33" customHeight="1"/>
    <row r="412" spans="2:69">
      <c r="B412" s="759"/>
      <c r="C412" s="746"/>
      <c r="D412" s="753"/>
      <c r="E412" s="753"/>
      <c r="F412" s="753"/>
      <c r="G412" s="753"/>
      <c r="H412" s="753"/>
      <c r="I412" s="753"/>
      <c r="J412" s="753"/>
      <c r="K412" s="753"/>
      <c r="L412" s="753"/>
      <c r="M412" s="753"/>
      <c r="N412" s="753"/>
      <c r="O412" s="753"/>
      <c r="P412" s="753"/>
      <c r="Q412" s="753"/>
      <c r="R412" s="753"/>
      <c r="S412" s="753"/>
      <c r="T412" s="753"/>
      <c r="U412" s="753"/>
      <c r="V412" s="753"/>
      <c r="W412" s="753"/>
      <c r="X412" s="753"/>
      <c r="Y412" s="753"/>
      <c r="Z412" s="753"/>
      <c r="AA412" s="753"/>
      <c r="AB412" s="753"/>
      <c r="AC412" s="753"/>
      <c r="AD412" s="753"/>
      <c r="AE412" s="753"/>
      <c r="AF412" s="753"/>
      <c r="AG412" s="753"/>
      <c r="AH412" s="753"/>
      <c r="AI412" s="753"/>
      <c r="AJ412" s="753"/>
      <c r="AK412" s="753"/>
    </row>
    <row r="413" spans="2:69" ht="24.95" customHeight="1">
      <c r="B413" s="759"/>
      <c r="C413" s="746"/>
      <c r="D413" s="753"/>
      <c r="E413" s="753"/>
      <c r="F413" s="754"/>
      <c r="G413" s="754"/>
      <c r="H413" s="753"/>
      <c r="I413" s="753"/>
      <c r="J413" s="754"/>
      <c r="K413" s="754"/>
      <c r="L413" s="753"/>
      <c r="M413" s="753"/>
      <c r="N413" s="754"/>
      <c r="O413" s="754"/>
      <c r="P413" s="753"/>
      <c r="Q413" s="753"/>
      <c r="R413" s="754"/>
      <c r="S413" s="754"/>
      <c r="T413" s="753"/>
      <c r="U413" s="753"/>
      <c r="V413" s="754"/>
      <c r="W413" s="754"/>
      <c r="X413" s="753"/>
      <c r="Y413" s="753"/>
      <c r="Z413" s="754"/>
      <c r="AA413" s="754"/>
      <c r="AB413" s="753"/>
      <c r="AC413" s="753"/>
      <c r="AD413" s="754"/>
      <c r="AE413" s="754"/>
      <c r="AF413" s="753"/>
      <c r="AG413" s="753"/>
      <c r="AH413" s="753"/>
      <c r="AI413" s="753"/>
      <c r="AJ413" s="753"/>
      <c r="AK413" s="753"/>
    </row>
    <row r="414" spans="2:69" ht="24.95" customHeight="1">
      <c r="B414" s="759"/>
      <c r="C414" s="746"/>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c r="AJ414" s="483"/>
      <c r="AK414" s="483"/>
    </row>
    <row r="415" spans="2:69" ht="24.95" customHeight="1">
      <c r="B415" s="5"/>
      <c r="AH415" s="71"/>
      <c r="AI415" s="71"/>
      <c r="AJ415" s="71"/>
      <c r="AK415" s="71"/>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69" s="4" customFormat="1" ht="33"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8" spans="2:69" s="4" customFormat="1" ht="30" customHeight="1">
      <c r="B418" s="1"/>
      <c r="C418" s="150"/>
      <c r="D418" s="7"/>
      <c r="E418" s="7"/>
      <c r="F418" s="7"/>
      <c r="G418" s="7"/>
      <c r="H418" s="7"/>
      <c r="I418" s="7"/>
      <c r="J418" s="7"/>
      <c r="K418" s="7"/>
      <c r="L418" s="7"/>
      <c r="M418" s="7"/>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row>
    <row r="419" spans="2:69" ht="24">
      <c r="B419" s="501"/>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c r="AL419" s="6"/>
      <c r="AM419" s="6"/>
      <c r="AN419" s="6"/>
      <c r="AO419" s="6"/>
      <c r="AP419" s="6"/>
      <c r="AQ419" s="6"/>
      <c r="AR419" s="6"/>
      <c r="AS419" s="6"/>
      <c r="AT419" s="6"/>
      <c r="AU419" s="6"/>
      <c r="AV419" s="6"/>
      <c r="AW419" s="6"/>
      <c r="AX419" s="6"/>
      <c r="AY419" s="6"/>
      <c r="AZ419" s="6"/>
      <c r="BA419" s="6"/>
      <c r="BB419" s="6"/>
      <c r="BC419" s="6"/>
      <c r="BD419" s="6"/>
      <c r="BE419" s="6"/>
      <c r="BF419" s="6"/>
      <c r="BG419" s="6"/>
      <c r="BH419" s="6"/>
      <c r="BI419" s="6"/>
      <c r="BJ419" s="6"/>
      <c r="BK419" s="6"/>
      <c r="BL419" s="6"/>
      <c r="BM419" s="6"/>
      <c r="BN419" s="6"/>
      <c r="BO419" s="6"/>
      <c r="BP419" s="6"/>
      <c r="BQ419" s="6"/>
    </row>
    <row r="420" spans="2:69" s="6" customFormat="1" ht="45" customHeight="1">
      <c r="B420" s="1"/>
      <c r="C420" s="150"/>
      <c r="D420" s="7"/>
      <c r="E420" s="7"/>
      <c r="F420" s="7"/>
      <c r="G420" s="7"/>
      <c r="H420" s="7"/>
      <c r="I420" s="7"/>
      <c r="J420" s="7"/>
      <c r="K420" s="7"/>
      <c r="L420" s="7"/>
      <c r="M420" s="7"/>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row>
    <row r="421" spans="2:69">
      <c r="B421" s="759"/>
      <c r="C421" s="746"/>
      <c r="D421" s="753"/>
      <c r="E421" s="753"/>
      <c r="F421" s="753"/>
      <c r="G421" s="753"/>
      <c r="H421" s="753"/>
      <c r="I421" s="753"/>
      <c r="J421" s="753"/>
      <c r="K421" s="753"/>
      <c r="L421" s="753"/>
      <c r="M421" s="753"/>
      <c r="N421" s="753"/>
      <c r="O421" s="753"/>
      <c r="P421" s="753"/>
      <c r="Q421" s="753"/>
      <c r="R421" s="753"/>
      <c r="S421" s="753"/>
      <c r="T421" s="753"/>
      <c r="U421" s="753"/>
      <c r="V421" s="753"/>
      <c r="W421" s="753"/>
      <c r="X421" s="753"/>
      <c r="Y421" s="753"/>
      <c r="Z421" s="753"/>
      <c r="AA421" s="753"/>
      <c r="AB421" s="753"/>
      <c r="AC421" s="753"/>
      <c r="AD421" s="753"/>
      <c r="AE421" s="753"/>
      <c r="AF421" s="753"/>
      <c r="AG421" s="753"/>
      <c r="AH421" s="753"/>
      <c r="AI421" s="753"/>
      <c r="AJ421" s="753"/>
      <c r="AK421" s="753"/>
    </row>
    <row r="422" spans="2:69" ht="24.95" customHeight="1">
      <c r="B422" s="759"/>
      <c r="C422" s="746"/>
      <c r="D422" s="753"/>
      <c r="E422" s="753"/>
      <c r="F422" s="754"/>
      <c r="G422" s="754"/>
      <c r="H422" s="753"/>
      <c r="I422" s="753"/>
      <c r="J422" s="754"/>
      <c r="K422" s="754"/>
      <c r="L422" s="753"/>
      <c r="M422" s="753"/>
      <c r="N422" s="754"/>
      <c r="O422" s="754"/>
      <c r="P422" s="753"/>
      <c r="Q422" s="753"/>
      <c r="R422" s="754"/>
      <c r="S422" s="754"/>
      <c r="T422" s="753"/>
      <c r="U422" s="753"/>
      <c r="V422" s="754"/>
      <c r="W422" s="754"/>
      <c r="X422" s="753"/>
      <c r="Y422" s="753"/>
      <c r="Z422" s="754"/>
      <c r="AA422" s="754"/>
      <c r="AB422" s="753"/>
      <c r="AC422" s="753"/>
      <c r="AD422" s="754"/>
      <c r="AE422" s="754"/>
      <c r="AF422" s="753"/>
      <c r="AG422" s="753"/>
      <c r="AH422" s="753"/>
      <c r="AI422" s="753"/>
      <c r="AJ422" s="753"/>
      <c r="AK422" s="753"/>
    </row>
    <row r="423" spans="2:69" ht="24.95" customHeight="1">
      <c r="B423" s="759"/>
      <c r="C423" s="746"/>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483"/>
      <c r="AK423" s="483"/>
    </row>
    <row r="424" spans="2:69" ht="24.95" customHeight="1">
      <c r="B424" s="5"/>
      <c r="AH424" s="71"/>
      <c r="AI424" s="71"/>
      <c r="AJ424" s="71"/>
      <c r="AK424" s="71"/>
      <c r="AL424" s="6"/>
      <c r="AM424" s="6"/>
      <c r="AN424" s="6"/>
      <c r="AO424" s="6"/>
      <c r="AP424" s="6"/>
      <c r="AQ424" s="6"/>
      <c r="AR424" s="6"/>
      <c r="AS424" s="6"/>
      <c r="AT424" s="6"/>
      <c r="AU424" s="6"/>
      <c r="AV424" s="6"/>
      <c r="AW424" s="6"/>
      <c r="AX424" s="6"/>
      <c r="AY424" s="6"/>
      <c r="AZ424" s="6"/>
      <c r="BA424" s="6"/>
      <c r="BB424" s="6"/>
      <c r="BC424" s="6"/>
      <c r="BD424" s="6"/>
      <c r="BE424" s="6"/>
      <c r="BF424" s="6"/>
      <c r="BG424" s="6"/>
      <c r="BH424" s="6"/>
      <c r="BI424" s="6"/>
      <c r="BJ424" s="6"/>
      <c r="BK424" s="6"/>
      <c r="BL424" s="6"/>
      <c r="BM424" s="6"/>
      <c r="BN424" s="6"/>
      <c r="BO424" s="6"/>
      <c r="BP424" s="6"/>
      <c r="BQ424" s="6"/>
    </row>
    <row r="425" spans="2:69"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69"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69"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8" spans="2:69" s="6" customFormat="1" ht="36" customHeight="1">
      <c r="B428" s="1"/>
      <c r="C428" s="150"/>
      <c r="D428" s="7"/>
      <c r="E428" s="7"/>
      <c r="F428" s="7"/>
      <c r="G428" s="7"/>
      <c r="H428" s="7"/>
      <c r="I428" s="7"/>
      <c r="J428" s="7"/>
      <c r="K428" s="7"/>
      <c r="L428" s="7"/>
      <c r="M428" s="7"/>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row>
    <row r="429" spans="2:69" ht="24">
      <c r="B429" s="501"/>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c r="AL429" s="6"/>
      <c r="AM429" s="6"/>
      <c r="AN429" s="6"/>
      <c r="AO429" s="6"/>
      <c r="AP429" s="6"/>
      <c r="AQ429" s="6"/>
      <c r="AR429" s="6"/>
      <c r="AS429" s="6"/>
      <c r="AT429" s="6"/>
      <c r="AU429" s="6"/>
      <c r="AV429" s="6"/>
      <c r="AW429" s="6"/>
      <c r="AX429" s="6"/>
      <c r="AY429" s="6"/>
      <c r="AZ429" s="6"/>
      <c r="BA429" s="6"/>
      <c r="BB429" s="6"/>
      <c r="BC429" s="6"/>
      <c r="BD429" s="6"/>
      <c r="BE429" s="6"/>
      <c r="BF429" s="6"/>
      <c r="BG429" s="6"/>
      <c r="BH429" s="6"/>
      <c r="BI429" s="6"/>
      <c r="BJ429" s="6"/>
      <c r="BK429" s="6"/>
      <c r="BL429" s="6"/>
      <c r="BM429" s="6"/>
      <c r="BN429" s="6"/>
      <c r="BO429" s="6"/>
      <c r="BP429" s="6"/>
      <c r="BQ429" s="6"/>
    </row>
    <row r="430" spans="2:69" s="6" customFormat="1" ht="45" customHeight="1">
      <c r="B430" s="1"/>
      <c r="C430" s="150"/>
      <c r="D430" s="7"/>
      <c r="E430" s="7"/>
      <c r="F430" s="7"/>
      <c r="G430" s="7"/>
      <c r="H430" s="7"/>
      <c r="I430" s="7"/>
      <c r="J430" s="7"/>
      <c r="K430" s="7"/>
      <c r="L430" s="7"/>
      <c r="M430" s="7"/>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row>
    <row r="435" spans="2:69">
      <c r="B435" s="755"/>
      <c r="C435" s="746"/>
      <c r="D435" s="753"/>
      <c r="E435" s="753"/>
      <c r="F435" s="753"/>
      <c r="G435" s="753"/>
      <c r="H435" s="753"/>
      <c r="I435" s="753"/>
      <c r="J435" s="753"/>
      <c r="K435" s="753"/>
      <c r="L435" s="753"/>
      <c r="M435" s="753"/>
      <c r="N435" s="753"/>
      <c r="O435" s="753"/>
      <c r="P435" s="753"/>
      <c r="Q435" s="753"/>
      <c r="R435" s="753"/>
      <c r="S435" s="753"/>
      <c r="T435" s="753"/>
      <c r="U435" s="753"/>
      <c r="V435" s="753"/>
      <c r="W435" s="753"/>
      <c r="X435" s="753"/>
      <c r="Y435" s="753"/>
      <c r="Z435" s="753"/>
      <c r="AA435" s="753"/>
      <c r="AB435" s="753"/>
      <c r="AC435" s="753"/>
      <c r="AD435" s="753"/>
      <c r="AE435" s="753"/>
      <c r="AF435" s="753"/>
      <c r="AG435" s="753"/>
      <c r="AH435" s="753"/>
      <c r="AI435" s="753"/>
      <c r="AJ435" s="753"/>
      <c r="AK435" s="753"/>
    </row>
    <row r="436" spans="2:69" ht="24.75" customHeight="1">
      <c r="B436" s="755"/>
      <c r="C436" s="746"/>
      <c r="D436" s="754"/>
      <c r="E436" s="754"/>
      <c r="F436" s="754"/>
      <c r="G436" s="754"/>
      <c r="H436" s="754"/>
      <c r="I436" s="754"/>
      <c r="J436" s="754"/>
      <c r="K436" s="754"/>
      <c r="L436" s="754"/>
      <c r="M436" s="754"/>
      <c r="N436" s="754"/>
      <c r="O436" s="754"/>
      <c r="P436" s="754"/>
      <c r="Q436" s="754"/>
      <c r="R436" s="754"/>
      <c r="S436" s="754"/>
      <c r="T436" s="754"/>
      <c r="U436" s="754"/>
      <c r="V436" s="754"/>
      <c r="W436" s="754"/>
      <c r="X436" s="754"/>
      <c r="Y436" s="754"/>
      <c r="Z436" s="754"/>
      <c r="AA436" s="754"/>
      <c r="AB436" s="754"/>
      <c r="AC436" s="754"/>
      <c r="AD436" s="754"/>
      <c r="AE436" s="754"/>
      <c r="AF436" s="754"/>
      <c r="AG436" s="754"/>
      <c r="AH436" s="753"/>
      <c r="AI436" s="753"/>
      <c r="AJ436" s="753"/>
      <c r="AK436" s="753"/>
    </row>
    <row r="437" spans="2:69" ht="24.95" customHeight="1">
      <c r="B437" s="755"/>
      <c r="C437" s="746"/>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c r="AJ437" s="483"/>
      <c r="AK437" s="483"/>
    </row>
    <row r="438" spans="2:69" ht="24.95" customHeight="1">
      <c r="B438" s="122"/>
      <c r="AH438" s="71"/>
      <c r="AI438" s="71"/>
      <c r="AJ438" s="71"/>
      <c r="AK438" s="71"/>
      <c r="AL438" s="6"/>
      <c r="AM438" s="6"/>
      <c r="AN438" s="6"/>
      <c r="AO438" s="6"/>
      <c r="AP438" s="6"/>
      <c r="AQ438" s="6"/>
      <c r="AR438" s="6"/>
      <c r="AS438" s="6"/>
      <c r="AT438" s="6"/>
      <c r="AU438" s="6"/>
      <c r="AV438" s="6"/>
      <c r="AW438" s="6"/>
      <c r="AX438" s="6"/>
      <c r="AY438" s="6"/>
      <c r="AZ438" s="6"/>
      <c r="BA438" s="6"/>
      <c r="BB438" s="6"/>
      <c r="BC438" s="6"/>
      <c r="BD438" s="6"/>
      <c r="BE438" s="6"/>
      <c r="BF438" s="6"/>
      <c r="BG438" s="6"/>
      <c r="BH438" s="6"/>
      <c r="BI438" s="6"/>
      <c r="BJ438" s="6"/>
      <c r="BK438" s="6"/>
      <c r="BL438" s="6"/>
      <c r="BM438" s="6"/>
      <c r="BN438" s="6"/>
      <c r="BO438" s="6"/>
      <c r="BP438" s="6"/>
      <c r="BQ438" s="6"/>
    </row>
    <row r="439" spans="2:69" s="6"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row>
    <row r="440" spans="2:69" s="4" customFormat="1" ht="43.5"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row r="441" spans="2:69" s="4" customFormat="1" ht="36" customHeight="1">
      <c r="B441" s="1"/>
      <c r="C441" s="150"/>
      <c r="D441" s="7"/>
      <c r="E441" s="7"/>
      <c r="F441" s="7"/>
      <c r="G441" s="7"/>
      <c r="H441" s="7"/>
      <c r="I441" s="7"/>
      <c r="J441" s="7"/>
      <c r="K441" s="7"/>
      <c r="L441" s="7"/>
      <c r="M441" s="7"/>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row>
  </sheetData>
  <sortState xmlns:xlrd2="http://schemas.microsoft.com/office/spreadsheetml/2017/richdata2" ref="B132:BQ140">
    <sortCondition ref="B132:B140"/>
  </sortState>
  <mergeCells count="1422">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B368:BC368"/>
    <mergeCell ref="BD368:BE368"/>
    <mergeCell ref="BF368:BG368"/>
    <mergeCell ref="BH368:BI368"/>
    <mergeCell ref="BJ368:BK368"/>
    <mergeCell ref="BL368:BM368"/>
    <mergeCell ref="AJ368:AK368"/>
    <mergeCell ref="AL368:AM368"/>
    <mergeCell ref="AN368:AO368"/>
    <mergeCell ref="AP368:AQ368"/>
    <mergeCell ref="AR368:AS368"/>
    <mergeCell ref="AT368:AU368"/>
    <mergeCell ref="AV368:AW368"/>
    <mergeCell ref="AX368:AY368"/>
    <mergeCell ref="AZ368:BA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BB346:BC346"/>
    <mergeCell ref="BD346:BE346"/>
    <mergeCell ref="BF346:BG346"/>
    <mergeCell ref="BH346:BI346"/>
    <mergeCell ref="BJ346:BK346"/>
    <mergeCell ref="BL346:BM346"/>
    <mergeCell ref="AJ346:AK346"/>
    <mergeCell ref="AL346:AM346"/>
    <mergeCell ref="AN346:AO346"/>
    <mergeCell ref="AP346:AQ346"/>
    <mergeCell ref="AR346:AS346"/>
    <mergeCell ref="AT346:AU346"/>
    <mergeCell ref="AV346:AW346"/>
    <mergeCell ref="AX346:AY346"/>
    <mergeCell ref="AZ346:BA346"/>
    <mergeCell ref="BN330:BO331"/>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AZ330:BA330"/>
    <mergeCell ref="BB330:BC330"/>
    <mergeCell ref="BD330:BE330"/>
    <mergeCell ref="BF330:BG330"/>
    <mergeCell ref="BH330:BI330"/>
    <mergeCell ref="BJ330:BK330"/>
    <mergeCell ref="BL330:BM330"/>
    <mergeCell ref="AH330:AI330"/>
    <mergeCell ref="AJ330:AK330"/>
    <mergeCell ref="AL330:AM330"/>
    <mergeCell ref="AN330:AO330"/>
    <mergeCell ref="AP330:AQ330"/>
    <mergeCell ref="AR330:AS330"/>
    <mergeCell ref="AT330:AU330"/>
    <mergeCell ref="AV330:AW330"/>
    <mergeCell ref="AX330:AY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BL295:BM295"/>
    <mergeCell ref="AH295:AI295"/>
    <mergeCell ref="AJ295:AK295"/>
    <mergeCell ref="AL295:AM295"/>
    <mergeCell ref="AN295:AO295"/>
    <mergeCell ref="AP295:AQ295"/>
    <mergeCell ref="AR295:AS295"/>
    <mergeCell ref="AT295:AU295"/>
    <mergeCell ref="AV295:AW295"/>
    <mergeCell ref="AX295:AY295"/>
    <mergeCell ref="BN261:BO262"/>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AZ261:BA261"/>
    <mergeCell ref="BB261:BC261"/>
    <mergeCell ref="BD261:BE261"/>
    <mergeCell ref="BF261:BG261"/>
    <mergeCell ref="BH261:BI261"/>
    <mergeCell ref="BJ261:BK261"/>
    <mergeCell ref="BL261:BM261"/>
    <mergeCell ref="AH261:AI261"/>
    <mergeCell ref="AJ261:AK261"/>
    <mergeCell ref="AL261:AM261"/>
    <mergeCell ref="AN261:AO261"/>
    <mergeCell ref="AP261:AQ261"/>
    <mergeCell ref="AR261:AS261"/>
    <mergeCell ref="AT261:AU261"/>
    <mergeCell ref="AV261:AW261"/>
    <mergeCell ref="AX261:AY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BB249:BC249"/>
    <mergeCell ref="BD249:BE249"/>
    <mergeCell ref="BF249:BG249"/>
    <mergeCell ref="BH249:BI249"/>
    <mergeCell ref="BJ249:BK249"/>
    <mergeCell ref="BL249:BM249"/>
    <mergeCell ref="AJ249:AK249"/>
    <mergeCell ref="AL249:AM249"/>
    <mergeCell ref="AN249:AO249"/>
    <mergeCell ref="AP249:AQ249"/>
    <mergeCell ref="AR249:AS249"/>
    <mergeCell ref="AT249:AU249"/>
    <mergeCell ref="AV249:AW249"/>
    <mergeCell ref="AX249:AY249"/>
    <mergeCell ref="AZ249:BA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BB224:BC224"/>
    <mergeCell ref="BD224:BE224"/>
    <mergeCell ref="BF224:BG224"/>
    <mergeCell ref="BH224:BI224"/>
    <mergeCell ref="BJ224:BK224"/>
    <mergeCell ref="BL224:BM224"/>
    <mergeCell ref="AJ224:AK224"/>
    <mergeCell ref="AL224:AM224"/>
    <mergeCell ref="AN224:AO224"/>
    <mergeCell ref="AP224:AQ224"/>
    <mergeCell ref="AR224:AS224"/>
    <mergeCell ref="AT224:AU224"/>
    <mergeCell ref="AV224:AW224"/>
    <mergeCell ref="AX224:AY224"/>
    <mergeCell ref="AZ224:BA224"/>
    <mergeCell ref="BN199:BO200"/>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D199:BE199"/>
    <mergeCell ref="BF199:BG199"/>
    <mergeCell ref="BH199:BI199"/>
    <mergeCell ref="BJ199:BK199"/>
    <mergeCell ref="BL199:BM199"/>
    <mergeCell ref="AH199:AI199"/>
    <mergeCell ref="AJ199:AK199"/>
    <mergeCell ref="AL199:AM199"/>
    <mergeCell ref="AN199:AO199"/>
    <mergeCell ref="AP199:AQ199"/>
    <mergeCell ref="AR199:AS199"/>
    <mergeCell ref="AT199:AU199"/>
    <mergeCell ref="AV199:AW199"/>
    <mergeCell ref="AX199:AY199"/>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AZ163:BA163"/>
    <mergeCell ref="BB163:BC163"/>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AV163:AW163"/>
    <mergeCell ref="AX163:AY163"/>
    <mergeCell ref="BN145:BO146"/>
    <mergeCell ref="AX145:AY145"/>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AR145:AS145"/>
    <mergeCell ref="AT145:AU145"/>
    <mergeCell ref="AV145:AW145"/>
    <mergeCell ref="BN129:BO130"/>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BB129:BC129"/>
    <mergeCell ref="BD129:BE129"/>
    <mergeCell ref="BF129:BG129"/>
    <mergeCell ref="BH129:BI129"/>
    <mergeCell ref="BJ129:BK129"/>
    <mergeCell ref="BL129:BM129"/>
    <mergeCell ref="AJ129:AK129"/>
    <mergeCell ref="AL129:AM129"/>
    <mergeCell ref="AN129:AO129"/>
    <mergeCell ref="AP129:AQ129"/>
    <mergeCell ref="AR129:AS129"/>
    <mergeCell ref="AT129:AU129"/>
    <mergeCell ref="AV129:AW129"/>
    <mergeCell ref="AX129:AY129"/>
    <mergeCell ref="AZ129:BA129"/>
    <mergeCell ref="BN111:BO112"/>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BB111:BC111"/>
    <mergeCell ref="BD111:BE111"/>
    <mergeCell ref="BF111:BG111"/>
    <mergeCell ref="BH111:BI111"/>
    <mergeCell ref="BJ111:BK111"/>
    <mergeCell ref="BL111:BM111"/>
    <mergeCell ref="AJ111:AK111"/>
    <mergeCell ref="AL111:AM111"/>
    <mergeCell ref="AN111:AO111"/>
    <mergeCell ref="AP111:AQ111"/>
    <mergeCell ref="AR111:AS111"/>
    <mergeCell ref="AT111:AU111"/>
    <mergeCell ref="AV111:AW111"/>
    <mergeCell ref="AX111:AY111"/>
    <mergeCell ref="AZ111:BA11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BL100:BM100"/>
    <mergeCell ref="AH100:AI100"/>
    <mergeCell ref="AJ100:AK100"/>
    <mergeCell ref="AL100:AM100"/>
    <mergeCell ref="AN100:AO100"/>
    <mergeCell ref="AP100:AQ100"/>
    <mergeCell ref="AR100:AS100"/>
    <mergeCell ref="AT100:AU100"/>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BH91:BI91"/>
    <mergeCell ref="BJ91:BK91"/>
    <mergeCell ref="BL91:BM91"/>
    <mergeCell ref="AH91:AI91"/>
    <mergeCell ref="AJ91:AK91"/>
    <mergeCell ref="AL91:AM91"/>
    <mergeCell ref="AN91:AO91"/>
    <mergeCell ref="AP91:AQ91"/>
    <mergeCell ref="AR91:AS91"/>
    <mergeCell ref="AT91:AU91"/>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D77:BE77"/>
    <mergeCell ref="BF77:BG77"/>
    <mergeCell ref="BH77:BI77"/>
    <mergeCell ref="BJ77:BK77"/>
    <mergeCell ref="BL77:BM77"/>
    <mergeCell ref="AH77:AI77"/>
    <mergeCell ref="AJ77:AK77"/>
    <mergeCell ref="AL77:AM77"/>
    <mergeCell ref="AN77:AO77"/>
    <mergeCell ref="AP77:AQ77"/>
    <mergeCell ref="AR77:AS77"/>
    <mergeCell ref="AT77:AU77"/>
    <mergeCell ref="AV77:AW77"/>
    <mergeCell ref="AX77:AY77"/>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BD68:BE68"/>
    <mergeCell ref="BF68:BG68"/>
    <mergeCell ref="BH68:BI68"/>
    <mergeCell ref="BJ68:BK68"/>
    <mergeCell ref="BL68:BM68"/>
    <mergeCell ref="BN68:BO69"/>
    <mergeCell ref="AL68:AM68"/>
    <mergeCell ref="AN68:AO68"/>
    <mergeCell ref="AP68:AQ68"/>
    <mergeCell ref="AR68:AS68"/>
    <mergeCell ref="AT68:AU68"/>
    <mergeCell ref="AV68:AW68"/>
    <mergeCell ref="AX68:AY68"/>
    <mergeCell ref="AZ68:BA68"/>
    <mergeCell ref="BB68:BC68"/>
    <mergeCell ref="AN58:AO58"/>
    <mergeCell ref="AP58:AQ58"/>
    <mergeCell ref="AR58:AS58"/>
    <mergeCell ref="AT58:AU58"/>
    <mergeCell ref="AV58:AW58"/>
    <mergeCell ref="AX58:AY58"/>
    <mergeCell ref="AZ58:BA58"/>
    <mergeCell ref="BB58:BC58"/>
    <mergeCell ref="BD58:BE58"/>
    <mergeCell ref="BF57:BG57"/>
    <mergeCell ref="BH57:BI57"/>
    <mergeCell ref="BJ57:BK57"/>
    <mergeCell ref="BL57:BM57"/>
    <mergeCell ref="BN57:BO58"/>
    <mergeCell ref="BP57:BQ58"/>
    <mergeCell ref="BF58:BG58"/>
    <mergeCell ref="BH58:BI58"/>
    <mergeCell ref="BJ58:BK58"/>
    <mergeCell ref="BL58:BM58"/>
    <mergeCell ref="AN57:AO57"/>
    <mergeCell ref="AP57:AQ57"/>
    <mergeCell ref="AR57:AS57"/>
    <mergeCell ref="AT57:AU57"/>
    <mergeCell ref="AV57:AW57"/>
    <mergeCell ref="AX57:AY57"/>
    <mergeCell ref="AZ57:BA57"/>
    <mergeCell ref="BB57:BC57"/>
    <mergeCell ref="BD57:BE57"/>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BB27:BC27"/>
    <mergeCell ref="BD27:BE27"/>
    <mergeCell ref="BF27:BG27"/>
    <mergeCell ref="BH27:BI27"/>
    <mergeCell ref="BJ27:BK27"/>
    <mergeCell ref="BL27:BM27"/>
    <mergeCell ref="AH27:AI27"/>
    <mergeCell ref="AJ27:AK27"/>
    <mergeCell ref="AL27:AM27"/>
    <mergeCell ref="AN27:AO27"/>
    <mergeCell ref="AP27:AQ27"/>
    <mergeCell ref="AR27:AS27"/>
    <mergeCell ref="AT27:AU27"/>
    <mergeCell ref="AV27:AW27"/>
    <mergeCell ref="AX27:AY27"/>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BB1:BC1"/>
    <mergeCell ref="BD1:BE1"/>
    <mergeCell ref="BF1:BG1"/>
    <mergeCell ref="BH1:BI1"/>
    <mergeCell ref="BJ1:BK1"/>
    <mergeCell ref="BL1:BM1"/>
    <mergeCell ref="AJ1:AK1"/>
    <mergeCell ref="AL1:AM1"/>
    <mergeCell ref="AN1:AO1"/>
    <mergeCell ref="AP1:AQ1"/>
    <mergeCell ref="AR1:AS1"/>
    <mergeCell ref="AT1:AU1"/>
    <mergeCell ref="AV1:AW1"/>
    <mergeCell ref="AX1:AY1"/>
    <mergeCell ref="AZ1:BA1"/>
    <mergeCell ref="AJ412:AK413"/>
    <mergeCell ref="AJ421:AK422"/>
    <mergeCell ref="AJ435:AK436"/>
    <mergeCell ref="AJ57:AK57"/>
    <mergeCell ref="AL57:AM57"/>
    <mergeCell ref="AJ58:AK58"/>
    <mergeCell ref="AL58:AM58"/>
    <mergeCell ref="AJ68:AK68"/>
    <mergeCell ref="P436:Q436"/>
    <mergeCell ref="R436:S436"/>
    <mergeCell ref="T436:U436"/>
    <mergeCell ref="V436:W436"/>
    <mergeCell ref="X436:Y436"/>
    <mergeCell ref="Z436:AA436"/>
    <mergeCell ref="AD435:AE435"/>
    <mergeCell ref="AF435:AG435"/>
    <mergeCell ref="AH435:AI436"/>
    <mergeCell ref="AD436:AE436"/>
    <mergeCell ref="AF436:AG436"/>
    <mergeCell ref="Z422:AA422"/>
    <mergeCell ref="AB422:AC422"/>
    <mergeCell ref="AD422:AE422"/>
    <mergeCell ref="AF422:AG422"/>
    <mergeCell ref="T422:U422"/>
    <mergeCell ref="V422:W422"/>
    <mergeCell ref="X422:Y422"/>
    <mergeCell ref="X435:Y435"/>
    <mergeCell ref="Z435:AA435"/>
    <mergeCell ref="AB435:AC435"/>
    <mergeCell ref="AB436:AC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N422:O422"/>
    <mergeCell ref="P422:Q422"/>
    <mergeCell ref="R422:S422"/>
    <mergeCell ref="D436:E436"/>
    <mergeCell ref="F436:G436"/>
    <mergeCell ref="H436:I436"/>
    <mergeCell ref="J436:K436"/>
    <mergeCell ref="L436:M436"/>
    <mergeCell ref="N436:O436"/>
    <mergeCell ref="B421:B423"/>
    <mergeCell ref="C421:C423"/>
    <mergeCell ref="Z421:AA421"/>
    <mergeCell ref="AB421:AC421"/>
    <mergeCell ref="AD421:AE421"/>
    <mergeCell ref="AF421:AG421"/>
    <mergeCell ref="AH421:AI422"/>
    <mergeCell ref="D422:E422"/>
    <mergeCell ref="F422:G422"/>
    <mergeCell ref="H422:I422"/>
    <mergeCell ref="J422:K422"/>
    <mergeCell ref="L422:M422"/>
    <mergeCell ref="N421:O421"/>
    <mergeCell ref="P421:Q421"/>
    <mergeCell ref="R421:S421"/>
    <mergeCell ref="T421:U421"/>
    <mergeCell ref="V421:W421"/>
    <mergeCell ref="X421:Y421"/>
    <mergeCell ref="D421:E421"/>
    <mergeCell ref="F421:G421"/>
    <mergeCell ref="H421:I421"/>
    <mergeCell ref="J421:K421"/>
    <mergeCell ref="L421:M421"/>
    <mergeCell ref="AB412:AC412"/>
    <mergeCell ref="AD412:AE412"/>
    <mergeCell ref="AF412:AG412"/>
    <mergeCell ref="AH412:AI413"/>
    <mergeCell ref="D413:E413"/>
    <mergeCell ref="F413:G413"/>
    <mergeCell ref="H413:I413"/>
    <mergeCell ref="J413:K413"/>
    <mergeCell ref="L413:M413"/>
    <mergeCell ref="N413:O413"/>
    <mergeCell ref="P412:Q412"/>
    <mergeCell ref="R412:S412"/>
    <mergeCell ref="T412:U412"/>
    <mergeCell ref="V412:W412"/>
    <mergeCell ref="X412:Y412"/>
    <mergeCell ref="Z412:AA412"/>
    <mergeCell ref="AB413:AC413"/>
    <mergeCell ref="AD413:AE413"/>
    <mergeCell ref="AF413:AG413"/>
    <mergeCell ref="T413:U413"/>
    <mergeCell ref="V413:W413"/>
    <mergeCell ref="X413:Y413"/>
    <mergeCell ref="Z413:AA413"/>
    <mergeCell ref="R413:S413"/>
    <mergeCell ref="B412:B414"/>
    <mergeCell ref="C412:C414"/>
    <mergeCell ref="D412:E412"/>
    <mergeCell ref="F412:G412"/>
    <mergeCell ref="H412:I412"/>
    <mergeCell ref="J412:K412"/>
    <mergeCell ref="L412:M412"/>
    <mergeCell ref="N412:O412"/>
    <mergeCell ref="P413:Q413"/>
    <mergeCell ref="R380:S380"/>
    <mergeCell ref="AD379:AE379"/>
    <mergeCell ref="AF379:AG379"/>
    <mergeCell ref="D380:E380"/>
    <mergeCell ref="F380:G380"/>
    <mergeCell ref="H380:I380"/>
    <mergeCell ref="J380:K380"/>
    <mergeCell ref="L380:M380"/>
    <mergeCell ref="N380:O380"/>
    <mergeCell ref="P380:Q380"/>
    <mergeCell ref="R379:S379"/>
    <mergeCell ref="T379:U379"/>
    <mergeCell ref="V379:W379"/>
    <mergeCell ref="X379:Y379"/>
    <mergeCell ref="Z379:AA379"/>
    <mergeCell ref="AB379:AC379"/>
    <mergeCell ref="AD380:AE380"/>
    <mergeCell ref="AF380:AG380"/>
    <mergeCell ref="T380:U380"/>
    <mergeCell ref="V380:W380"/>
    <mergeCell ref="X380:Y380"/>
    <mergeCell ref="Z380:AA380"/>
    <mergeCell ref="AB380:AC380"/>
    <mergeCell ref="B379:B381"/>
    <mergeCell ref="C379:C381"/>
    <mergeCell ref="D379:E379"/>
    <mergeCell ref="F379:G379"/>
    <mergeCell ref="H379:I379"/>
    <mergeCell ref="J379:K379"/>
    <mergeCell ref="L379:M379"/>
    <mergeCell ref="N379:O379"/>
    <mergeCell ref="P379:Q379"/>
    <mergeCell ref="X368:Y368"/>
    <mergeCell ref="Z368:AA368"/>
    <mergeCell ref="AB368:AC368"/>
    <mergeCell ref="AD368:AE368"/>
    <mergeCell ref="AF368:AG368"/>
    <mergeCell ref="X369:Y369"/>
    <mergeCell ref="Z369:AA369"/>
    <mergeCell ref="AB369:AC369"/>
    <mergeCell ref="AD369:AE369"/>
    <mergeCell ref="AF369:AG369"/>
    <mergeCell ref="AH368:AI368"/>
    <mergeCell ref="L368:M368"/>
    <mergeCell ref="N368:O368"/>
    <mergeCell ref="P368:Q368"/>
    <mergeCell ref="R368:S368"/>
    <mergeCell ref="T368:U368"/>
    <mergeCell ref="V368:W368"/>
    <mergeCell ref="B368:B370"/>
    <mergeCell ref="C368:C370"/>
    <mergeCell ref="D368:E368"/>
    <mergeCell ref="F368:G368"/>
    <mergeCell ref="H368:I368"/>
    <mergeCell ref="J368:K368"/>
    <mergeCell ref="D369:E369"/>
    <mergeCell ref="F369:G369"/>
    <mergeCell ref="H369:I369"/>
    <mergeCell ref="J369:K369"/>
    <mergeCell ref="L369:M369"/>
    <mergeCell ref="N369:O369"/>
    <mergeCell ref="P369:Q369"/>
    <mergeCell ref="R369:S369"/>
    <mergeCell ref="T369:U369"/>
    <mergeCell ref="V369:W369"/>
    <mergeCell ref="AF346:AG346"/>
    <mergeCell ref="AB347:AC347"/>
    <mergeCell ref="AD347:AE347"/>
    <mergeCell ref="AF347:AG347"/>
    <mergeCell ref="P347:Q347"/>
    <mergeCell ref="R347:S347"/>
    <mergeCell ref="T347:U347"/>
    <mergeCell ref="V347:W347"/>
    <mergeCell ref="X347:Y347"/>
    <mergeCell ref="Z347:AA347"/>
    <mergeCell ref="T346:U346"/>
    <mergeCell ref="V346:W346"/>
    <mergeCell ref="X346:Y346"/>
    <mergeCell ref="Z346:AA346"/>
    <mergeCell ref="AB346:AC346"/>
    <mergeCell ref="AD346:AE346"/>
    <mergeCell ref="R346:S346"/>
    <mergeCell ref="AH346:AI346"/>
    <mergeCell ref="B346:B348"/>
    <mergeCell ref="C346:C348"/>
    <mergeCell ref="D346:E346"/>
    <mergeCell ref="F346:G346"/>
    <mergeCell ref="H346:I346"/>
    <mergeCell ref="J346:K346"/>
    <mergeCell ref="L346:M346"/>
    <mergeCell ref="N346:O346"/>
    <mergeCell ref="P346:Q346"/>
    <mergeCell ref="D347:E347"/>
    <mergeCell ref="F347:G347"/>
    <mergeCell ref="H347:I347"/>
    <mergeCell ref="J347:K347"/>
    <mergeCell ref="L347:M347"/>
    <mergeCell ref="N347:O347"/>
    <mergeCell ref="Z330:AA330"/>
    <mergeCell ref="AB330:AC330"/>
    <mergeCell ref="AD330:AE330"/>
    <mergeCell ref="AF330:AG330"/>
    <mergeCell ref="D331:E331"/>
    <mergeCell ref="F331:G331"/>
    <mergeCell ref="H331:I331"/>
    <mergeCell ref="J331:K331"/>
    <mergeCell ref="L331:M331"/>
    <mergeCell ref="N330:O330"/>
    <mergeCell ref="P330:Q330"/>
    <mergeCell ref="R330:S330"/>
    <mergeCell ref="T330:U330"/>
    <mergeCell ref="V330:W330"/>
    <mergeCell ref="X330:Y330"/>
    <mergeCell ref="AF331:AG331"/>
    <mergeCell ref="T331:U331"/>
    <mergeCell ref="V331:W331"/>
    <mergeCell ref="X331:Y331"/>
    <mergeCell ref="Z331:AA331"/>
    <mergeCell ref="AB331:AC331"/>
    <mergeCell ref="AD331:AE331"/>
    <mergeCell ref="N331:O331"/>
    <mergeCell ref="B330:B332"/>
    <mergeCell ref="C330:C332"/>
    <mergeCell ref="D330:E330"/>
    <mergeCell ref="F330:G330"/>
    <mergeCell ref="H330:I330"/>
    <mergeCell ref="J330:K330"/>
    <mergeCell ref="L330:M330"/>
    <mergeCell ref="P296:Q296"/>
    <mergeCell ref="R296:S296"/>
    <mergeCell ref="B295:B297"/>
    <mergeCell ref="C295:C297"/>
    <mergeCell ref="F295:G295"/>
    <mergeCell ref="H295:I295"/>
    <mergeCell ref="J295:K295"/>
    <mergeCell ref="L295:M295"/>
    <mergeCell ref="N295:O295"/>
    <mergeCell ref="P331:Q331"/>
    <mergeCell ref="R331:S331"/>
    <mergeCell ref="AB295:AC295"/>
    <mergeCell ref="AD295:AE295"/>
    <mergeCell ref="X261:Y261"/>
    <mergeCell ref="Z261:AA261"/>
    <mergeCell ref="AB261:AC261"/>
    <mergeCell ref="AD262:AE262"/>
    <mergeCell ref="AF262:AG262"/>
    <mergeCell ref="T262:U262"/>
    <mergeCell ref="V262:W262"/>
    <mergeCell ref="X262:Y262"/>
    <mergeCell ref="Z262:AA262"/>
    <mergeCell ref="AB262:AC262"/>
    <mergeCell ref="AF295:AG295"/>
    <mergeCell ref="D296:E296"/>
    <mergeCell ref="F296:G296"/>
    <mergeCell ref="H296:I296"/>
    <mergeCell ref="J296:K296"/>
    <mergeCell ref="L296:M296"/>
    <mergeCell ref="N296:O296"/>
    <mergeCell ref="P295:Q295"/>
    <mergeCell ref="R295:S295"/>
    <mergeCell ref="T295:U295"/>
    <mergeCell ref="V295:W295"/>
    <mergeCell ref="X295:Y295"/>
    <mergeCell ref="Z295:AA295"/>
    <mergeCell ref="AB296:AC296"/>
    <mergeCell ref="AD296:AE296"/>
    <mergeCell ref="AF296:AG296"/>
    <mergeCell ref="T296:U296"/>
    <mergeCell ref="V296:W296"/>
    <mergeCell ref="X296:Y296"/>
    <mergeCell ref="Z296:AA296"/>
    <mergeCell ref="D295:E295"/>
    <mergeCell ref="B261:B263"/>
    <mergeCell ref="C261:C263"/>
    <mergeCell ref="D261:E261"/>
    <mergeCell ref="F261:G261"/>
    <mergeCell ref="H261:I261"/>
    <mergeCell ref="J261:K261"/>
    <mergeCell ref="L261:M261"/>
    <mergeCell ref="N261:O261"/>
    <mergeCell ref="P261:Q261"/>
    <mergeCell ref="X249:Y249"/>
    <mergeCell ref="Z249:AA249"/>
    <mergeCell ref="AB249:AC249"/>
    <mergeCell ref="AD249:AE249"/>
    <mergeCell ref="AF249:AG249"/>
    <mergeCell ref="X250:Y250"/>
    <mergeCell ref="Z250:AA250"/>
    <mergeCell ref="AB250:AC250"/>
    <mergeCell ref="AD250:AE250"/>
    <mergeCell ref="AF250:AG250"/>
    <mergeCell ref="R262:S262"/>
    <mergeCell ref="AD261:AE261"/>
    <mergeCell ref="AF261:AG261"/>
    <mergeCell ref="D262:E262"/>
    <mergeCell ref="F262:G262"/>
    <mergeCell ref="H262:I262"/>
    <mergeCell ref="J262:K262"/>
    <mergeCell ref="L262:M262"/>
    <mergeCell ref="N262:O262"/>
    <mergeCell ref="P262:Q262"/>
    <mergeCell ref="R261:S261"/>
    <mergeCell ref="T261:U261"/>
    <mergeCell ref="V261:W261"/>
    <mergeCell ref="AH249:AI249"/>
    <mergeCell ref="L249:M249"/>
    <mergeCell ref="N249:O249"/>
    <mergeCell ref="P249:Q249"/>
    <mergeCell ref="R249:S249"/>
    <mergeCell ref="T249:U249"/>
    <mergeCell ref="V249:W249"/>
    <mergeCell ref="B249:B251"/>
    <mergeCell ref="C249:C251"/>
    <mergeCell ref="D249:E249"/>
    <mergeCell ref="F249:G249"/>
    <mergeCell ref="H249:I249"/>
    <mergeCell ref="J249:K249"/>
    <mergeCell ref="D250:E250"/>
    <mergeCell ref="F250:G250"/>
    <mergeCell ref="H250:I250"/>
    <mergeCell ref="J250:K250"/>
    <mergeCell ref="L250:M250"/>
    <mergeCell ref="N250:O250"/>
    <mergeCell ref="P250:Q250"/>
    <mergeCell ref="R250:S250"/>
    <mergeCell ref="T250:U250"/>
    <mergeCell ref="V250:W250"/>
    <mergeCell ref="AF224:AG224"/>
    <mergeCell ref="AB225:AC225"/>
    <mergeCell ref="AD225:AE225"/>
    <mergeCell ref="AF225:AG225"/>
    <mergeCell ref="P225:Q225"/>
    <mergeCell ref="R225:S225"/>
    <mergeCell ref="T225:U225"/>
    <mergeCell ref="V225:W225"/>
    <mergeCell ref="X225:Y225"/>
    <mergeCell ref="Z225:AA225"/>
    <mergeCell ref="T224:U224"/>
    <mergeCell ref="V224:W224"/>
    <mergeCell ref="X224:Y224"/>
    <mergeCell ref="Z224:AA224"/>
    <mergeCell ref="AB224:AC224"/>
    <mergeCell ref="AD224:AE224"/>
    <mergeCell ref="R224:S224"/>
    <mergeCell ref="AH224:AI224"/>
    <mergeCell ref="B224:B226"/>
    <mergeCell ref="C224:C226"/>
    <mergeCell ref="D224:E224"/>
    <mergeCell ref="F224:G224"/>
    <mergeCell ref="H224:I224"/>
    <mergeCell ref="J224:K224"/>
    <mergeCell ref="L224:M224"/>
    <mergeCell ref="N224:O224"/>
    <mergeCell ref="P224:Q224"/>
    <mergeCell ref="D225:E225"/>
    <mergeCell ref="F225:G225"/>
    <mergeCell ref="H225:I225"/>
    <mergeCell ref="J225:K225"/>
    <mergeCell ref="L225:M225"/>
    <mergeCell ref="N225:O225"/>
    <mergeCell ref="Z199:AA199"/>
    <mergeCell ref="AB199:AC199"/>
    <mergeCell ref="AD199:AE199"/>
    <mergeCell ref="AF199:AG199"/>
    <mergeCell ref="D200:E200"/>
    <mergeCell ref="F200:G200"/>
    <mergeCell ref="H200:I200"/>
    <mergeCell ref="J200:K200"/>
    <mergeCell ref="L200:M200"/>
    <mergeCell ref="N199:O199"/>
    <mergeCell ref="P199:Q199"/>
    <mergeCell ref="R199:S199"/>
    <mergeCell ref="T199:U199"/>
    <mergeCell ref="V199:W199"/>
    <mergeCell ref="X199:Y199"/>
    <mergeCell ref="AF200:AG200"/>
    <mergeCell ref="T200:U200"/>
    <mergeCell ref="V200:W200"/>
    <mergeCell ref="X200:Y200"/>
    <mergeCell ref="Z200:AA200"/>
    <mergeCell ref="AB200:AC200"/>
    <mergeCell ref="AD200:AE200"/>
    <mergeCell ref="N200:O200"/>
    <mergeCell ref="B199:B201"/>
    <mergeCell ref="C199:C201"/>
    <mergeCell ref="D199:E199"/>
    <mergeCell ref="F199:G199"/>
    <mergeCell ref="H199:I199"/>
    <mergeCell ref="J199:K199"/>
    <mergeCell ref="L199:M199"/>
    <mergeCell ref="P164:Q164"/>
    <mergeCell ref="R164:S164"/>
    <mergeCell ref="B163:B165"/>
    <mergeCell ref="C163:C165"/>
    <mergeCell ref="F163:G163"/>
    <mergeCell ref="H163:I163"/>
    <mergeCell ref="J163:K163"/>
    <mergeCell ref="L163:M163"/>
    <mergeCell ref="N163:O163"/>
    <mergeCell ref="P200:Q200"/>
    <mergeCell ref="R200:S200"/>
    <mergeCell ref="AB163:AC163"/>
    <mergeCell ref="AD163:AE163"/>
    <mergeCell ref="X145:Y145"/>
    <mergeCell ref="Z145:AA145"/>
    <mergeCell ref="AB145:AC145"/>
    <mergeCell ref="AD146:AE146"/>
    <mergeCell ref="AF146:AG146"/>
    <mergeCell ref="T146:U146"/>
    <mergeCell ref="V146:W146"/>
    <mergeCell ref="X146:Y146"/>
    <mergeCell ref="Z146:AA146"/>
    <mergeCell ref="AB146:AC146"/>
    <mergeCell ref="AF163:AG163"/>
    <mergeCell ref="D164:E164"/>
    <mergeCell ref="F164:G164"/>
    <mergeCell ref="H164:I164"/>
    <mergeCell ref="J164:K164"/>
    <mergeCell ref="L164:M164"/>
    <mergeCell ref="N164:O164"/>
    <mergeCell ref="P163:Q163"/>
    <mergeCell ref="R163:S163"/>
    <mergeCell ref="T163:U163"/>
    <mergeCell ref="V163:W163"/>
    <mergeCell ref="X163:Y163"/>
    <mergeCell ref="Z163:AA163"/>
    <mergeCell ref="AB164:AC164"/>
    <mergeCell ref="AD164:AE164"/>
    <mergeCell ref="AF164:AG164"/>
    <mergeCell ref="T164:U164"/>
    <mergeCell ref="V164:W164"/>
    <mergeCell ref="X164:Y164"/>
    <mergeCell ref="Z164:AA164"/>
    <mergeCell ref="D163:E163"/>
    <mergeCell ref="B145:B147"/>
    <mergeCell ref="C145:C147"/>
    <mergeCell ref="D145:E145"/>
    <mergeCell ref="F145:G145"/>
    <mergeCell ref="H145:I145"/>
    <mergeCell ref="J145:K145"/>
    <mergeCell ref="L145:M145"/>
    <mergeCell ref="N145:O145"/>
    <mergeCell ref="P145:Q145"/>
    <mergeCell ref="X129:Y129"/>
    <mergeCell ref="Z129:AA129"/>
    <mergeCell ref="AB129:AC129"/>
    <mergeCell ref="AD129:AE129"/>
    <mergeCell ref="AF129:AG129"/>
    <mergeCell ref="X130:Y130"/>
    <mergeCell ref="Z130:AA130"/>
    <mergeCell ref="AB130:AC130"/>
    <mergeCell ref="AD130:AE130"/>
    <mergeCell ref="AF130:AG130"/>
    <mergeCell ref="R146:S146"/>
    <mergeCell ref="AD145:AE145"/>
    <mergeCell ref="AF145:AG145"/>
    <mergeCell ref="D146:E146"/>
    <mergeCell ref="F146:G146"/>
    <mergeCell ref="H146:I146"/>
    <mergeCell ref="J146:K146"/>
    <mergeCell ref="L146:M146"/>
    <mergeCell ref="N146:O146"/>
    <mergeCell ref="P146:Q146"/>
    <mergeCell ref="R145:S145"/>
    <mergeCell ref="T145:U145"/>
    <mergeCell ref="V145:W145"/>
    <mergeCell ref="AH129:AI129"/>
    <mergeCell ref="L129:M129"/>
    <mergeCell ref="N129:O129"/>
    <mergeCell ref="P129:Q129"/>
    <mergeCell ref="R129:S129"/>
    <mergeCell ref="T129:U129"/>
    <mergeCell ref="V129:W129"/>
    <mergeCell ref="B129:B131"/>
    <mergeCell ref="C129:C131"/>
    <mergeCell ref="D129:E129"/>
    <mergeCell ref="F129:G129"/>
    <mergeCell ref="H129:I129"/>
    <mergeCell ref="J129:K129"/>
    <mergeCell ref="D130:E130"/>
    <mergeCell ref="F130:G130"/>
    <mergeCell ref="H130:I130"/>
    <mergeCell ref="J130:K130"/>
    <mergeCell ref="L130:M130"/>
    <mergeCell ref="N130:O130"/>
    <mergeCell ref="P130:Q130"/>
    <mergeCell ref="R130:S130"/>
    <mergeCell ref="T130:U130"/>
    <mergeCell ref="V130:W130"/>
    <mergeCell ref="AF111:AG111"/>
    <mergeCell ref="AB112:AC112"/>
    <mergeCell ref="AD112:AE112"/>
    <mergeCell ref="AF112:AG112"/>
    <mergeCell ref="P112:Q112"/>
    <mergeCell ref="R112:S112"/>
    <mergeCell ref="T112:U112"/>
    <mergeCell ref="V112:W112"/>
    <mergeCell ref="X112:Y112"/>
    <mergeCell ref="Z112:AA112"/>
    <mergeCell ref="T111:U111"/>
    <mergeCell ref="V111:W111"/>
    <mergeCell ref="X111:Y111"/>
    <mergeCell ref="Z111:AA111"/>
    <mergeCell ref="AB111:AC111"/>
    <mergeCell ref="AD111:AE111"/>
    <mergeCell ref="R111:S111"/>
    <mergeCell ref="AH111:AI111"/>
    <mergeCell ref="B111:B113"/>
    <mergeCell ref="C111:C113"/>
    <mergeCell ref="D111:E111"/>
    <mergeCell ref="F111:G111"/>
    <mergeCell ref="H111:I111"/>
    <mergeCell ref="J111:K111"/>
    <mergeCell ref="L111:M111"/>
    <mergeCell ref="N111:O111"/>
    <mergeCell ref="P111:Q111"/>
    <mergeCell ref="D112:E112"/>
    <mergeCell ref="F112:G112"/>
    <mergeCell ref="H112:I112"/>
    <mergeCell ref="J112:K112"/>
    <mergeCell ref="L112:M112"/>
    <mergeCell ref="N112:O112"/>
    <mergeCell ref="Z100:AA100"/>
    <mergeCell ref="AB100:AC100"/>
    <mergeCell ref="AD100:AE100"/>
    <mergeCell ref="AF100:AG100"/>
    <mergeCell ref="D101:E101"/>
    <mergeCell ref="F101:G101"/>
    <mergeCell ref="H101:I101"/>
    <mergeCell ref="J101:K101"/>
    <mergeCell ref="L101:M101"/>
    <mergeCell ref="N100:O100"/>
    <mergeCell ref="P100:Q100"/>
    <mergeCell ref="R100:S100"/>
    <mergeCell ref="T100:U100"/>
    <mergeCell ref="V100:W100"/>
    <mergeCell ref="X100:Y100"/>
    <mergeCell ref="AF101:AG101"/>
    <mergeCell ref="T101:U101"/>
    <mergeCell ref="V101:W101"/>
    <mergeCell ref="X101:Y101"/>
    <mergeCell ref="Z101:AA101"/>
    <mergeCell ref="AB101:AC101"/>
    <mergeCell ref="AD101:AE101"/>
    <mergeCell ref="N101:O101"/>
    <mergeCell ref="B100:B102"/>
    <mergeCell ref="C100:C102"/>
    <mergeCell ref="D100:E100"/>
    <mergeCell ref="F100:G100"/>
    <mergeCell ref="H100:I100"/>
    <mergeCell ref="J100:K100"/>
    <mergeCell ref="L100:M100"/>
    <mergeCell ref="P92:Q92"/>
    <mergeCell ref="R92:S92"/>
    <mergeCell ref="B91:B93"/>
    <mergeCell ref="C91:C93"/>
    <mergeCell ref="F91:G91"/>
    <mergeCell ref="H91:I91"/>
    <mergeCell ref="J91:K91"/>
    <mergeCell ref="L91:M91"/>
    <mergeCell ref="N91:O91"/>
    <mergeCell ref="P101:Q101"/>
    <mergeCell ref="R101:S101"/>
    <mergeCell ref="AB91:AC91"/>
    <mergeCell ref="AD91:AE91"/>
    <mergeCell ref="AF91:AG91"/>
    <mergeCell ref="D92:E92"/>
    <mergeCell ref="F92:G92"/>
    <mergeCell ref="H92:I92"/>
    <mergeCell ref="J92:K92"/>
    <mergeCell ref="L92:M92"/>
    <mergeCell ref="N92:O92"/>
    <mergeCell ref="P91:Q91"/>
    <mergeCell ref="R91:S91"/>
    <mergeCell ref="T91:U91"/>
    <mergeCell ref="V91:W91"/>
    <mergeCell ref="X91:Y91"/>
    <mergeCell ref="Z91:AA91"/>
    <mergeCell ref="AB92:AC92"/>
    <mergeCell ref="AD92:AE92"/>
    <mergeCell ref="AF92:AG92"/>
    <mergeCell ref="T92:U92"/>
    <mergeCell ref="V92:W92"/>
    <mergeCell ref="X92:Y92"/>
    <mergeCell ref="Z92:AA92"/>
    <mergeCell ref="D91:E91"/>
    <mergeCell ref="X69:Y69"/>
    <mergeCell ref="Z69:AA69"/>
    <mergeCell ref="AB69:AC69"/>
    <mergeCell ref="AD69:AE69"/>
    <mergeCell ref="AF69:AG69"/>
    <mergeCell ref="R78:S78"/>
    <mergeCell ref="AD77:AE77"/>
    <mergeCell ref="AF77:AG77"/>
    <mergeCell ref="D78:E78"/>
    <mergeCell ref="F78:G78"/>
    <mergeCell ref="H78:I78"/>
    <mergeCell ref="J78:K78"/>
    <mergeCell ref="L78:M78"/>
    <mergeCell ref="N78:O78"/>
    <mergeCell ref="P78:Q78"/>
    <mergeCell ref="R77:S77"/>
    <mergeCell ref="T77:U77"/>
    <mergeCell ref="V77:W77"/>
    <mergeCell ref="X77:Y77"/>
    <mergeCell ref="Z77:AA77"/>
    <mergeCell ref="AB77:AC77"/>
    <mergeCell ref="AD78:AE78"/>
    <mergeCell ref="AF78:AG78"/>
    <mergeCell ref="T78:U78"/>
    <mergeCell ref="V78:W78"/>
    <mergeCell ref="X78:Y78"/>
    <mergeCell ref="Z78:AA78"/>
    <mergeCell ref="AB78:AC78"/>
    <mergeCell ref="B68:B70"/>
    <mergeCell ref="C68:C70"/>
    <mergeCell ref="D68:E68"/>
    <mergeCell ref="F68:G68"/>
    <mergeCell ref="H68:I68"/>
    <mergeCell ref="J68:K68"/>
    <mergeCell ref="D69:E69"/>
    <mergeCell ref="F69:G69"/>
    <mergeCell ref="H69:I69"/>
    <mergeCell ref="J69:K69"/>
    <mergeCell ref="L69:M69"/>
    <mergeCell ref="N69:O69"/>
    <mergeCell ref="P69:Q69"/>
    <mergeCell ref="R69:S69"/>
    <mergeCell ref="T69:U69"/>
    <mergeCell ref="V69:W69"/>
    <mergeCell ref="B77:B79"/>
    <mergeCell ref="C77:C79"/>
    <mergeCell ref="D77:E77"/>
    <mergeCell ref="F77:G77"/>
    <mergeCell ref="H77:I77"/>
    <mergeCell ref="J77:K77"/>
    <mergeCell ref="L77:M77"/>
    <mergeCell ref="N77:O77"/>
    <mergeCell ref="P77:Q77"/>
    <mergeCell ref="AH57:AI57"/>
    <mergeCell ref="AH58:AI58"/>
    <mergeCell ref="AF28:AG28"/>
    <mergeCell ref="T28:U28"/>
    <mergeCell ref="V28:W28"/>
    <mergeCell ref="X28:Y28"/>
    <mergeCell ref="Z28:AA28"/>
    <mergeCell ref="Z57:AA57"/>
    <mergeCell ref="AB57:AC57"/>
    <mergeCell ref="AD57:AE57"/>
    <mergeCell ref="AF57:AG57"/>
    <mergeCell ref="AD28:AE28"/>
    <mergeCell ref="AB58:AC58"/>
    <mergeCell ref="AD58:AE58"/>
    <mergeCell ref="AH68:AI68"/>
    <mergeCell ref="L68:M68"/>
    <mergeCell ref="N68:O68"/>
    <mergeCell ref="P68:Q68"/>
    <mergeCell ref="R68:S68"/>
    <mergeCell ref="T68:U68"/>
    <mergeCell ref="V68:W68"/>
    <mergeCell ref="X68:Y68"/>
    <mergeCell ref="Z68:AA68"/>
    <mergeCell ref="AB68:AC68"/>
    <mergeCell ref="AD68:AE68"/>
    <mergeCell ref="AF68:AG68"/>
    <mergeCell ref="L58:M58"/>
    <mergeCell ref="N58:O58"/>
    <mergeCell ref="N28:O28"/>
    <mergeCell ref="R27:S27"/>
    <mergeCell ref="AF58:AG58"/>
    <mergeCell ref="P58:Q58"/>
    <mergeCell ref="R58:S58"/>
    <mergeCell ref="T58:U58"/>
    <mergeCell ref="V58:W58"/>
    <mergeCell ref="X58:Y58"/>
    <mergeCell ref="Z58:AA58"/>
    <mergeCell ref="T57:U57"/>
    <mergeCell ref="V57:W57"/>
    <mergeCell ref="X57:Y57"/>
    <mergeCell ref="F27:G27"/>
    <mergeCell ref="H27:I27"/>
    <mergeCell ref="J27:K27"/>
    <mergeCell ref="L27:M27"/>
    <mergeCell ref="N27:O27"/>
    <mergeCell ref="P27:Q27"/>
    <mergeCell ref="AB28:AC28"/>
    <mergeCell ref="Z1:AA1"/>
    <mergeCell ref="AB1:AC1"/>
    <mergeCell ref="AD1:AE1"/>
    <mergeCell ref="AF1:AG1"/>
    <mergeCell ref="X2:Y2"/>
    <mergeCell ref="Z2:AA2"/>
    <mergeCell ref="AB2:AC2"/>
    <mergeCell ref="AD2:AE2"/>
    <mergeCell ref="AF2:AG2"/>
    <mergeCell ref="B57:B59"/>
    <mergeCell ref="C57:C59"/>
    <mergeCell ref="D57:E57"/>
    <mergeCell ref="F57:G57"/>
    <mergeCell ref="H57:I57"/>
    <mergeCell ref="J57:K57"/>
    <mergeCell ref="L57:M57"/>
    <mergeCell ref="P28:Q28"/>
    <mergeCell ref="R28:S28"/>
    <mergeCell ref="N57:O57"/>
    <mergeCell ref="P57:Q57"/>
    <mergeCell ref="R57:S57"/>
    <mergeCell ref="D58:E58"/>
    <mergeCell ref="F58:G58"/>
    <mergeCell ref="H58:I58"/>
    <mergeCell ref="J58:K58"/>
    <mergeCell ref="B27:B29"/>
    <mergeCell ref="C27:C29"/>
    <mergeCell ref="D28:E28"/>
    <mergeCell ref="F28:G28"/>
    <mergeCell ref="H28:I28"/>
    <mergeCell ref="J28:K28"/>
    <mergeCell ref="L28:M28"/>
    <mergeCell ref="AH1:AI1"/>
    <mergeCell ref="L1:M1"/>
    <mergeCell ref="N1:O1"/>
    <mergeCell ref="P1:Q1"/>
    <mergeCell ref="R1:S1"/>
    <mergeCell ref="T1:U1"/>
    <mergeCell ref="V1:W1"/>
    <mergeCell ref="AD27:AE27"/>
    <mergeCell ref="AF27:AG27"/>
    <mergeCell ref="B1:B3"/>
    <mergeCell ref="C1:C3"/>
    <mergeCell ref="D1:E1"/>
    <mergeCell ref="F1:G1"/>
    <mergeCell ref="H1:I1"/>
    <mergeCell ref="J1:K1"/>
    <mergeCell ref="D2:E2"/>
    <mergeCell ref="F2:G2"/>
    <mergeCell ref="H2:I2"/>
    <mergeCell ref="J2:K2"/>
    <mergeCell ref="L2:M2"/>
    <mergeCell ref="N2:O2"/>
    <mergeCell ref="P2:Q2"/>
    <mergeCell ref="R2:S2"/>
    <mergeCell ref="T2:U2"/>
    <mergeCell ref="V2:W2"/>
    <mergeCell ref="X1:Y1"/>
    <mergeCell ref="T27:U27"/>
    <mergeCell ref="V27:W27"/>
    <mergeCell ref="X27:Y27"/>
    <mergeCell ref="Z27:AA27"/>
    <mergeCell ref="AB27:AC27"/>
    <mergeCell ref="D27:E27"/>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個人別獲得表(2月前半）</oddHeader>
    <oddFooter>&amp;C&amp;20&amp;P / &amp;N ページ</oddFooter>
  </headerFooter>
  <rowBreaks count="11" manualBreakCount="11">
    <brk id="25" max="74" man="1"/>
    <brk id="55" max="74" man="1"/>
    <brk id="90" max="74" man="1"/>
    <brk id="127" max="74" man="1"/>
    <brk id="161" max="74" man="1"/>
    <brk id="197" max="74" man="1"/>
    <brk id="222" max="74" man="1"/>
    <brk id="260" max="16383" man="1"/>
    <brk id="294" max="74" man="1"/>
    <brk id="329" max="74" man="1"/>
    <brk id="378"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745D1-0A6F-44D9-8712-E6F8EEF28766}">
  <sheetPr codeName="Sheet8">
    <pageSetUpPr fitToPage="1"/>
  </sheetPr>
  <dimension ref="A1:AK143"/>
  <sheetViews>
    <sheetView showZeros="0" topLeftCell="A252" zoomScale="115" zoomScaleNormal="115" workbookViewId="0">
      <selection activeCell="K128" sqref="K128"/>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",_xlfn.VALUETOTEXT(COUNTA(A3:A14)*3+COUNTIF(B3:B14,"=●")*3),"件")</f>
        <v>グループA  45件</v>
      </c>
      <c r="B2" s="308"/>
      <c r="C2" s="80">
        <f>SUM(C3:C13)</f>
        <v>0</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0</v>
      </c>
      <c r="M2" s="309" t="str">
        <f>CONCATENATE("グループD  ",_xlfn.VALUETOTEXT(COUNTA(M3:M12)*3+COUNTIF(N3:N12,"=●")*3),"件")</f>
        <v>グループD  36件</v>
      </c>
      <c r="N2" s="310"/>
      <c r="O2" s="434">
        <f>SUM(O3:O13)</f>
        <v>0</v>
      </c>
      <c r="P2" s="138"/>
      <c r="Q2" s="138"/>
    </row>
    <row r="3" spans="1:17" ht="14.25" thickTop="1">
      <c r="A3" s="300" t="str">
        <f>'集計表(1～3月) '!A3</f>
        <v>古瀬　裕二</v>
      </c>
      <c r="B3" s="287" t="str">
        <f>'集計表(1～3月) '!B3</f>
        <v>●</v>
      </c>
      <c r="C3" s="173">
        <f>VLOOKUP(A3,'2月'!$B$4:$BQ$342,65,FALSE)</f>
        <v>0</v>
      </c>
      <c r="D3" s="1"/>
      <c r="E3" s="302" t="str">
        <f>'集計表(1～3月) '!E3</f>
        <v>熊谷　正浩</v>
      </c>
      <c r="F3" s="289">
        <f>'集計表(1～3月) '!F3</f>
        <v>0</v>
      </c>
      <c r="G3" s="173">
        <f>VLOOKUP(E3,'2月'!$B$4:$BQ$342,65,FALSE)</f>
        <v>0</v>
      </c>
      <c r="I3" s="347" t="str">
        <f>'集計表(1～3月) '!I3</f>
        <v>佐々木　あゆみ</v>
      </c>
      <c r="J3" s="294" t="str">
        <f>'集計表(1～3月) '!J3</f>
        <v>●</v>
      </c>
      <c r="K3" s="173">
        <f>VLOOKUP(I3,'2月'!$B$4:$BQ$342,65,FALSE)</f>
        <v>0</v>
      </c>
      <c r="M3" s="305" t="str">
        <f>'集計表(1～3月) '!M3</f>
        <v>中山　明洋</v>
      </c>
      <c r="N3" s="289" t="str">
        <f>'集計表(1～3月) '!N3</f>
        <v>●</v>
      </c>
      <c r="O3" s="173">
        <f>VLOOKUP(M3,'2月'!$B$4:$BQ$342,65,FALSE)</f>
        <v>0</v>
      </c>
      <c r="P3" s="1"/>
      <c r="Q3" s="1"/>
    </row>
    <row r="4" spans="1:17">
      <c r="A4" s="301" t="str">
        <f>'集計表(1～3月) '!A4</f>
        <v>工藤　あずさ</v>
      </c>
      <c r="B4" s="288">
        <f>'集計表(1～3月) '!B4</f>
        <v>0</v>
      </c>
      <c r="C4" s="109">
        <f>VLOOKUP(A4,'2月'!$B$4:$BQ$342,65,FALSE)</f>
        <v>0</v>
      </c>
      <c r="D4" s="1"/>
      <c r="E4" s="303" t="str">
        <f>'集計表(1～3月) '!E4</f>
        <v>近藤　綾乃</v>
      </c>
      <c r="F4" s="290">
        <f>'集計表(1～3月) '!F4</f>
        <v>0</v>
      </c>
      <c r="G4" s="82">
        <f>VLOOKUP(E4,'2月'!$B$4:$BQ$342,65,FALSE)</f>
        <v>0</v>
      </c>
      <c r="I4" s="303" t="str">
        <f>'集計表(1～3月) '!I4</f>
        <v>川守田　拓</v>
      </c>
      <c r="J4" s="290">
        <f>'集計表(1～3月) '!J4</f>
        <v>0</v>
      </c>
      <c r="K4" s="82">
        <f>VLOOKUP(I4,'2月'!$B$4:$BQ$342,65,FALSE)</f>
        <v>0</v>
      </c>
      <c r="M4" s="301" t="str">
        <f>'集計表(1～3月) '!M4</f>
        <v>中里　郁子</v>
      </c>
      <c r="N4" s="290" t="str">
        <f>'集計表(1～3月) '!N4</f>
        <v>●</v>
      </c>
      <c r="O4" s="85">
        <f>VLOOKUP(M4,'2月'!$B$4:$BQ$342,65,FALSE)</f>
        <v>0</v>
      </c>
      <c r="P4" s="1"/>
      <c r="Q4" s="1"/>
    </row>
    <row r="5" spans="1:17">
      <c r="A5" s="127" t="str">
        <f>'集計表(1～3月) '!A5</f>
        <v>伊藤　良子</v>
      </c>
      <c r="B5" s="288">
        <f>'集計表(1～3月) '!B5</f>
        <v>0</v>
      </c>
      <c r="C5" s="109">
        <f>VLOOKUP(A5,'2月'!$B$4:$BQ$342,65,FALSE)</f>
        <v>0</v>
      </c>
      <c r="D5" s="1"/>
      <c r="E5" s="127" t="str">
        <f>'集計表(1～3月) '!E5</f>
        <v>石橋　直子</v>
      </c>
      <c r="F5" s="290">
        <f>'集計表(1～3月) '!F5</f>
        <v>0</v>
      </c>
      <c r="G5" s="82">
        <f>VLOOKUP(E5,'2月'!$B$4:$BQ$342,65,FALSE)</f>
        <v>0</v>
      </c>
      <c r="I5" s="125" t="str">
        <f>'集計表(1～3月) '!I5</f>
        <v>上村　聰子</v>
      </c>
      <c r="J5" s="290">
        <f>'集計表(1～3月) '!J5</f>
        <v>0</v>
      </c>
      <c r="K5" s="82">
        <f>VLOOKUP(I5,'2月'!$B$4:$BQ$342,65,FALSE)</f>
        <v>0</v>
      </c>
      <c r="M5" s="127" t="str">
        <f>'集計表(1～3月) '!M5</f>
        <v>川村　一覚</v>
      </c>
      <c r="N5" s="290">
        <f>'集計表(1～3月) '!N5</f>
        <v>0</v>
      </c>
      <c r="O5" s="85">
        <f>VLOOKUP(M5,'2月'!$B$4:$BQ$342,65,FALSE)</f>
        <v>0</v>
      </c>
      <c r="P5" s="1"/>
      <c r="Q5" s="1"/>
    </row>
    <row r="6" spans="1:17">
      <c r="A6" s="127" t="str">
        <f>'集計表(1～3月) '!A6</f>
        <v>梅津　昭勝</v>
      </c>
      <c r="B6" s="136" t="str">
        <f>'集計表(1～3月) '!B6</f>
        <v>●</v>
      </c>
      <c r="C6" s="109">
        <f>VLOOKUP(A6,'2月'!$B$4:$BQ$342,65,FALSE)</f>
        <v>0</v>
      </c>
      <c r="D6" s="1"/>
      <c r="E6" s="125" t="str">
        <f>'集計表(1～3月) '!E6</f>
        <v>上野　喜幸</v>
      </c>
      <c r="F6" s="290">
        <f>'集計表(1～3月) '!F6</f>
        <v>0</v>
      </c>
      <c r="G6" s="82">
        <f>VLOOKUP(E6,'2月'!$B$4:$BQ$342,65,FALSE)</f>
        <v>0</v>
      </c>
      <c r="I6" s="125" t="str">
        <f>'集計表(1～3月) '!I6</f>
        <v>大下　孝志</v>
      </c>
      <c r="J6" s="290">
        <f>'集計表(1～3月) '!J6</f>
        <v>0</v>
      </c>
      <c r="K6" s="82">
        <f>VLOOKUP(I6,'2月'!$B$4:$BQ$342,65,FALSE)</f>
        <v>0</v>
      </c>
      <c r="M6" s="127" t="str">
        <f>'集計表(1～3月) '!M6</f>
        <v>小西　裕子</v>
      </c>
      <c r="N6" s="290">
        <f>'集計表(1～3月) '!N6</f>
        <v>0</v>
      </c>
      <c r="O6" s="85">
        <f>VLOOKUP(M6,'2月'!$B$4:$BQ$342,65,FALSE)</f>
        <v>0</v>
      </c>
      <c r="P6" s="1"/>
      <c r="Q6" s="1"/>
    </row>
    <row r="7" spans="1:17">
      <c r="A7" s="127" t="str">
        <f>'集計表(1～3月) '!A7</f>
        <v>河村　久美子</v>
      </c>
      <c r="B7" s="288">
        <f>'集計表(1～3月) '!B7</f>
        <v>0</v>
      </c>
      <c r="C7" s="109">
        <f>VLOOKUP(A7,'2月'!$B$4:$BQ$342,65,FALSE)</f>
        <v>0</v>
      </c>
      <c r="D7" s="1"/>
      <c r="E7" s="125" t="e">
        <f>'集計表(1～3月) '!#REF!</f>
        <v>#REF!</v>
      </c>
      <c r="F7" s="290" t="e">
        <f>'集計表(1～3月) '!#REF!</f>
        <v>#REF!</v>
      </c>
      <c r="G7" s="82" t="e">
        <f>VLOOKUP(E7,'2月'!$B$4:$BQ$342,65,FALSE)</f>
        <v>#REF!</v>
      </c>
      <c r="I7" s="125" t="str">
        <f>'集計表(1～3月) '!I7</f>
        <v>小笠原　健一</v>
      </c>
      <c r="J7" s="290">
        <f>'集計表(1～3月) '!J7</f>
        <v>0</v>
      </c>
      <c r="K7" s="82">
        <f>VLOOKUP(I7,'2月'!$B$4:$BQ$342,65,FALSE)</f>
        <v>0</v>
      </c>
      <c r="M7" s="127" t="str">
        <f>'集計表(1～3月) '!M7</f>
        <v>坂口　典子</v>
      </c>
      <c r="N7" s="290">
        <f>'集計表(1～3月) '!N7</f>
        <v>0</v>
      </c>
      <c r="O7" s="85">
        <f>VLOOKUP(M7,'2月'!$B$4:$BQ$342,65,FALSE)</f>
        <v>0</v>
      </c>
      <c r="P7" s="1"/>
      <c r="Q7" s="1"/>
    </row>
    <row r="8" spans="1:17">
      <c r="A8" s="127" t="str">
        <f>'集計表(1～3月) '!A8</f>
        <v>木村　貴子</v>
      </c>
      <c r="B8" s="344">
        <f>'集計表(1～3月) '!B8</f>
        <v>0</v>
      </c>
      <c r="C8" s="109">
        <f>VLOOKUP(A8,'2月'!$B$4:$BQ$342,65,FALSE)</f>
        <v>0</v>
      </c>
      <c r="D8" s="1"/>
      <c r="E8" s="125" t="str">
        <f>'集計表(1～3月) '!E7</f>
        <v>小平　厚子</v>
      </c>
      <c r="F8" s="290">
        <f>'集計表(1～3月) '!F7</f>
        <v>0</v>
      </c>
      <c r="G8" s="82">
        <f>VLOOKUP(E8,'2月'!$B$4:$BQ$342,65,FALSE)</f>
        <v>0</v>
      </c>
      <c r="I8" s="131" t="str">
        <f>'集計表(1～3月) '!I8</f>
        <v>奥谷　和広</v>
      </c>
      <c r="J8" s="293" t="str">
        <f>'集計表(1～3月) '!J8</f>
        <v>●</v>
      </c>
      <c r="K8" s="82">
        <f>VLOOKUP(I8,'2月'!$B$4:$BQ$342,65,FALSE)</f>
        <v>0</v>
      </c>
      <c r="M8" s="127" t="str">
        <f>'集計表(1～3月) '!M8</f>
        <v>佐藤　進</v>
      </c>
      <c r="N8" s="290">
        <f>'集計表(1～3月) '!N8</f>
        <v>0</v>
      </c>
      <c r="O8" s="85">
        <f>VLOOKUP(M8,'2月'!$B$4:$BQ$342,65,FALSE)</f>
        <v>0</v>
      </c>
      <c r="P8" s="1"/>
      <c r="Q8" s="1"/>
    </row>
    <row r="9" spans="1:17">
      <c r="A9" s="127" t="str">
        <f>'集計表(1～3月) '!A9</f>
        <v>澤田　敏秋</v>
      </c>
      <c r="B9" s="288" t="str">
        <f>'集計表(1～3月) '!B9</f>
        <v>●</v>
      </c>
      <c r="C9" s="109">
        <f>VLOOKUP(A9,'2月'!$B$4:$BQ$342,65,FALSE)</f>
        <v>0</v>
      </c>
      <c r="D9" s="1"/>
      <c r="E9" s="125" t="str">
        <f>'集計表(1～3月) '!E8</f>
        <v>坂本　里美</v>
      </c>
      <c r="F9" s="290">
        <f>'集計表(1～3月) '!F8</f>
        <v>0</v>
      </c>
      <c r="G9" s="82">
        <f>VLOOKUP(E9,'2月'!$B$4:$BQ$342,65,FALSE)</f>
        <v>0</v>
      </c>
      <c r="I9" s="131" t="str">
        <f>'集計表(1～3月) '!I9</f>
        <v>工藤　春美</v>
      </c>
      <c r="J9" s="293">
        <f>'集計表(1～3月) '!J9</f>
        <v>0</v>
      </c>
      <c r="K9" s="82">
        <f>VLOOKUP(I9,'2月'!$B$4:$BQ$342,65,FALSE)</f>
        <v>0</v>
      </c>
      <c r="M9" s="127" t="str">
        <f>'集計表(1～3月) '!M9</f>
        <v>戸舘　直人</v>
      </c>
      <c r="N9" s="293">
        <f>'集計表(1～3月) '!N9</f>
        <v>0</v>
      </c>
      <c r="O9" s="85">
        <f>VLOOKUP(M9,'2月'!$B$4:$BQ$342,65,FALSE)</f>
        <v>0</v>
      </c>
      <c r="P9" s="1"/>
      <c r="Q9" s="1"/>
    </row>
    <row r="10" spans="1:17">
      <c r="A10" s="127" t="str">
        <f>'集計表(1～3月) '!A10</f>
        <v>瀧口　健史</v>
      </c>
      <c r="B10" s="290">
        <f>'集計表(1～3月) '!B10</f>
        <v>0</v>
      </c>
      <c r="C10" s="109">
        <f>VLOOKUP(A10,'2月'!$B$4:$BQ$342,65,FALSE)</f>
        <v>0</v>
      </c>
      <c r="D10" s="1"/>
      <c r="E10" s="125" t="str">
        <f>'集計表(1～3月) '!E9</f>
        <v>杉浦　ゆみ子</v>
      </c>
      <c r="F10" s="290">
        <f>'集計表(1～3月) '!F9</f>
        <v>0</v>
      </c>
      <c r="G10" s="82">
        <f>VLOOKUP(E10,'2月'!$B$4:$BQ$342,65,FALSE)</f>
        <v>0</v>
      </c>
      <c r="I10" s="125" t="str">
        <f>'集計表(1～3月) '!I10</f>
        <v>今野　友生</v>
      </c>
      <c r="J10" s="290">
        <f>'集計表(1～3月) '!J10</f>
        <v>0</v>
      </c>
      <c r="K10" s="82">
        <f>VLOOKUP(I10,'2月'!$B$4:$BQ$342,65,FALSE)</f>
        <v>0</v>
      </c>
      <c r="M10" s="127" t="str">
        <f>'集計表(1～3月) '!M10</f>
        <v>豊川　真紀</v>
      </c>
      <c r="N10" s="293">
        <f>'集計表(1～3月) '!N10</f>
        <v>0</v>
      </c>
      <c r="O10" s="85">
        <f>VLOOKUP(M10,'2月'!$B$4:$BQ$342,65,FALSE)</f>
        <v>0</v>
      </c>
      <c r="P10" s="1"/>
      <c r="Q10" s="1"/>
    </row>
    <row r="11" spans="1:17">
      <c r="A11" s="125" t="str">
        <f>'集計表(1～3月) '!A11</f>
        <v>中村　盛宥</v>
      </c>
      <c r="B11" s="290">
        <f>'集計表(1～3月) '!B11</f>
        <v>0</v>
      </c>
      <c r="C11" s="109">
        <f>VLOOKUP(A11,'2月'!$B$4:$BQ$342,65,FALSE)</f>
        <v>0</v>
      </c>
      <c r="D11" s="1"/>
      <c r="E11" s="129" t="str">
        <f>'集計表(1～3月) '!E10</f>
        <v>出貝　千拓</v>
      </c>
      <c r="F11" s="291">
        <f>'集計表(1～3月) '!F10</f>
        <v>0</v>
      </c>
      <c r="G11" s="82">
        <f>VLOOKUP(E11,'2月'!$B$4:$BQ$342,65,FALSE)</f>
        <v>0</v>
      </c>
      <c r="I11" s="125" t="str">
        <f>'集計表(1～3月) '!I11</f>
        <v>柞木田　久子</v>
      </c>
      <c r="J11" s="290">
        <f>'集計表(1～3月) '!J11</f>
        <v>0</v>
      </c>
      <c r="K11" s="82">
        <f>VLOOKUP(I11,'2月'!$B$4:$BQ$342,65,FALSE)</f>
        <v>0</v>
      </c>
      <c r="M11" s="127" t="str">
        <f>'集計表(1～3月) '!M11</f>
        <v>野﨑　浩士</v>
      </c>
      <c r="N11" s="293">
        <f>'集計表(1～3月) '!N11</f>
        <v>0</v>
      </c>
      <c r="O11" s="85">
        <f>VLOOKUP(M11,'2月'!$B$4:$BQ$342,65,FALSE)</f>
        <v>0</v>
      </c>
      <c r="P11" s="1"/>
      <c r="Q11" s="1"/>
    </row>
    <row r="12" spans="1:17" ht="14.25" thickBot="1">
      <c r="A12" s="127" t="str">
        <f>'集計表(1～3月) '!A12</f>
        <v>廣田　真紀</v>
      </c>
      <c r="B12" s="290">
        <f>'集計表(1～3月) '!B12</f>
        <v>0</v>
      </c>
      <c r="C12" s="109">
        <f>VLOOKUP(A12,'2月'!$B$4:$BQ$342,65,FALSE)</f>
        <v>0</v>
      </c>
      <c r="E12" s="273" t="str">
        <f>'集計表(1～3月) '!E11</f>
        <v>松井　蓮奈</v>
      </c>
      <c r="F12" s="290">
        <f>'集計表(1～3月) '!F11</f>
        <v>0</v>
      </c>
      <c r="G12" s="82">
        <f>VLOOKUP(E12,'2月'!$B$4:$BQ$342,65,FALSE)</f>
        <v>0</v>
      </c>
      <c r="I12" s="125" t="str">
        <f>'集計表(1～3月) '!I12</f>
        <v>田名部　夢生</v>
      </c>
      <c r="J12" s="290">
        <f>'集計表(1～3月) '!J12</f>
        <v>0</v>
      </c>
      <c r="K12" s="82">
        <f>VLOOKUP(I12,'2月'!$B$4:$BQ$342,65,FALSE)</f>
        <v>0</v>
      </c>
      <c r="M12" s="126" t="str">
        <f>'集計表(1～3月) '!M12</f>
        <v>林　悠</v>
      </c>
      <c r="N12" s="295">
        <f>'集計表(1～3月) '!N12</f>
        <v>0</v>
      </c>
      <c r="O12" s="191">
        <f>VLOOKUP(M12,'2月'!$B$4:$BQ$342,65,FALSE)</f>
        <v>0</v>
      </c>
      <c r="P12" s="1"/>
      <c r="Q12" s="1"/>
    </row>
    <row r="13" spans="1:17" ht="14.25" thickBot="1">
      <c r="A13" s="343" t="str">
        <f>'集計表(1～3月) '!A13</f>
        <v>三浦　賢子</v>
      </c>
      <c r="B13" s="345">
        <f>'集計表(1～3月) '!B13</f>
        <v>0</v>
      </c>
      <c r="C13" s="83">
        <f>VLOOKUP(A13,'2月'!$B$4:$BQ$342,65,FALSE)</f>
        <v>0</v>
      </c>
      <c r="D13" s="1"/>
      <c r="E13" s="296" t="str">
        <f>'集計表(1～3月) '!E12</f>
        <v>山内　まゆみ</v>
      </c>
      <c r="F13" s="297">
        <f>'集計表(1～3月) '!F12</f>
        <v>0</v>
      </c>
      <c r="G13" s="84">
        <f>VLOOKUP(E13,'2月'!$B$4:$BQ$342,65,FALSE)</f>
        <v>0</v>
      </c>
      <c r="I13" s="270" t="str">
        <f>'集計表(1～3月) '!I13</f>
        <v>三浦　朱里</v>
      </c>
      <c r="J13" s="292">
        <f>'集計表(1～3月) '!J13</f>
        <v>0</v>
      </c>
      <c r="K13" s="84">
        <f>VLOOKUP(I13,'2月'!$B$4:$BQ$342,65,FALSE)</f>
        <v>0</v>
      </c>
      <c r="M13" s="134"/>
      <c r="N13" s="192"/>
      <c r="P13" s="1"/>
      <c r="Q13" s="1"/>
    </row>
    <row r="14" spans="1:17" ht="14.25" thickBot="1">
      <c r="A14" s="126" t="str">
        <f>'集計表(1～3月) '!A14</f>
        <v>渡辺　真由美</v>
      </c>
      <c r="B14" s="292">
        <f>'集計表(1～3月) '!B14</f>
        <v>0</v>
      </c>
      <c r="C14" s="174">
        <f>VLOOKUP(A14,'2月'!$B$4:$BQ$342,65,FALSE)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",_xlfn.VALUETOTEXT(COUNTA(A17:A27)*3+COUNTIF(B17:B27,"=●")*3),"件")</f>
        <v>グループE  42件</v>
      </c>
      <c r="B16" s="308"/>
      <c r="C16" s="80">
        <f>SUM(C17:C27)</f>
        <v>0</v>
      </c>
      <c r="E16" s="309" t="str">
        <f>CONCATENATE("グループF  ",_xlfn.VALUETOTEXT(COUNTA(E17:E27)*3+COUNTIF(F17:F27,"=●")*3),"件")</f>
        <v>グループF  33件</v>
      </c>
      <c r="F16" s="310"/>
      <c r="G16" s="80">
        <f>SUM(G17:G27)</f>
        <v>0</v>
      </c>
      <c r="H16" s="2">
        <f>SUM(H17:H26)</f>
        <v>0</v>
      </c>
      <c r="I16" s="309" t="str">
        <f>CONCATENATE("グループG  ",_xlfn.VALUETOTEXT(COUNTA(I17:I27)*3+COUNTIF(J17:J27,"=●")*3),"件")</f>
        <v>グループG  42件</v>
      </c>
      <c r="J16" s="310"/>
      <c r="K16" s="80">
        <f>SUM(K17:K28)</f>
        <v>0</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VLOOKUP(A17,'2月'!$B$4:$BQ$342,65,FALSE)</f>
        <v>0</v>
      </c>
      <c r="D17" s="1"/>
      <c r="E17" s="300" t="str">
        <f>'集計表(1～3月) '!E17</f>
        <v>小川　雅規</v>
      </c>
      <c r="F17" s="289">
        <f>'集計表(1～3月) '!F17</f>
        <v>0</v>
      </c>
      <c r="G17" s="173">
        <f>VLOOKUP(E17,'2月'!$B$4:$BQ$342,65,FALSE)</f>
        <v>0</v>
      </c>
      <c r="I17" s="304" t="str">
        <f>'集計表(1～3月) '!I17</f>
        <v>成田　和史</v>
      </c>
      <c r="J17" s="294" t="str">
        <f>'集計表(1～3月) '!J17</f>
        <v>●</v>
      </c>
      <c r="K17" s="173">
        <f>VLOOKUP(I17,'2月'!$B$4:$BQ$342,65,FALSE)</f>
        <v>0</v>
      </c>
      <c r="M17" s="305" t="str">
        <f>'集計表(1～3月) '!M17</f>
        <v>櫛引　康平</v>
      </c>
      <c r="N17" s="289" t="str">
        <f>'集計表(1～3月) '!N17</f>
        <v>●</v>
      </c>
      <c r="O17" s="173">
        <f>VLOOKUP(M17,'2月'!$B$4:$BQ$342,65,FALSE)</f>
        <v>0</v>
      </c>
      <c r="P17" s="2"/>
    </row>
    <row r="18" spans="1:21">
      <c r="A18" s="301" t="str">
        <f>'集計表(1～3月) '!A18</f>
        <v>庭田　留美子</v>
      </c>
      <c r="B18" s="288">
        <f>'集計表(1～3月) '!B18</f>
        <v>0</v>
      </c>
      <c r="C18" s="109">
        <f>VLOOKUP(A18,'2月'!$B$4:$BQ$342,65,FALSE)</f>
        <v>0</v>
      </c>
      <c r="D18" s="1"/>
      <c r="E18" s="339" t="str">
        <f>'集計表(1～3月) '!E18</f>
        <v>上村　郁絵</v>
      </c>
      <c r="F18" s="290">
        <f>'集計表(1～3月) '!F18</f>
        <v>0</v>
      </c>
      <c r="G18" s="82">
        <f>VLOOKUP(E18,'2月'!$B$4:$BQ$342,65,FALSE)</f>
        <v>0</v>
      </c>
      <c r="I18" s="615" t="str">
        <f>'集計表(1～3月) '!I18</f>
        <v>中里　一賢</v>
      </c>
      <c r="J18" s="290" t="str">
        <f>'集計表(1～3月) '!J18</f>
        <v>●</v>
      </c>
      <c r="K18" s="82">
        <f>VLOOKUP(I18,'2月'!$B$4:$BQ$342,65,FALSE)</f>
        <v>0</v>
      </c>
      <c r="M18" s="301" t="str">
        <f>'集計表(1～3月) '!M18</f>
        <v>熊野　大助</v>
      </c>
      <c r="N18" s="290" t="str">
        <f>'集計表(1～3月) '!N18</f>
        <v>●</v>
      </c>
      <c r="O18" s="85">
        <f>VLOOKUP(M18,'2月'!$B$4:$BQ$342,65,FALSE)</f>
        <v>0</v>
      </c>
    </row>
    <row r="19" spans="1:21">
      <c r="A19" s="127" t="str">
        <f>'集計表(1～3月) '!A19</f>
        <v>泉山　郁子</v>
      </c>
      <c r="B19" s="288">
        <f>'集計表(1～3月) '!B19</f>
        <v>0</v>
      </c>
      <c r="C19" s="109">
        <f>VLOOKUP(A19,'2月'!$B$4:$BQ$342,65,FALSE)</f>
        <v>0</v>
      </c>
      <c r="D19" s="1"/>
      <c r="E19" s="125" t="str">
        <f>'集計表(1～3月) '!E19</f>
        <v>大下　里美</v>
      </c>
      <c r="F19" s="290">
        <f>'集計表(1～3月) '!F19</f>
        <v>0</v>
      </c>
      <c r="G19" s="82">
        <f>VLOOKUP(E19,'2月'!$B$4:$BQ$342,65,FALSE)</f>
        <v>0</v>
      </c>
      <c r="I19" s="616" t="str">
        <f>'集計表(1～3月) '!I19</f>
        <v>川井　博和</v>
      </c>
      <c r="J19" s="290" t="str">
        <f>'集計表(1～3月) '!J19</f>
        <v>●</v>
      </c>
      <c r="K19" s="82">
        <f>VLOOKUP(I19,'2月'!$B$4:$BQ$342,65,FALSE)</f>
        <v>0</v>
      </c>
      <c r="M19" s="127" t="str">
        <f>'集計表(1～3月) '!M19</f>
        <v>川合　健司</v>
      </c>
      <c r="N19" s="290">
        <f>'集計表(1～3月) '!N19</f>
        <v>0</v>
      </c>
      <c r="O19" s="85">
        <f>VLOOKUP(M19,'2月'!$B$4:$BQ$342,65,FALSE)</f>
        <v>0</v>
      </c>
      <c r="P19" s="2">
        <f>SUM(P20:P29)</f>
        <v>0</v>
      </c>
    </row>
    <row r="20" spans="1:21">
      <c r="A20" s="127" t="str">
        <f>'集計表(1～3月) '!A20</f>
        <v>岩間　留理子</v>
      </c>
      <c r="B20" s="288">
        <f>'集計表(1～3月) '!B20</f>
        <v>0</v>
      </c>
      <c r="C20" s="109">
        <f>VLOOKUP(A20,'2月'!$B$4:$BQ$342,65,FALSE)</f>
        <v>0</v>
      </c>
      <c r="D20" s="1"/>
      <c r="E20" s="125" t="str">
        <f>'集計表(1～3月) '!E20</f>
        <v>木田　美紀</v>
      </c>
      <c r="F20" s="290">
        <f>'集計表(1～3月) '!F20</f>
        <v>0</v>
      </c>
      <c r="G20" s="82">
        <f>VLOOKUP(E20,'2月'!$B$4:$BQ$342,65,FALSE)</f>
        <v>0</v>
      </c>
      <c r="I20" s="144" t="str">
        <f>'集計表(1～3月) '!I20</f>
        <v>坂井田　一徳</v>
      </c>
      <c r="J20" s="290">
        <f>'集計表(1～3月) '!J20</f>
        <v>0</v>
      </c>
      <c r="K20" s="82">
        <f>VLOOKUP(I20,'2月'!$B$4:$BQ$342,65,FALSE)</f>
        <v>0</v>
      </c>
      <c r="M20" s="127" t="str">
        <f>'集計表(1～3月) '!M20</f>
        <v>細越　加司子</v>
      </c>
      <c r="N20" s="290">
        <f>'集計表(1～3月) '!N20</f>
        <v>0</v>
      </c>
      <c r="O20" s="85">
        <f>VLOOKUP(M20,'2月'!$B$4:$BQ$342,65,FALSE)</f>
        <v>0</v>
      </c>
    </row>
    <row r="21" spans="1:21">
      <c r="A21" s="127" t="str">
        <f>'集計表(1～3月) '!A21</f>
        <v>久保　沙織</v>
      </c>
      <c r="B21" s="288">
        <f>'集計表(1～3月) '!B21</f>
        <v>0</v>
      </c>
      <c r="C21" s="109">
        <f>VLOOKUP(A21,'2月'!$B$4:$BQ$342,65,FALSE)</f>
        <v>0</v>
      </c>
      <c r="D21" s="1"/>
      <c r="E21" s="125" t="str">
        <f>'集計表(1～3月) '!E21</f>
        <v>佐々木　亮</v>
      </c>
      <c r="F21" s="290">
        <f>'集計表(1～3月) '!F21</f>
        <v>0</v>
      </c>
      <c r="G21" s="82">
        <f>VLOOKUP(E21,'2月'!$B$4:$BQ$342,65,FALSE)</f>
        <v>0</v>
      </c>
      <c r="I21" s="127" t="str">
        <f>'集計表(1～3月) '!I21</f>
        <v>下舘　はるみ</v>
      </c>
      <c r="J21" s="290">
        <f>'集計表(1～3月) '!J21</f>
        <v>0</v>
      </c>
      <c r="K21" s="82">
        <f>VLOOKUP(I21,'2月'!$B$4:$BQ$342,65,FALSE)</f>
        <v>0</v>
      </c>
      <c r="M21" s="127" t="str">
        <f>'集計表(1～3月) '!M21</f>
        <v>佐々木　清</v>
      </c>
      <c r="N21" s="290">
        <f>'集計表(1～3月) '!N21</f>
        <v>0</v>
      </c>
      <c r="O21" s="85">
        <f>VLOOKUP(M21,'2月'!$B$4:$BQ$342,65,FALSE)</f>
        <v>0</v>
      </c>
    </row>
    <row r="22" spans="1:21">
      <c r="A22" s="129" t="str">
        <f>'集計表(1～3月) '!A22</f>
        <v>品田　ゆり</v>
      </c>
      <c r="B22" s="290">
        <f>'集計表(1～3月) '!B22</f>
        <v>0</v>
      </c>
      <c r="C22" s="109">
        <f>VLOOKUP(A22,'2月'!$B$4:$BQ$342,65,FALSE)</f>
        <v>0</v>
      </c>
      <c r="D22" s="1"/>
      <c r="E22" s="125" t="str">
        <f>'集計表(1～3月) '!E22</f>
        <v>白坂　弘幸</v>
      </c>
      <c r="F22" s="290">
        <f>'集計表(1～3月) '!F22</f>
        <v>0</v>
      </c>
      <c r="G22" s="82">
        <f>VLOOKUP(E22,'2月'!$B$4:$BQ$342,65,FALSE)</f>
        <v>0</v>
      </c>
      <c r="I22" s="127" t="str">
        <f>'集計表(1～3月) '!I22</f>
        <v>照屋　育子</v>
      </c>
      <c r="J22" s="293">
        <f>'集計表(1～3月) '!J22</f>
        <v>0</v>
      </c>
      <c r="K22" s="82">
        <f>VLOOKUP(I22,'2月'!$B$4:$BQ$342,65,FALSE)</f>
        <v>0</v>
      </c>
      <c r="M22" s="319" t="str">
        <f>'集計表(1～3月) '!M22</f>
        <v>佐々木　めぐみ</v>
      </c>
      <c r="N22" s="290">
        <f>'集計表(1～3月) '!N22</f>
        <v>0</v>
      </c>
      <c r="O22" s="85">
        <f>VLOOKUP(M22,'2月'!$B$4:$BQ$342,65,FALSE)</f>
        <v>0</v>
      </c>
    </row>
    <row r="23" spans="1:21">
      <c r="A23" s="127" t="str">
        <f>'集計表(1～3月) '!A23</f>
        <v>高橋　真理子</v>
      </c>
      <c r="B23" s="288">
        <f>'集計表(1～3月) '!B23</f>
        <v>0</v>
      </c>
      <c r="C23" s="109">
        <f>VLOOKUP(A23,'2月'!$B$4:$BQ$342,65,FALSE)</f>
        <v>0</v>
      </c>
      <c r="D23" s="1"/>
      <c r="E23" s="125" t="str">
        <f>'集計表(1～3月) '!E23</f>
        <v>白戸　祐理</v>
      </c>
      <c r="F23" s="290">
        <f>'集計表(1～3月) '!F23</f>
        <v>0</v>
      </c>
      <c r="G23" s="82">
        <f>VLOOKUP(E23,'2月'!$B$4:$BQ$342,65,FALSE)</f>
        <v>0</v>
      </c>
      <c r="I23" s="144" t="str">
        <f>'集計表(1～3月) '!I23</f>
        <v>中山　知佳</v>
      </c>
      <c r="J23" s="293">
        <f>'集計表(1～3月) '!J23</f>
        <v>0</v>
      </c>
      <c r="K23" s="82">
        <f>VLOOKUP(I23,'2月'!$B$4:$BQ$342,65,FALSE)</f>
        <v>0</v>
      </c>
      <c r="M23" s="144" t="str">
        <f>'集計表(1～3月) '!M23</f>
        <v>佐藤　真夏</v>
      </c>
      <c r="N23" s="293">
        <f>'集計表(1～3月) '!N23</f>
        <v>0</v>
      </c>
      <c r="O23" s="85">
        <f>VLOOKUP(M23,'2月'!$B$4:$BQ$342,65,FALSE)</f>
        <v>0</v>
      </c>
      <c r="P23" s="2"/>
      <c r="Q23" s="139"/>
    </row>
    <row r="24" spans="1:21">
      <c r="A24" s="127" t="str">
        <f>'集計表(1～3月) '!A24</f>
        <v>田名部　丞</v>
      </c>
      <c r="B24" s="290" t="str">
        <f>'集計表(1～3月) '!B24</f>
        <v>●</v>
      </c>
      <c r="C24" s="109">
        <f>VLOOKUP(A24,'2月'!$B$4:$BQ$342,65,FALSE)</f>
        <v>0</v>
      </c>
      <c r="D24" s="1"/>
      <c r="E24" s="125" t="str">
        <f>'集計表(1～3月) '!E24</f>
        <v>田端　克昭</v>
      </c>
      <c r="F24" s="290">
        <f>'集計表(1～3月) '!F24</f>
        <v>0</v>
      </c>
      <c r="G24" s="82">
        <f>VLOOKUP(E24,'2月'!$B$4:$BQ$342,65,FALSE)</f>
        <v>0</v>
      </c>
      <c r="I24" s="144" t="str">
        <f>'集計表(1～3月) '!I24</f>
        <v>新井谷　恵美子</v>
      </c>
      <c r="J24" s="290">
        <f>'集計表(1～3月) '!J24</f>
        <v>0</v>
      </c>
      <c r="K24" s="82">
        <f>VLOOKUP(I24,'2月'!$B$4:$BQ$342,65,FALSE)</f>
        <v>0</v>
      </c>
      <c r="M24" s="127" t="str">
        <f>'集計表(1～3月) '!M24</f>
        <v>滝田　智</v>
      </c>
      <c r="N24" s="290">
        <f>'集計表(1～3月) '!N24</f>
        <v>0</v>
      </c>
      <c r="O24" s="85">
        <f>VLOOKUP(M24,'2月'!$B$4:$BQ$342,65,FALSE)</f>
        <v>0</v>
      </c>
      <c r="U24" s="216"/>
    </row>
    <row r="25" spans="1:21">
      <c r="A25" s="127" t="str">
        <f>'集計表(1～3月) '!A25</f>
        <v>平野　元基</v>
      </c>
      <c r="B25" s="269">
        <f>'集計表(1～3月) '!B25</f>
        <v>0</v>
      </c>
      <c r="C25" s="109">
        <f>VLOOKUP(A25,'2月'!$B$4:$BQ$342,65,FALSE)</f>
        <v>0</v>
      </c>
      <c r="D25" s="1"/>
      <c r="E25" s="129" t="str">
        <f>'集計表(1～3月) '!E25</f>
        <v>西村　夏希</v>
      </c>
      <c r="F25" s="291">
        <f>'集計表(1～3月) '!F25</f>
        <v>0</v>
      </c>
      <c r="G25" s="82">
        <f>VLOOKUP(E25,'2月'!$B$4:$BQ$342,65,FALSE)</f>
        <v>0</v>
      </c>
      <c r="I25" s="319" t="str">
        <f>'集計表(1～3月) '!I25</f>
        <v>野辺地　佳代子</v>
      </c>
      <c r="J25" s="290">
        <f>'集計表(1～3月) '!J25</f>
        <v>0</v>
      </c>
      <c r="K25" s="82">
        <f>VLOOKUP(I25,'2月'!$B$4:$BQ$342,65,FALSE)</f>
        <v>0</v>
      </c>
      <c r="M25" s="127" t="str">
        <f>'集計表(1～3月) '!M25</f>
        <v>寺下　久美子</v>
      </c>
      <c r="N25" s="290">
        <f>'集計表(1～3月) '!N25</f>
        <v>0</v>
      </c>
      <c r="O25" s="85">
        <f>VLOOKUP(M25,'2月'!$B$4:$BQ$342,65,FALSE)</f>
        <v>0</v>
      </c>
      <c r="U25" s="216"/>
    </row>
    <row r="26" spans="1:21">
      <c r="A26" s="127" t="str">
        <f>'集計表(1～3月) '!A26</f>
        <v>古里　剛</v>
      </c>
      <c r="B26" s="320" t="str">
        <f>'集計表(1～3月) '!B26</f>
        <v>●</v>
      </c>
      <c r="C26" s="82">
        <f>VLOOKUP(A26,'2月'!$B$4:$BQ$342,65,FALSE)</f>
        <v>0</v>
      </c>
      <c r="E26" s="127" t="str">
        <f>'集計表(1～3月) '!E26</f>
        <v>橋本　薫</v>
      </c>
      <c r="F26" s="290">
        <f>'集計表(1～3月) '!F26</f>
        <v>0</v>
      </c>
      <c r="G26" s="82">
        <f>VLOOKUP(E26,'2月'!$B$4:$BQ$342,65,FALSE)</f>
        <v>0</v>
      </c>
      <c r="I26" s="319" t="str">
        <f>'集計表(1～3月) '!I26</f>
        <v>山上　幸子</v>
      </c>
      <c r="J26" s="290">
        <f>'集計表(1～3月) '!J26</f>
        <v>0</v>
      </c>
      <c r="K26" s="82">
        <f>VLOOKUP(I26,'2月'!$B$4:$BQ$342,65,FALSE)</f>
        <v>0</v>
      </c>
      <c r="M26" s="343" t="str">
        <f>'集計表(1～3月) '!M26</f>
        <v>中屋敷　蓉子</v>
      </c>
      <c r="N26" s="291">
        <f>'集計表(1～3月) '!N26</f>
        <v>0</v>
      </c>
      <c r="O26" s="177">
        <f>VLOOKUP(M26,'2月'!$B$4:$BQ$342,65,FALSE)</f>
        <v>0</v>
      </c>
      <c r="P26" s="139"/>
      <c r="Q26" s="176"/>
    </row>
    <row r="27" spans="1:21" ht="14.25" thickBot="1">
      <c r="A27" s="126" t="str">
        <f>'集計表(1～3月) '!A27</f>
        <v>宮崎　和久</v>
      </c>
      <c r="B27" s="292">
        <f>'集計表(1～3月) '!B27</f>
        <v>0</v>
      </c>
      <c r="C27" s="174">
        <f>VLOOKUP(A27,'2月'!$B$4:$BQ$342,65,FALSE)</f>
        <v>0</v>
      </c>
      <c r="D27" s="1"/>
      <c r="E27" s="296" t="str">
        <f>'集計表(1～3月) '!E27</f>
        <v>見付　弘美</v>
      </c>
      <c r="F27" s="297">
        <f>'集計表(1～3月) '!F27</f>
        <v>0</v>
      </c>
      <c r="G27" s="84">
        <f>VLOOKUP(E27,'2月'!$B$4:$BQ$342,65,FALSE)</f>
        <v>0</v>
      </c>
      <c r="I27" s="126" t="str">
        <f>'集計表(1～3月) '!I27</f>
        <v>山田　祥弘</v>
      </c>
      <c r="J27" s="292">
        <f>'集計表(1～3月) '!J27</f>
        <v>0</v>
      </c>
      <c r="K27" s="84">
        <f>VLOOKUP(I27,'2月'!$B$4:$BQ$342,65,FALSE)</f>
        <v>0</v>
      </c>
      <c r="M27" s="270" t="str">
        <f>'集計表(1～3月) '!M27</f>
        <v>早川　政子</v>
      </c>
      <c r="N27" s="433">
        <f>'集計表(1～3月) '!N27</f>
        <v>0</v>
      </c>
      <c r="O27" s="84">
        <f>VLOOKUP(M27,'2月'!$B$4:$BQ$342,65,FALSE)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",_xlfn.VALUETOTEXT(COUNTA(A31:A40)*3+COUNTIF(B31:B40,"=●")*3),"件")</f>
        <v>グループI  39件</v>
      </c>
      <c r="B30" s="308"/>
      <c r="C30" s="80">
        <f>SUM(C31:C42)</f>
        <v>0</v>
      </c>
      <c r="E30" s="309" t="str">
        <f>CONCATENATE("グループJ  ",_xlfn.VALUETOTEXT(COUNTA(E31:E40)*3+COUNTIF(F31:F40,"=●")*3),"件")</f>
        <v>グループJ  36件</v>
      </c>
      <c r="F30" s="310"/>
      <c r="G30" s="80">
        <f>SUM(G31:G41)</f>
        <v>0</v>
      </c>
      <c r="H30" s="2">
        <f>SUM(H31:H40)</f>
        <v>0</v>
      </c>
      <c r="I30" s="309" t="str">
        <f>CONCATENATE("グループK  ",_xlfn.VALUETOTEXT(COUNTA(I31:I40)*3+COUNTIF(J31:J40,"=●")*3),"件")</f>
        <v>グループK  42件</v>
      </c>
      <c r="J30" s="310"/>
      <c r="K30" s="80">
        <f>SUM(K31:K42)</f>
        <v>0</v>
      </c>
      <c r="M30" s="309" t="str">
        <f>CONCATENATE("グループL  ",_xlfn.VALUETOTEXT(COUNTA(M31:M41)*3+COUNTIF(N31:N41,"=●")*3),"件")</f>
        <v>グループL  36件</v>
      </c>
      <c r="N30" s="310"/>
      <c r="O30" s="80">
        <f>SUM(O31:O42)</f>
        <v>0</v>
      </c>
      <c r="R30" s="134"/>
    </row>
    <row r="31" spans="1:21" ht="15" customHeight="1" thickTop="1">
      <c r="A31" s="618" t="str">
        <f>'集計表(1～3月) '!A31</f>
        <v>松井　龍平</v>
      </c>
      <c r="B31" s="287">
        <f>'集計表(1～3月) '!B31</f>
        <v>0</v>
      </c>
      <c r="C31" s="173">
        <f>VLOOKUP(A31,'2月'!$B$4:$BQ$342,65,FALSE)</f>
        <v>0</v>
      </c>
      <c r="D31" s="1"/>
      <c r="E31" s="302" t="str">
        <f>'集計表(1～3月) '!E31</f>
        <v>金子　千穂</v>
      </c>
      <c r="F31" s="289" t="str">
        <f>'集計表(1～3月) '!F31</f>
        <v>●</v>
      </c>
      <c r="G31" s="173">
        <f>VLOOKUP(E31,'2月'!$B$4:$BQ$342,65,FALSE)</f>
        <v>0</v>
      </c>
      <c r="I31" s="615" t="str">
        <f>'集計表(1～3月) '!I31</f>
        <v>類家　順</v>
      </c>
      <c r="J31" s="294" t="str">
        <f>'集計表(1～3月) '!J31</f>
        <v>●</v>
      </c>
      <c r="K31" s="173">
        <f>VLOOKUP(I31,'2月'!$B$4:$BQ$342,65,FALSE)</f>
        <v>0</v>
      </c>
      <c r="M31" s="305" t="str">
        <f>'集計表(1～3月) '!M31</f>
        <v>川合　ひとみ</v>
      </c>
      <c r="N31" s="289" t="str">
        <f>'集計表(1～3月) '!N31</f>
        <v>●</v>
      </c>
      <c r="O31" s="173">
        <f>VLOOKUP(M31,'2月'!$B$4:$BQ$342,65,FALSE)</f>
        <v>0</v>
      </c>
      <c r="R31" s="134"/>
    </row>
    <row r="32" spans="1:21" ht="15" customHeight="1">
      <c r="A32" s="301" t="str">
        <f>'集計表(1～3月) '!A32</f>
        <v>佐藤　範和</v>
      </c>
      <c r="B32" s="619" t="str">
        <f>'集計表(1～3月) '!B32</f>
        <v>●</v>
      </c>
      <c r="C32" s="109">
        <f>VLOOKUP(A32,'2月'!$B$4:$BQ$342,65,FALSE)</f>
        <v>0</v>
      </c>
      <c r="D32" s="1"/>
      <c r="E32" s="615" t="str">
        <f>'集計表(1～3月) '!E32</f>
        <v>佐々木　寛人</v>
      </c>
      <c r="F32" s="290" t="str">
        <f>'集計表(1～3月) '!F32</f>
        <v>●</v>
      </c>
      <c r="G32" s="82">
        <f>VLOOKUP(E32,'2月'!$B$4:$BQ$342,65,FALSE)</f>
        <v>0</v>
      </c>
      <c r="I32" s="615" t="str">
        <f>'集計表(1～3月) '!I32</f>
        <v>熊谷　剛</v>
      </c>
      <c r="J32" s="290">
        <f>'集計表(1～3月) '!J32</f>
        <v>0</v>
      </c>
      <c r="K32" s="82">
        <f>VLOOKUP(I32,'2月'!$B$4:$BQ$342,65,FALSE)</f>
        <v>0</v>
      </c>
      <c r="M32" s="301" t="str">
        <f>'集計表(1～3月) '!M32</f>
        <v>澤村　純一</v>
      </c>
      <c r="N32" s="290">
        <f>'集計表(1～3月) '!N32</f>
        <v>0</v>
      </c>
      <c r="O32" s="85">
        <f>VLOOKUP(M32,'2月'!$B$4:$BQ$342,65,FALSE)</f>
        <v>0</v>
      </c>
      <c r="R32" s="134"/>
    </row>
    <row r="33" spans="1:20" ht="15" customHeight="1">
      <c r="A33" s="127" t="str">
        <f>'集計表(1～3月) '!A33</f>
        <v>上村　巧弥</v>
      </c>
      <c r="B33" s="620">
        <f>'集計表(1～3月) '!B33</f>
        <v>0</v>
      </c>
      <c r="C33" s="109">
        <f>VLOOKUP(A33,'2月'!$B$4:$BQ$342,65,FALSE)</f>
        <v>0</v>
      </c>
      <c r="D33" s="1"/>
      <c r="E33" s="616" t="str">
        <f>'集計表(1～3月) '!E33</f>
        <v>小川　菜音</v>
      </c>
      <c r="F33" s="290">
        <f>'集計表(1～3月) '!F33</f>
        <v>0</v>
      </c>
      <c r="G33" s="82">
        <f>VLOOKUP(E33,'2月'!$B$4:$BQ$342,65,FALSE)</f>
        <v>0</v>
      </c>
      <c r="I33" s="616" t="str">
        <f>'集計表(1～3月) '!I33</f>
        <v>木津谷　隆</v>
      </c>
      <c r="J33" s="290" t="str">
        <f>'集計表(1～3月) '!J33</f>
        <v>●</v>
      </c>
      <c r="K33" s="82">
        <f>VLOOKUP(I33,'2月'!$B$4:$BQ$342,65,FALSE)</f>
        <v>0</v>
      </c>
      <c r="M33" s="127" t="str">
        <f>'集計表(1～3月) '!M33</f>
        <v>赤坂　輝明</v>
      </c>
      <c r="N33" s="290">
        <f>'集計表(1～3月) '!N33</f>
        <v>0</v>
      </c>
      <c r="O33" s="85">
        <f>VLOOKUP(M33,'2月'!$B$4:$BQ$342,65,FALSE)</f>
        <v>0</v>
      </c>
      <c r="P33" s="217"/>
      <c r="R33" s="134"/>
    </row>
    <row r="34" spans="1:20" ht="15" customHeight="1">
      <c r="A34" s="127" t="str">
        <f>'集計表(1～3月) '!A34</f>
        <v>大坂　真知子</v>
      </c>
      <c r="B34" s="620">
        <f>'集計表(1～3月) '!B34</f>
        <v>0</v>
      </c>
      <c r="C34" s="109">
        <f>VLOOKUP(A34,'2月'!$B$4:$BQ$342,65,FALSE)</f>
        <v>0</v>
      </c>
      <c r="D34" s="1"/>
      <c r="E34" s="616" t="str">
        <f>'集計表(1～3月) '!E34</f>
        <v>小黒　真智</v>
      </c>
      <c r="F34" s="290">
        <f>'集計表(1～3月) '!F34</f>
        <v>0</v>
      </c>
      <c r="G34" s="82">
        <f>VLOOKUP(E34,'2月'!$B$4:$BQ$342,65,FALSE)</f>
        <v>0</v>
      </c>
      <c r="I34" s="616" t="str">
        <f>'集計表(1～3月) '!I34</f>
        <v>小泉　洋之</v>
      </c>
      <c r="J34" s="290" t="str">
        <f>'集計表(1～3月) '!J34</f>
        <v>●</v>
      </c>
      <c r="K34" s="82">
        <f>VLOOKUP(I34,'2月'!$B$4:$BQ$342,65,FALSE)</f>
        <v>0</v>
      </c>
      <c r="M34" s="127" t="str">
        <f>'集計表(1～3月) '!M34</f>
        <v>熊谷　しぐれ</v>
      </c>
      <c r="N34" s="290">
        <f>'集計表(1～3月) '!N34</f>
        <v>0</v>
      </c>
      <c r="O34" s="85">
        <f>VLOOKUP(M34,'2月'!$B$4:$BQ$342,65,FALSE)</f>
        <v>0</v>
      </c>
      <c r="P34" s="2">
        <f>SUM(P35:P42)</f>
        <v>0</v>
      </c>
      <c r="Q34" s="175"/>
      <c r="R34" s="134"/>
    </row>
    <row r="35" spans="1:20" ht="15" customHeight="1">
      <c r="A35" s="127" t="str">
        <f>'集計表(1～3月) '!A35</f>
        <v>舘　博美</v>
      </c>
      <c r="B35" s="620" t="str">
        <f>'集計表(1～3月) '!B35</f>
        <v>●</v>
      </c>
      <c r="C35" s="109">
        <f>VLOOKUP(A35,'2月'!$B$4:$BQ$342,65,FALSE)</f>
        <v>0</v>
      </c>
      <c r="D35" s="1"/>
      <c r="E35" s="616" t="str">
        <f>'集計表(1～3月) '!E35</f>
        <v>佐々木　智子</v>
      </c>
      <c r="F35" s="290">
        <f>'集計表(1～3月) '!F35</f>
        <v>0</v>
      </c>
      <c r="G35" s="82">
        <f>VLOOKUP(E35,'2月'!$B$4:$BQ$342,65,FALSE)</f>
        <v>0</v>
      </c>
      <c r="I35" s="616" t="str">
        <f>'集計表(1～3月) '!I35</f>
        <v>種市　由希枝</v>
      </c>
      <c r="J35" s="290">
        <f>'集計表(1～3月) '!J35</f>
        <v>0</v>
      </c>
      <c r="K35" s="82">
        <f>VLOOKUP(I35,'2月'!$B$4:$BQ$342,65,FALSE)</f>
        <v>0</v>
      </c>
      <c r="M35" s="319" t="str">
        <f>'集計表(1～3月) '!M35</f>
        <v>佐々木　史弥</v>
      </c>
      <c r="N35" s="290">
        <f>'集計表(1～3月) '!N35</f>
        <v>0</v>
      </c>
      <c r="O35" s="85">
        <f>VLOOKUP(M35,'2月'!$B$4:$BQ$342,65,FALSE)</f>
        <v>0</v>
      </c>
      <c r="R35" s="134"/>
    </row>
    <row r="36" spans="1:20" ht="15" customHeight="1">
      <c r="A36" s="127" t="str">
        <f>'集計表(1～3月) '!A36</f>
        <v>野口　美幸</v>
      </c>
      <c r="B36" s="620">
        <f>'集計表(1～3月) '!B36</f>
        <v>0</v>
      </c>
      <c r="C36" s="109">
        <f>VLOOKUP(A36,'2月'!$B$4:$BQ$342,65,FALSE)</f>
        <v>0</v>
      </c>
      <c r="D36" s="1"/>
      <c r="E36" s="616" t="str">
        <f>'集計表(1～3月) '!E36</f>
        <v>佐藤　弘子</v>
      </c>
      <c r="F36" s="290">
        <f>'集計表(1～3月) '!F36</f>
        <v>0</v>
      </c>
      <c r="G36" s="82">
        <f>VLOOKUP(E36,'2月'!$B$4:$BQ$342,65,FALSE)</f>
        <v>0</v>
      </c>
      <c r="I36" s="616" t="str">
        <f>'集計表(1～3月) '!I36</f>
        <v>沼田　智子</v>
      </c>
      <c r="J36" s="290">
        <f>'集計表(1～3月) '!J36</f>
        <v>0</v>
      </c>
      <c r="K36" s="82">
        <f>VLOOKUP(I36,'2月'!$B$4:$BQ$342,65,FALSE)</f>
        <v>0</v>
      </c>
      <c r="M36" s="127" t="str">
        <f>'集計表(1～3月) '!M36</f>
        <v>佐々木　美知子</v>
      </c>
      <c r="N36" s="290">
        <f>'集計表(1～3月) '!N36</f>
        <v>0</v>
      </c>
      <c r="O36" s="85">
        <f>VLOOKUP(M36,'2月'!$B$4:$BQ$342,65,FALSE)</f>
        <v>0</v>
      </c>
      <c r="R36" s="134"/>
      <c r="S36" s="138"/>
      <c r="T36" s="138"/>
    </row>
    <row r="37" spans="1:20" ht="15" customHeight="1">
      <c r="A37" s="127" t="str">
        <f>'集計表(1～3月) '!A37</f>
        <v>畠山　真美</v>
      </c>
      <c r="B37" s="620">
        <f>'集計表(1～3月) '!B37</f>
        <v>0</v>
      </c>
      <c r="C37" s="109">
        <f>VLOOKUP(A37,'2月'!$B$4:$BQ$342,65,FALSE)</f>
        <v>0</v>
      </c>
      <c r="D37" s="1"/>
      <c r="E37" s="621" t="str">
        <f>'集計表(1～3月) '!E37</f>
        <v>田中　幸子</v>
      </c>
      <c r="F37" s="290">
        <f>'集計表(1～3月) '!F37</f>
        <v>0</v>
      </c>
      <c r="G37" s="82">
        <f>VLOOKUP(E37,'2月'!$B$4:$BQ$342,65,FALSE)</f>
        <v>0</v>
      </c>
      <c r="I37" s="616" t="str">
        <f>'集計表(1～3月) '!I37</f>
        <v>古舘　優紀</v>
      </c>
      <c r="J37" s="290">
        <f>'集計表(1～3月) '!J37</f>
        <v>0</v>
      </c>
      <c r="K37" s="82">
        <f>VLOOKUP(I37,'2月'!$B$4:$BQ$342,65,FALSE)</f>
        <v>0</v>
      </c>
      <c r="M37" s="144" t="str">
        <f>'集計表(1～3月) '!M37</f>
        <v>杉渕　恵美</v>
      </c>
      <c r="N37" s="293">
        <f>'集計表(1～3月) '!N37</f>
        <v>0</v>
      </c>
      <c r="O37" s="85">
        <f>VLOOKUP(M37,'2月'!$B$4:$BQ$342,65,FALSE)</f>
        <v>0</v>
      </c>
      <c r="R37" s="134"/>
      <c r="S37" s="138"/>
      <c r="T37" s="138"/>
    </row>
    <row r="38" spans="1:20" ht="15" customHeight="1">
      <c r="A38" s="127" t="str">
        <f>'集計表(1～3月) '!A38</f>
        <v>水野　美佳</v>
      </c>
      <c r="B38" s="620">
        <f>'集計表(1～3月) '!B38</f>
        <v>0</v>
      </c>
      <c r="C38" s="109">
        <f>VLOOKUP(A38,'2月'!$B$4:$BQ$342,65,FALSE)</f>
        <v>0</v>
      </c>
      <c r="D38" s="1"/>
      <c r="E38" s="616" t="str">
        <f>'集計表(1～3月) '!E38</f>
        <v>中城　裕子</v>
      </c>
      <c r="F38" s="290">
        <f>'集計表(1～3月) '!F38</f>
        <v>0</v>
      </c>
      <c r="G38" s="82">
        <f>VLOOKUP(E38,'2月'!$B$4:$BQ$342,65,FALSE)</f>
        <v>0</v>
      </c>
      <c r="I38" s="616" t="str">
        <f>'集計表(1～3月) '!I38</f>
        <v>古町　朋子</v>
      </c>
      <c r="J38" s="290">
        <f>'集計表(1～3月) '!J38</f>
        <v>0</v>
      </c>
      <c r="K38" s="82">
        <f>VLOOKUP(I38,'2月'!$B$4:$BQ$342,65,FALSE)</f>
        <v>0</v>
      </c>
      <c r="M38" s="127" t="str">
        <f>'集計表(1～3月) '!M38</f>
        <v>高橋　公司</v>
      </c>
      <c r="N38" s="290">
        <f>'集計表(1～3月) '!N38</f>
        <v>0</v>
      </c>
      <c r="O38" s="85">
        <f>VLOOKUP(M38,'2月'!$B$4:$BQ$342,65,FALSE)</f>
        <v>0</v>
      </c>
      <c r="R38" s="134"/>
      <c r="S38" s="138"/>
      <c r="T38" s="138"/>
    </row>
    <row r="39" spans="1:20" ht="15" customHeight="1">
      <c r="A39" s="343" t="str">
        <f>'集計表(1～3月) '!A39</f>
        <v>山口　美幸</v>
      </c>
      <c r="B39" s="617" t="str">
        <f>'集計表(1～3月) '!B39</f>
        <v>●</v>
      </c>
      <c r="C39" s="446">
        <f>VLOOKUP(A39,'2月'!$B$4:$BQ$342,65,FALSE)</f>
        <v>0</v>
      </c>
      <c r="D39" s="1"/>
      <c r="E39" s="127" t="str">
        <f>'集計表(1～3月) '!E39</f>
        <v>古舘　美香</v>
      </c>
      <c r="F39" s="291">
        <f>'集計表(1～3月) '!F39</f>
        <v>0</v>
      </c>
      <c r="G39" s="82">
        <f>VLOOKUP(E39,'2月'!$B$4:$BQ$342,65,FALSE)</f>
        <v>0</v>
      </c>
      <c r="I39" s="616" t="str">
        <f>'集計表(1～3月) '!I39</f>
        <v>古谷　裕美</v>
      </c>
      <c r="J39" s="290" t="str">
        <f>'集計表(1～3月) '!J39</f>
        <v>●</v>
      </c>
      <c r="K39" s="82">
        <f>VLOOKUP(I39,'2月'!$B$4:$BQ$342,65,FALSE)</f>
        <v>0</v>
      </c>
      <c r="M39" s="127" t="str">
        <f>'集計表(1～3月) '!M39</f>
        <v>中村　ゆかり</v>
      </c>
      <c r="N39" s="290">
        <f>'集計表(1～3月) '!N39</f>
        <v>0</v>
      </c>
      <c r="O39" s="85">
        <f>VLOOKUP(M39,'2月'!$B$4:$BQ$342,65,FALSE)</f>
        <v>0</v>
      </c>
      <c r="R39" s="134"/>
      <c r="S39" s="138"/>
      <c r="T39" s="138"/>
    </row>
    <row r="40" spans="1:20" ht="15" customHeight="1" thickBot="1">
      <c r="A40" s="126" t="str">
        <f>'集計表(1～3月) '!A40</f>
        <v>山田　隆広</v>
      </c>
      <c r="B40" s="292">
        <f>'集計表(1～3月) '!B40</f>
        <v>0</v>
      </c>
      <c r="C40" s="174">
        <f>VLOOKUP(A40,'2月'!$B$4:$BQ$342,65,FALSE)</f>
        <v>0</v>
      </c>
      <c r="E40" s="126" t="str">
        <f>'集計表(1～3月) '!E40</f>
        <v>八木田　那幸</v>
      </c>
      <c r="F40" s="292">
        <f>'集計表(1～3月) '!F40</f>
        <v>0</v>
      </c>
      <c r="G40" s="84">
        <f>VLOOKUP(E40,'2月'!$B$4:$BQ$342,65,FALSE)</f>
        <v>0</v>
      </c>
      <c r="I40" s="270" t="str">
        <f>'集計表(1～3月) '!I40</f>
        <v>八重畑　美里</v>
      </c>
      <c r="J40" s="292">
        <f>'集計表(1～3月) '!J40</f>
        <v>0</v>
      </c>
      <c r="K40" s="84">
        <f>VLOOKUP(I40,'2月'!$B$4:$BQ$342,65,FALSE)</f>
        <v>0</v>
      </c>
      <c r="M40" s="127" t="str">
        <f>'集計表(1～3月) '!M40</f>
        <v>松坂　百華</v>
      </c>
      <c r="N40" s="290">
        <f>'集計表(1～3月) '!N40</f>
        <v>0</v>
      </c>
      <c r="O40" s="85">
        <f>VLOOKUP(M40,'2月'!$B$4:$BQ$342,65,FALSE)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2">
        <f>'集計表(1～3月) '!N41</f>
        <v>0</v>
      </c>
      <c r="O41" s="191">
        <f>VLOOKUP(M41,'2月'!$B$4:$BQ$342,65,FALSE)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22" t="str">
        <f ca="1">TEXT(IF(TODAY()&lt;DATE(2025,1,31),TODAY(),DATE(2025,1,31)),"yyyy/m/dd")</f>
        <v>2025/1/16</v>
      </c>
      <c r="N44" s="722"/>
      <c r="O44" s="722"/>
      <c r="R44" s="134"/>
      <c r="S44" s="138"/>
      <c r="T44" s="138"/>
    </row>
    <row r="45" spans="1:20" ht="15" customHeight="1" thickBot="1">
      <c r="A45" s="307" t="str">
        <f>CONCATENATE("グループM  ",_xlfn.VALUETOTEXT(COUNTA(A46:A56)*3+COUNTIF(B46:B56,"=●")*3),"件")</f>
        <v>グループM  36件</v>
      </c>
      <c r="B45" s="308"/>
      <c r="C45" s="80">
        <f>SUM(C46:C56)</f>
        <v>0</v>
      </c>
      <c r="E45" s="309" t="str">
        <f>CONCATENATE("グループN  ",_xlfn.VALUETOTEXT(COUNTA(E46:E55)*3+COUNTIF(F46:F55,"=●")*3),"件")</f>
        <v>グループN  36件</v>
      </c>
      <c r="F45" s="310"/>
      <c r="G45" s="80">
        <f>SUM(G46:G55)</f>
        <v>0</v>
      </c>
      <c r="I45" s="274" t="s">
        <v>250</v>
      </c>
      <c r="J45" s="281"/>
      <c r="K45" s="80">
        <f>SUM(K46:K54)</f>
        <v>0</v>
      </c>
      <c r="M45" s="722"/>
      <c r="N45" s="722"/>
      <c r="O45" s="722"/>
    </row>
    <row r="46" spans="1:20" ht="15" customHeight="1" thickTop="1">
      <c r="A46" s="300" t="str">
        <f>'集計表(1～3月) '!A46</f>
        <v>伊藤　秀智</v>
      </c>
      <c r="B46" s="287">
        <f>'集計表(1～3月) '!B46</f>
        <v>0</v>
      </c>
      <c r="C46" s="173">
        <f>VLOOKUP(A46,'2月'!$B$4:$BQ$342,65,FALSE)</f>
        <v>0</v>
      </c>
      <c r="D46" s="1"/>
      <c r="E46" s="302" t="str">
        <f>'集計表(1～3月) '!E46</f>
        <v>田名部　昌義</v>
      </c>
      <c r="F46" s="289" t="str">
        <f>'集計表(1～3月) '!F46</f>
        <v>●</v>
      </c>
      <c r="G46" s="173">
        <f>VLOOKUP(E46,'2月'!$B$4:$BQ$342,65,FALSE)</f>
        <v>0</v>
      </c>
      <c r="I46" s="279" t="str">
        <f>'集計表(1～3月) '!I46</f>
        <v>八田　守立</v>
      </c>
      <c r="J46" s="282"/>
      <c r="K46" s="173">
        <f>VLOOKUP(I46,'2月'!$B$4:$BQ$342,65,FALSE)</f>
        <v>0</v>
      </c>
      <c r="M46" s="725" t="s">
        <v>325</v>
      </c>
      <c r="N46" s="725"/>
      <c r="O46" s="725"/>
    </row>
    <row r="47" spans="1:20" ht="15" customHeight="1">
      <c r="A47" s="301" t="str">
        <f>'集計表(1～3月) '!A47</f>
        <v>岡本　良一</v>
      </c>
      <c r="B47" s="288" t="str">
        <f>'集計表(1～3月) '!B47</f>
        <v>●</v>
      </c>
      <c r="C47" s="109">
        <f>VLOOKUP(A47,'2月'!$B$4:$BQ$342,65,FALSE)</f>
        <v>0</v>
      </c>
      <c r="D47" s="1"/>
      <c r="E47" s="401" t="str">
        <f>'集計表(1～3月) '!E47</f>
        <v>工藤　翔平</v>
      </c>
      <c r="F47" s="290" t="str">
        <f>'集計表(1～3月) '!F47</f>
        <v>●</v>
      </c>
      <c r="G47" s="82">
        <f>VLOOKUP(E47,'2月'!$B$4:$BQ$342,65,FALSE)</f>
        <v>0</v>
      </c>
      <c r="I47" s="616" t="str">
        <f>'集計表(1～3月) '!I47</f>
        <v>中村　充穂</v>
      </c>
      <c r="J47" s="619"/>
      <c r="K47" s="82">
        <f>VLOOKUP(I47,'2月'!$B$4:$BQ$342,65,FALSE)</f>
        <v>0</v>
      </c>
      <c r="M47" s="725"/>
      <c r="N47" s="725"/>
      <c r="O47" s="725"/>
    </row>
    <row r="48" spans="1:20" ht="15" customHeight="1">
      <c r="A48" s="127" t="str">
        <f>'集計表(1～3月) '!A48</f>
        <v>赤坂　友輔</v>
      </c>
      <c r="B48" s="288">
        <f>'集計表(1～3月) '!B48</f>
        <v>0</v>
      </c>
      <c r="C48" s="109">
        <f>VLOOKUP(A48,'2月'!$B$4:$BQ$342,65,FALSE)</f>
        <v>0</v>
      </c>
      <c r="D48" s="1"/>
      <c r="E48" s="623" t="str">
        <f>'集計表(1～3月) '!E48</f>
        <v>石井　智帆</v>
      </c>
      <c r="F48" s="290">
        <f>'集計表(1～3月) '!F48</f>
        <v>0</v>
      </c>
      <c r="G48" s="82">
        <f>VLOOKUP(E48,'2月'!$B$4:$BQ$342,65,FALSE)</f>
        <v>0</v>
      </c>
      <c r="I48" s="128" t="str">
        <f>'集計表(1～3月) '!I48</f>
        <v>八田　香菜子</v>
      </c>
      <c r="J48" s="135"/>
      <c r="K48" s="177">
        <f>VLOOKUP(I48,'2月'!$B$4:$BQ$342,65,FALSE)</f>
        <v>0</v>
      </c>
      <c r="M48" s="722" t="s">
        <v>200</v>
      </c>
      <c r="N48" s="722"/>
      <c r="O48" s="722"/>
    </row>
    <row r="49" spans="1:24" ht="15" customHeight="1" thickBot="1">
      <c r="A49" s="127" t="str">
        <f>'集計表(1～3月) '!A49</f>
        <v>大久保　理恵</v>
      </c>
      <c r="B49" s="288">
        <f>'集計表(1～3月) '!B49</f>
        <v>0</v>
      </c>
      <c r="C49" s="109">
        <f>VLOOKUP(A49,'2月'!$B$4:$BQ$342,65,FALSE)</f>
        <v>0</v>
      </c>
      <c r="D49" s="1"/>
      <c r="E49" s="616" t="str">
        <f>'集計表(1～3月) '!E49</f>
        <v>貝守　竜哉</v>
      </c>
      <c r="F49" s="290">
        <f>'集計表(1～3月) '!F49</f>
        <v>0</v>
      </c>
      <c r="G49" s="82">
        <f>VLOOKUP(E49,'2月'!$B$4:$BQ$342,65,FALSE)</f>
        <v>0</v>
      </c>
      <c r="I49" s="616" t="str">
        <f>'集計表(1～3月) '!I49</f>
        <v>八田　雄太</v>
      </c>
      <c r="J49" s="619"/>
      <c r="K49" s="82">
        <f>VLOOKUP(I49,'2月'!$B$4:$BQ$342,65,FALSE)</f>
        <v>0</v>
      </c>
      <c r="L49" s="227"/>
      <c r="M49" s="726"/>
      <c r="N49" s="726"/>
      <c r="O49" s="726"/>
    </row>
    <row r="50" spans="1:24" ht="15" customHeight="1">
      <c r="A50" s="127" t="str">
        <f>'集計表(1～3月) '!A50</f>
        <v>熊野　実佳</v>
      </c>
      <c r="B50" s="288">
        <f>'集計表(1～3月) '!B50</f>
        <v>0</v>
      </c>
      <c r="C50" s="109">
        <f>VLOOKUP(A50,'2月'!$B$4:$BQ$342,65,FALSE)</f>
        <v>0</v>
      </c>
      <c r="D50" s="1"/>
      <c r="E50" s="616" t="str">
        <f>'集計表(1～3月) '!E50</f>
        <v>坂ノ上　愛莉</v>
      </c>
      <c r="F50" s="290">
        <f>'集計表(1～3月) '!F50</f>
        <v>0</v>
      </c>
      <c r="G50" s="82">
        <f>VLOOKUP(E50,'2月'!$B$4:$BQ$342,65,FALSE)</f>
        <v>0</v>
      </c>
      <c r="I50" s="280" t="str">
        <f>'集計表(1～3月) '!I50</f>
        <v>八田　安啓</v>
      </c>
      <c r="J50" s="275"/>
      <c r="K50" s="177">
        <f>VLOOKUP(I50,'2月'!$B$4:$BQ$342,65,FALSE)</f>
        <v>0</v>
      </c>
      <c r="L50" s="231"/>
      <c r="M50" s="727" t="e">
        <f>IF('2月'!BN405 = SUM(K45,G45,C45,C30,G30,K30,O30,O16,K16,G16,C16,C2,G2,K2,O2,C66,G66,K66,G73,G78,G79,C80),'2月'!BN405,0)</f>
        <v>#REF!</v>
      </c>
      <c r="N50" s="728"/>
      <c r="O50" s="731" t="s">
        <v>120</v>
      </c>
    </row>
    <row r="51" spans="1:24" ht="15" customHeight="1" thickBot="1">
      <c r="A51" s="127" t="str">
        <f>'集計表(1～3月) '!A51</f>
        <v>倉島　清子</v>
      </c>
      <c r="B51" s="288">
        <f>'集計表(1～3月) '!B51</f>
        <v>0</v>
      </c>
      <c r="C51" s="109">
        <f>VLOOKUP(A51,'2月'!$B$4:$BQ$342,65,FALSE)</f>
        <v>0</v>
      </c>
      <c r="D51" s="1"/>
      <c r="E51" s="616" t="str">
        <f>'集計表(1～3月) '!E51</f>
        <v>関川　哲一</v>
      </c>
      <c r="F51" s="290">
        <f>'集計表(1～3月) '!F51</f>
        <v>0</v>
      </c>
      <c r="G51" s="82">
        <f>VLOOKUP(E51,'2月'!$B$4:$BQ$342,65,FALSE)</f>
        <v>0</v>
      </c>
      <c r="I51" s="616" t="str">
        <f>'集計表(1～3月) '!I51</f>
        <v>桜庭　雅寛</v>
      </c>
      <c r="J51" s="619"/>
      <c r="K51" s="82">
        <f>VLOOKUP(I51,'2月'!$B$4:$BQ$342,65,FALSE)</f>
        <v>0</v>
      </c>
      <c r="L51" s="231"/>
      <c r="M51" s="729"/>
      <c r="N51" s="730"/>
      <c r="O51" s="732"/>
    </row>
    <row r="52" spans="1:24" ht="15" customHeight="1">
      <c r="A52" s="127" t="str">
        <f>'集計表(1～3月) '!A52</f>
        <v>清水　ミチ子</v>
      </c>
      <c r="B52" s="288">
        <f>'集計表(1～3月) '!B52</f>
        <v>0</v>
      </c>
      <c r="C52" s="109">
        <f>VLOOKUP(A52,'2月'!$B$4:$BQ$342,65,FALSE)</f>
        <v>0</v>
      </c>
      <c r="D52" s="1"/>
      <c r="E52" s="616" t="str">
        <f>'集計表(1～3月) '!E52</f>
        <v>髙橋　桐子</v>
      </c>
      <c r="F52" s="290">
        <f>'集計表(1～3月) '!F52</f>
        <v>0</v>
      </c>
      <c r="G52" s="82">
        <f>VLOOKUP(E52,'2月'!$B$4:$BQ$342,65,FALSE)</f>
        <v>0</v>
      </c>
      <c r="I52" s="128" t="str">
        <f>'集計表(1～3月) '!I52</f>
        <v>鷹幸　弘尚</v>
      </c>
      <c r="J52" s="134"/>
      <c r="K52" s="177">
        <f>VLOOKUP(I52,'2月'!$B$4:$BQ$342,65,FALSE)</f>
        <v>0</v>
      </c>
      <c r="L52" s="231"/>
      <c r="M52" s="733">
        <f>'2月'!BO405</f>
        <v>0</v>
      </c>
      <c r="N52" s="734"/>
      <c r="O52" s="719" t="s">
        <v>194</v>
      </c>
      <c r="P52" s="114"/>
    </row>
    <row r="53" spans="1:24" ht="15" customHeight="1" thickBot="1">
      <c r="A53" s="127" t="str">
        <f>'集計表(1～3月) '!A53</f>
        <v>西村　裕美</v>
      </c>
      <c r="B53" s="290">
        <f>'集計表(1～3月) '!B53</f>
        <v>0</v>
      </c>
      <c r="C53" s="109">
        <f>VLOOKUP(A53,'2月'!$B$4:$BQ$342,65,FALSE)</f>
        <v>0</v>
      </c>
      <c r="D53" s="1"/>
      <c r="E53" s="616" t="str">
        <f>'集計表(1～3月) '!E53</f>
        <v>松橋　明日香</v>
      </c>
      <c r="F53" s="290">
        <f>'集計表(1～3月) '!F53</f>
        <v>0</v>
      </c>
      <c r="G53" s="82">
        <f>VLOOKUP(E53,'2月'!$B$4:$BQ$342,65,FALSE)</f>
        <v>0</v>
      </c>
      <c r="I53" s="616" t="str">
        <f>'集計表(1～3月) '!I53</f>
        <v>細越　利章</v>
      </c>
      <c r="J53" s="619"/>
      <c r="K53" s="82">
        <f>VLOOKUP(I53,'2月'!$B$4:$BQ$342,65,FALSE)</f>
        <v>0</v>
      </c>
      <c r="L53" s="231"/>
      <c r="M53" s="735"/>
      <c r="N53" s="736"/>
      <c r="O53" s="720"/>
      <c r="P53" s="114"/>
    </row>
    <row r="54" spans="1:24" ht="15" customHeight="1">
      <c r="A54" s="127" t="str">
        <f>'集計表(1～3月) '!A54</f>
        <v>沼田　久子</v>
      </c>
      <c r="B54" s="269">
        <f>'集計表(1～3月) '!B54</f>
        <v>0</v>
      </c>
      <c r="C54" s="109">
        <f>VLOOKUP(A54,'2月'!$B$4:$BQ$342,65,FALSE)</f>
        <v>0</v>
      </c>
      <c r="D54" s="1"/>
      <c r="E54" s="622" t="str">
        <f>'集計表(1～3月) '!E54</f>
        <v>安ヶ平　真由美</v>
      </c>
      <c r="F54" s="291">
        <f>'集計表(1～3月) '!F54</f>
        <v>0</v>
      </c>
      <c r="G54" s="83">
        <f>VLOOKUP(E54,'2月'!$B$4:$BQ$342,65,FALSE)</f>
        <v>0</v>
      </c>
      <c r="I54" s="578" t="str">
        <f>'集計表(1～3月) '!I54</f>
        <v>中村　英満</v>
      </c>
      <c r="J54" s="124"/>
      <c r="K54" s="177">
        <f>VLOOKUP(I54,'2月'!$B$4:$BQ$342,65,FALSE)</f>
        <v>0</v>
      </c>
    </row>
    <row r="55" spans="1:24" ht="15" customHeight="1" thickBot="1">
      <c r="A55" s="127" t="str">
        <f>'集計表(1～3月) '!A55</f>
        <v>母良田　幸子</v>
      </c>
      <c r="B55" s="299">
        <f>'集計表(1～3月) '!B55</f>
        <v>0</v>
      </c>
      <c r="C55" s="82">
        <f>VLOOKUP(A55,'2月'!$B$4:$BQ$342,65,FALSE)</f>
        <v>0</v>
      </c>
      <c r="E55" s="126" t="str">
        <f>'集計表(1～3月) '!E55</f>
        <v>山下　三鶴</v>
      </c>
      <c r="F55" s="292">
        <f>'集計表(1～3月) '!F55</f>
        <v>0</v>
      </c>
      <c r="G55" s="84">
        <f>VLOOKUP(E55,'2月'!$B$4:$BQ$342,65,FALSE)</f>
        <v>0</v>
      </c>
      <c r="I55" s="132" t="str">
        <f>'集計表(1～3月) '!I55</f>
        <v>佐野　俊彦</v>
      </c>
      <c r="J55" s="624"/>
      <c r="K55" s="84">
        <f>VLOOKUP(I55,'2月'!$B$4:$BQ$342,65,FALSE)</f>
        <v>0</v>
      </c>
      <c r="T55" s="313"/>
      <c r="U55" s="138"/>
      <c r="V55" s="311"/>
      <c r="W55" s="138"/>
      <c r="X55" s="217"/>
    </row>
    <row r="56" spans="1:24" ht="14.25" thickBot="1">
      <c r="A56" s="126" t="str">
        <f>'集計表(1～3月) '!A56</f>
        <v>松原　英利</v>
      </c>
      <c r="B56" s="292">
        <f>'集計表(1～3月) '!B56</f>
        <v>0</v>
      </c>
      <c r="C56" s="174">
        <f>VLOOKUP(A56,'2月'!$B$4:$BQ$342,65,FALSE)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0</v>
      </c>
      <c r="W57" s="140">
        <f>G66</f>
        <v>0</v>
      </c>
      <c r="X57" s="317">
        <v>30</v>
      </c>
    </row>
    <row r="58" spans="1:24" ht="14.25" customHeight="1">
      <c r="E58" s="184"/>
      <c r="F58" s="184"/>
      <c r="G58" s="184"/>
      <c r="H58" s="184"/>
      <c r="T58" s="342" t="s">
        <v>259</v>
      </c>
      <c r="U58" s="286">
        <f>COUNTA(I67:I85)</f>
        <v>19</v>
      </c>
      <c r="V58" s="140">
        <f>COUNTIF(K67:K85,"&gt;=1")</f>
        <v>0</v>
      </c>
      <c r="W58" s="140">
        <f>K66</f>
        <v>0</v>
      </c>
      <c r="X58" s="317">
        <v>100</v>
      </c>
    </row>
    <row r="59" spans="1:24" ht="14.25" customHeight="1">
      <c r="A59" s="721"/>
      <c r="B59" s="721"/>
      <c r="C59" s="721"/>
      <c r="D59" s="184"/>
      <c r="E59" s="192"/>
      <c r="F59" s="192"/>
      <c r="G59" s="192"/>
      <c r="H59" s="192"/>
      <c r="T59" s="271" t="s">
        <v>260</v>
      </c>
      <c r="U59" s="283">
        <f>COUNTA(A67:A74)</f>
        <v>8</v>
      </c>
      <c r="V59" s="140">
        <f>COUNTIF(C67:C74,"&gt;=1")</f>
        <v>0</v>
      </c>
      <c r="W59" s="140">
        <f>C66</f>
        <v>0</v>
      </c>
      <c r="X59" s="317">
        <v>40</v>
      </c>
    </row>
    <row r="60" spans="1:24" ht="14.25" customHeight="1" thickBot="1">
      <c r="A60" s="721"/>
      <c r="B60" s="721"/>
      <c r="C60" s="721"/>
      <c r="D60" s="184"/>
      <c r="E60" s="184"/>
      <c r="F60" s="184"/>
      <c r="G60" s="184"/>
      <c r="H60" s="184"/>
      <c r="T60" s="341" t="s">
        <v>317</v>
      </c>
      <c r="U60" s="314"/>
      <c r="V60" s="436"/>
      <c r="W60" s="298">
        <f>G73+G78+G79</f>
        <v>0</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0</v>
      </c>
      <c r="D66" s="3"/>
      <c r="E66" s="715" t="s">
        <v>54</v>
      </c>
      <c r="F66" s="716"/>
      <c r="G66" s="220">
        <f>SUM(G67:G71)</f>
        <v>0</v>
      </c>
      <c r="H66" s="3"/>
      <c r="I66" s="715" t="s">
        <v>69</v>
      </c>
      <c r="J66" s="716"/>
      <c r="K66" s="220">
        <f>SUM(K67:K91)</f>
        <v>0</v>
      </c>
      <c r="L66" s="3"/>
    </row>
    <row r="67" spans="1:12" ht="14.25" thickTop="1">
      <c r="A67" s="130" t="str">
        <f>'集計表(1～3月) '!A67</f>
        <v>石橋　優子</v>
      </c>
      <c r="B67" s="267"/>
      <c r="C67" s="173">
        <f>VLOOKUP(A67,'2月'!$B$4:$BQ$342,65,FALSE)</f>
        <v>0</v>
      </c>
      <c r="D67" s="3"/>
      <c r="E67" s="125" t="str">
        <f>'集計表(1～3月) '!E67</f>
        <v>林　覚弘</v>
      </c>
      <c r="F67" s="277"/>
      <c r="G67" s="173">
        <f>VLOOKUP(E67,'2月'!$B$4:$BQ$342,65,FALSE)</f>
        <v>0</v>
      </c>
      <c r="H67" s="3"/>
      <c r="I67" s="130" t="str">
        <f>'集計表(1～3月) '!I67</f>
        <v>赤坂　和子</v>
      </c>
      <c r="J67" s="230"/>
      <c r="K67" s="173">
        <f>VLOOKUP(I67,'2月'!$B$4:$BQ$342,65,FALSE)</f>
        <v>0</v>
      </c>
      <c r="L67" s="3"/>
    </row>
    <row r="68" spans="1:12">
      <c r="A68" s="131" t="str">
        <f>'集計表(1～3月) '!A68</f>
        <v>上田　敏子</v>
      </c>
      <c r="B68" s="228"/>
      <c r="C68" s="223">
        <f>VLOOKUP(A68,'2月'!$B$4:$BQ$342,65,FALSE)</f>
        <v>0</v>
      </c>
      <c r="D68" s="3"/>
      <c r="E68" s="125" t="str">
        <f>'集計表(1～3月) '!E68</f>
        <v>松橋　誠</v>
      </c>
      <c r="F68" s="277"/>
      <c r="G68" s="198">
        <f>VLOOKUP(E68,'2月'!$B$4:$BQ$342,65,FALSE)</f>
        <v>0</v>
      </c>
      <c r="H68" s="3"/>
      <c r="I68" s="131" t="str">
        <f>'集計表(1～3月) '!I68</f>
        <v>赤坂　純子</v>
      </c>
      <c r="J68" s="228"/>
      <c r="K68" s="198">
        <f>VLOOKUP(I68,'2月'!$B$4:$BQ$342,65,FALSE)</f>
        <v>0</v>
      </c>
      <c r="L68" s="3"/>
    </row>
    <row r="69" spans="1:12">
      <c r="A69" s="131" t="str">
        <f>'集計表(1～3月) '!A69</f>
        <v>齋藤　小百合</v>
      </c>
      <c r="B69" s="228"/>
      <c r="C69" s="223">
        <f>VLOOKUP(A69,'2月'!$B$4:$BQ$342,65,FALSE)</f>
        <v>0</v>
      </c>
      <c r="D69" s="3"/>
      <c r="E69" s="125" t="str">
        <f>'集計表(1～3月) '!E69</f>
        <v>三田　亮</v>
      </c>
      <c r="F69" s="277"/>
      <c r="G69" s="198">
        <f>VLOOKUP(E69,'2月'!$B$4:$BQ$342,65,FALSE)</f>
        <v>0</v>
      </c>
      <c r="H69" s="3"/>
      <c r="I69" s="158" t="str">
        <f>'集計表(1～3月) '!I69</f>
        <v>榎本　明美</v>
      </c>
      <c r="J69" s="226"/>
      <c r="K69" s="198">
        <f>VLOOKUP(I69,'2月'!$B$4:$BQ$342,65,FALSE)</f>
        <v>0</v>
      </c>
      <c r="L69" s="3"/>
    </row>
    <row r="70" spans="1:12">
      <c r="A70" s="131" t="str">
        <f>'集計表(1～3月) '!A70</f>
        <v>鹿内　美海</v>
      </c>
      <c r="B70" s="228"/>
      <c r="C70" s="223">
        <f>VLOOKUP(A70,'2月'!$B$4:$BQ$342,65,FALSE)</f>
        <v>0</v>
      </c>
      <c r="D70" s="3"/>
      <c r="E70" s="125" t="str">
        <f>'集計表(1～3月) '!E70</f>
        <v>橋本　収史</v>
      </c>
      <c r="F70" s="277"/>
      <c r="G70" s="221">
        <f>VLOOKUP(E70,'2月'!$B$4:$BQ$342,65,FALSE)</f>
        <v>0</v>
      </c>
      <c r="H70" s="3"/>
      <c r="I70" s="131" t="str">
        <f>'集計表(1～3月) '!I70</f>
        <v>大前　順子</v>
      </c>
      <c r="J70" s="228"/>
      <c r="K70" s="198">
        <f>VLOOKUP(I70,'2月'!$B$4:$BQ$342,65,FALSE)</f>
        <v>0</v>
      </c>
      <c r="L70" s="3"/>
    </row>
    <row r="71" spans="1:12" ht="14.25" thickBot="1">
      <c r="A71" s="131" t="str">
        <f>'集計表(1～3月) '!A71</f>
        <v>田中　良子</v>
      </c>
      <c r="B71" s="228"/>
      <c r="C71" s="223">
        <f>VLOOKUP(A71,'2月'!$B$4:$BQ$342,65,FALSE)</f>
        <v>0</v>
      </c>
      <c r="D71" s="3"/>
      <c r="E71" s="270">
        <f>'集計表(1～3月) '!E71</f>
        <v>0</v>
      </c>
      <c r="F71" s="278"/>
      <c r="G71" s="199"/>
      <c r="H71" s="3"/>
      <c r="I71" s="131" t="str">
        <f>'集計表(1～3月) '!I71</f>
        <v>小笠原　桂子</v>
      </c>
      <c r="J71" s="228"/>
      <c r="K71" s="198">
        <f>VLOOKUP(I71,'2月'!$B$4:$BQ$342,65,FALSE)</f>
        <v>0</v>
      </c>
      <c r="L71" s="3"/>
    </row>
    <row r="72" spans="1:12" ht="14.25" thickBot="1">
      <c r="A72" s="131" t="str">
        <f>'集計表(1～3月) '!A72</f>
        <v>中村　章子</v>
      </c>
      <c r="B72" s="228"/>
      <c r="C72" s="223">
        <f>VLOOKUP(A72,'2月'!$B$4:$BQ$342,65,FALSE)</f>
        <v>0</v>
      </c>
      <c r="D72" s="3"/>
      <c r="I72" s="131" t="str">
        <f>'集計表(1～3月) '!I72</f>
        <v>小笠原　幹子</v>
      </c>
      <c r="J72" s="228"/>
      <c r="K72" s="198">
        <f>VLOOKUP(I72,'2月'!$B$4:$BQ$342,65,FALSE)</f>
        <v>0</v>
      </c>
      <c r="L72" s="3"/>
    </row>
    <row r="73" spans="1:12" ht="14.25" thickBot="1">
      <c r="A73" s="133" t="str">
        <f>'集計表(1～3月) '!A73</f>
        <v>林　京子</v>
      </c>
      <c r="B73" s="268"/>
      <c r="C73" s="223">
        <f>VLOOKUP(A73,'2月'!$B$4:$BQ$342,65,FALSE)</f>
        <v>0</v>
      </c>
      <c r="D73" s="3"/>
      <c r="E73" s="715" t="s">
        <v>58</v>
      </c>
      <c r="F73" s="716"/>
      <c r="G73" s="80">
        <f>SUM(G74:G75)</f>
        <v>0</v>
      </c>
      <c r="I73" s="131" t="str">
        <f>'集計表(1～3月) '!I73</f>
        <v>貝守　美奈子</v>
      </c>
      <c r="J73" s="228"/>
      <c r="K73" s="198">
        <f>VLOOKUP(I73,'2月'!$B$4:$BQ$342,65,FALSE)</f>
        <v>0</v>
      </c>
      <c r="L73" s="3"/>
    </row>
    <row r="74" spans="1:12" ht="14.25" thickTop="1">
      <c r="A74" s="133" t="str">
        <f>'集計表(1～3月) '!A74</f>
        <v>三上　紗津</v>
      </c>
      <c r="B74" s="268"/>
      <c r="C74" s="223">
        <f>VLOOKUP(A74,'2月'!$B$4:$BQ$342,65,FALSE)</f>
        <v>0</v>
      </c>
      <c r="D74" s="3"/>
      <c r="E74" s="717" t="str">
        <f>'集計表(1～3月) '!E74</f>
        <v>サポーター・他</v>
      </c>
      <c r="F74" s="718"/>
      <c r="G74" s="81">
        <f>'2月'!BN400</f>
        <v>0</v>
      </c>
      <c r="I74" s="131" t="str">
        <f>'集計表(1～3月) '!I74</f>
        <v>川守田　潤子</v>
      </c>
      <c r="J74" s="228"/>
      <c r="K74" s="198">
        <f>VLOOKUP(I74,'2月'!$B$4:$BQ$342,65,FALSE)</f>
        <v>0</v>
      </c>
      <c r="L74" s="3"/>
    </row>
    <row r="75" spans="1:12" ht="14.25" thickBot="1">
      <c r="A75" s="133">
        <f>'集計表(1～3月) '!A75</f>
        <v>0</v>
      </c>
      <c r="B75" s="268"/>
      <c r="C75" s="223"/>
      <c r="D75" s="3"/>
      <c r="E75" s="713" t="str">
        <f>'集計表(1～3月) '!E75</f>
        <v>取引先業者</v>
      </c>
      <c r="F75" s="714"/>
      <c r="G75" s="84">
        <f>'2月'!BN401</f>
        <v>0</v>
      </c>
      <c r="I75" s="131" t="str">
        <f>'集計表(1～3月) '!I75</f>
        <v>木村　かつ</v>
      </c>
      <c r="J75" s="228"/>
      <c r="K75" s="198">
        <f>VLOOKUP(I75,'2月'!$B$4:$BQ$342,65,FALSE)</f>
        <v>0</v>
      </c>
      <c r="L75" s="3"/>
    </row>
    <row r="76" spans="1:12">
      <c r="A76" s="133">
        <f>'集計表(1～3月) '!A76</f>
        <v>0</v>
      </c>
      <c r="B76" s="268"/>
      <c r="C76" s="223"/>
      <c r="D76" s="3"/>
      <c r="E76" s="783"/>
      <c r="F76" s="783"/>
      <c r="I76" s="131" t="str">
        <f>'集計表(1～3月) '!I76</f>
        <v>木村　紀子</v>
      </c>
      <c r="J76" s="228"/>
      <c r="K76" s="198">
        <f>VLOOKUP(I76,'2月'!$B$4:$BQ$342,65,FALSE)</f>
        <v>0</v>
      </c>
      <c r="L76" s="3"/>
    </row>
    <row r="77" spans="1:12" ht="14.25" thickBot="1">
      <c r="A77" s="132">
        <f>'集計表(1～3月) '!A77</f>
        <v>0</v>
      </c>
      <c r="B77" s="229"/>
      <c r="C77" s="224"/>
      <c r="D77" s="3"/>
      <c r="I77" s="131" t="str">
        <f>'集計表(1～3月) '!I77</f>
        <v>斉藤　尚子</v>
      </c>
      <c r="J77" s="228"/>
      <c r="K77" s="198">
        <f>VLOOKUP(I77,'2月'!$B$4:$BQ$342,65,FALSE)</f>
        <v>0</v>
      </c>
      <c r="L77" s="3"/>
    </row>
    <row r="78" spans="1:12">
      <c r="E78" s="723" t="str">
        <f>'集計表(1～3月) '!E78</f>
        <v>互助会本部</v>
      </c>
      <c r="F78" s="724"/>
      <c r="G78" s="90">
        <f>'2月'!BN244</f>
        <v>0</v>
      </c>
      <c r="I78" s="131" t="str">
        <f>'集計表(1～3月) '!I78</f>
        <v>坂　美穂子</v>
      </c>
      <c r="J78" s="228"/>
      <c r="K78" s="198">
        <f>VLOOKUP(I78,'2月'!$B$4:$BQ$342,65,FALSE)</f>
        <v>0</v>
      </c>
      <c r="L78" s="3"/>
    </row>
    <row r="79" spans="1:12" ht="14.25" thickBot="1">
      <c r="E79" s="713" t="str">
        <f>'集計表(1～3月) '!E79</f>
        <v>受籍</v>
      </c>
      <c r="F79" s="714"/>
      <c r="G79" s="84">
        <f>'2月'!BN245</f>
        <v>0</v>
      </c>
      <c r="I79" s="131" t="str">
        <f>'集計表(1～3月) '!I79</f>
        <v>坂ノ上　由紀</v>
      </c>
      <c r="J79" s="228"/>
      <c r="K79" s="198">
        <f>VLOOKUP(I79,'2月'!$B$4:$BQ$342,65,FALSE)</f>
        <v>0</v>
      </c>
      <c r="L79" s="3"/>
    </row>
    <row r="80" spans="1:12">
      <c r="C80" s="403">
        <f>SUM(C83:C85)</f>
        <v>0</v>
      </c>
      <c r="E80" s="139"/>
      <c r="F80" s="139"/>
      <c r="I80" s="131" t="str">
        <f>'集計表(1～3月) '!I80</f>
        <v>白石　華奈子</v>
      </c>
      <c r="J80" s="228"/>
      <c r="K80" s="198">
        <f>VLOOKUP(I80,'2月'!$B$4:$BQ$342,65,FALSE)</f>
        <v>0</v>
      </c>
      <c r="L80" s="3"/>
    </row>
    <row r="81" spans="1:12">
      <c r="A81" s="614" t="str">
        <f>'集計表(1～3月) '!A81</f>
        <v>小笠原　勉</v>
      </c>
      <c r="B81" s="403"/>
      <c r="C81" s="415">
        <f>VLOOKUP(A81,'2月'!$B$4:$BQ$342,65,FALSE)</f>
        <v>0</v>
      </c>
      <c r="I81" s="131" t="str">
        <f>'集計表(1～3月) '!I81</f>
        <v>清野　由貴子</v>
      </c>
      <c r="J81" s="228"/>
      <c r="K81" s="198">
        <f>VLOOKUP(I81,'2月'!$B$4:$BQ$342,65,FALSE)</f>
        <v>0</v>
      </c>
      <c r="L81" s="3"/>
    </row>
    <row r="82" spans="1:12">
      <c r="A82" s="614" t="str">
        <f>'集計表(1～3月) '!A82</f>
        <v>川戸　真由美</v>
      </c>
      <c r="B82" s="403"/>
      <c r="C82" s="415">
        <f>VLOOKUP(A82,'2月'!$B$4:$BQ$342,65,FALSE)</f>
        <v>0</v>
      </c>
      <c r="I82" s="131" t="str">
        <f>'集計表(1～3月) '!I82</f>
        <v>玉川　妙子</v>
      </c>
      <c r="J82" s="228"/>
      <c r="K82" s="198">
        <f>VLOOKUP(I82,'2月'!$B$4:$BQ$342,65,FALSE)</f>
        <v>0</v>
      </c>
      <c r="L82" s="3"/>
    </row>
    <row r="83" spans="1:12">
      <c r="A83" s="614" t="str">
        <f>'集計表(1～3月) '!A83</f>
        <v>根城　雅子</v>
      </c>
      <c r="B83" s="290"/>
      <c r="C83" s="415">
        <f>VLOOKUP(A83,'2月'!$B$4:$BQ$342,65,FALSE)</f>
        <v>0</v>
      </c>
      <c r="I83" s="131" t="str">
        <f>'集計表(1～3月) '!I83</f>
        <v>林下　恵</v>
      </c>
      <c r="J83" s="228"/>
      <c r="K83" s="198">
        <f>VLOOKUP(I83,'2月'!$B$4:$BQ$342,65,FALSE)</f>
        <v>0</v>
      </c>
      <c r="L83" s="3"/>
    </row>
    <row r="84" spans="1:12">
      <c r="A84" s="124"/>
      <c r="C84" s="613"/>
      <c r="I84" s="131" t="str">
        <f>'集計表(1～3月) '!I84</f>
        <v>山村　恭代</v>
      </c>
      <c r="J84" s="228"/>
      <c r="K84" s="198">
        <f>VLOOKUP(I84,'2月'!$B$4:$BQ$342,65,FALSE)</f>
        <v>0</v>
      </c>
      <c r="L84" s="3"/>
    </row>
    <row r="85" spans="1:12">
      <c r="A85" s="124"/>
      <c r="C85" s="613"/>
      <c r="I85" s="131" t="str">
        <f>'集計表(1～3月) '!I85</f>
        <v>山本　えり子</v>
      </c>
      <c r="J85" s="228"/>
      <c r="K85" s="198">
        <f>VLOOKUP(I85,'2月'!$B$4:$BQ$342,65,FALSE)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3" spans="2:37" ht="12.75" customHeight="1">
      <c r="B133" s="668"/>
    </row>
    <row r="143" spans="2:37">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BD56F-5E43-4B9A-8A98-C3DCDDB566AB}">
  <sheetPr codeName="Sheet10">
    <pageSetUpPr fitToPage="1"/>
  </sheetPr>
  <dimension ref="B1:BQ440"/>
  <sheetViews>
    <sheetView view="pageBreakPreview" zoomScale="40" zoomScaleNormal="40" zoomScaleSheetLayoutView="40" workbookViewId="0">
      <pane xSplit="3" ySplit="3" topLeftCell="D336" activePane="bottomRight" state="frozen"/>
      <selection pane="topRight" activeCell="D1" sqref="D1"/>
      <selection pane="bottomLeft" activeCell="A4" sqref="A4"/>
      <selection pane="bottomRight" activeCell="X209" sqref="X209"/>
    </sheetView>
  </sheetViews>
  <sheetFormatPr defaultRowHeight="21"/>
  <cols>
    <col min="1" max="1" width="3" customWidth="1"/>
    <col min="2" max="2" width="30.625" style="1" customWidth="1"/>
    <col min="3" max="3" width="4.75" style="150" customWidth="1"/>
    <col min="4" max="37" width="8.625" style="7" customWidth="1"/>
    <col min="38" max="66" width="8.625" customWidth="1"/>
  </cols>
  <sheetData>
    <row r="1" spans="2:69" ht="24.95" customHeight="1">
      <c r="B1" s="743" t="s">
        <v>60</v>
      </c>
      <c r="C1" s="749">
        <f>COUNTIF(B4:B23,"*")</f>
        <v>15</v>
      </c>
      <c r="D1" s="751">
        <v>1</v>
      </c>
      <c r="E1" s="738"/>
      <c r="F1" s="737">
        <v>2</v>
      </c>
      <c r="G1" s="738"/>
      <c r="H1" s="737">
        <v>3</v>
      </c>
      <c r="I1" s="738"/>
      <c r="J1" s="737">
        <v>4</v>
      </c>
      <c r="K1" s="738"/>
      <c r="L1" s="737">
        <v>5</v>
      </c>
      <c r="M1" s="738"/>
      <c r="N1" s="737">
        <v>6</v>
      </c>
      <c r="O1" s="738"/>
      <c r="P1" s="737">
        <v>7</v>
      </c>
      <c r="Q1" s="738"/>
      <c r="R1" s="737">
        <v>8</v>
      </c>
      <c r="S1" s="738"/>
      <c r="T1" s="737">
        <v>9</v>
      </c>
      <c r="U1" s="738"/>
      <c r="V1" s="737">
        <v>10</v>
      </c>
      <c r="W1" s="738"/>
      <c r="X1" s="737">
        <v>11</v>
      </c>
      <c r="Y1" s="738"/>
      <c r="Z1" s="737">
        <v>12</v>
      </c>
      <c r="AA1" s="738"/>
      <c r="AB1" s="737">
        <v>13</v>
      </c>
      <c r="AC1" s="738"/>
      <c r="AD1" s="737">
        <v>14</v>
      </c>
      <c r="AE1" s="738"/>
      <c r="AF1" s="737">
        <v>15</v>
      </c>
      <c r="AG1" s="784"/>
      <c r="AH1" s="741">
        <v>16</v>
      </c>
      <c r="AI1" s="741"/>
      <c r="AJ1" s="741">
        <v>17</v>
      </c>
      <c r="AK1" s="741"/>
      <c r="AL1" s="741">
        <v>18</v>
      </c>
      <c r="AM1" s="741"/>
      <c r="AN1" s="741">
        <v>19</v>
      </c>
      <c r="AO1" s="741"/>
      <c r="AP1" s="741">
        <v>20</v>
      </c>
      <c r="AQ1" s="741"/>
      <c r="AR1" s="741">
        <v>21</v>
      </c>
      <c r="AS1" s="741"/>
      <c r="AT1" s="741">
        <v>22</v>
      </c>
      <c r="AU1" s="741"/>
      <c r="AV1" s="741">
        <v>23</v>
      </c>
      <c r="AW1" s="741"/>
      <c r="AX1" s="741">
        <v>24</v>
      </c>
      <c r="AY1" s="741"/>
      <c r="AZ1" s="741">
        <v>25</v>
      </c>
      <c r="BA1" s="741"/>
      <c r="BB1" s="741">
        <v>26</v>
      </c>
      <c r="BC1" s="741"/>
      <c r="BD1" s="741">
        <v>27</v>
      </c>
      <c r="BE1" s="741"/>
      <c r="BF1" s="741">
        <v>28</v>
      </c>
      <c r="BG1" s="741"/>
      <c r="BH1" s="741">
        <v>29</v>
      </c>
      <c r="BI1" s="741"/>
      <c r="BJ1" s="741">
        <v>30</v>
      </c>
      <c r="BK1" s="741"/>
      <c r="BL1" s="741">
        <v>31</v>
      </c>
      <c r="BM1" s="741"/>
      <c r="BN1" s="738" t="s">
        <v>251</v>
      </c>
      <c r="BO1" s="760"/>
      <c r="BP1" s="763" t="s">
        <v>354</v>
      </c>
      <c r="BQ1" s="788"/>
    </row>
    <row r="2" spans="2:69" ht="24.75" customHeight="1">
      <c r="B2" s="744"/>
      <c r="C2" s="747"/>
      <c r="D2" s="797" t="s">
        <v>122</v>
      </c>
      <c r="E2" s="795"/>
      <c r="F2" s="794" t="s">
        <v>71</v>
      </c>
      <c r="G2" s="795"/>
      <c r="H2" s="794" t="s">
        <v>74</v>
      </c>
      <c r="I2" s="795"/>
      <c r="J2" s="794" t="s">
        <v>75</v>
      </c>
      <c r="K2" s="795"/>
      <c r="L2" s="794" t="s">
        <v>76</v>
      </c>
      <c r="M2" s="795"/>
      <c r="N2" s="794" t="s">
        <v>77</v>
      </c>
      <c r="O2" s="795"/>
      <c r="P2" s="794" t="s">
        <v>78</v>
      </c>
      <c r="Q2" s="795"/>
      <c r="R2" s="794" t="s">
        <v>79</v>
      </c>
      <c r="S2" s="795"/>
      <c r="T2" s="794" t="s">
        <v>71</v>
      </c>
      <c r="U2" s="795"/>
      <c r="V2" s="794" t="s">
        <v>74</v>
      </c>
      <c r="W2" s="795"/>
      <c r="X2" s="794" t="s">
        <v>75</v>
      </c>
      <c r="Y2" s="795"/>
      <c r="Z2" s="794" t="s">
        <v>76</v>
      </c>
      <c r="AA2" s="795"/>
      <c r="AB2" s="794" t="s">
        <v>77</v>
      </c>
      <c r="AC2" s="795"/>
      <c r="AD2" s="794" t="s">
        <v>78</v>
      </c>
      <c r="AE2" s="795"/>
      <c r="AF2" s="794" t="s">
        <v>79</v>
      </c>
      <c r="AG2" s="796"/>
      <c r="AH2" s="797" t="s">
        <v>71</v>
      </c>
      <c r="AI2" s="795"/>
      <c r="AJ2" s="794" t="s">
        <v>74</v>
      </c>
      <c r="AK2" s="795"/>
      <c r="AL2" s="794" t="s">
        <v>75</v>
      </c>
      <c r="AM2" s="795"/>
      <c r="AN2" s="794" t="s">
        <v>76</v>
      </c>
      <c r="AO2" s="795"/>
      <c r="AP2" s="794" t="s">
        <v>77</v>
      </c>
      <c r="AQ2" s="795"/>
      <c r="AR2" s="794" t="s">
        <v>78</v>
      </c>
      <c r="AS2" s="795"/>
      <c r="AT2" s="794" t="s">
        <v>79</v>
      </c>
      <c r="AU2" s="795"/>
      <c r="AV2" s="794" t="s">
        <v>71</v>
      </c>
      <c r="AW2" s="795"/>
      <c r="AX2" s="794" t="s">
        <v>74</v>
      </c>
      <c r="AY2" s="795"/>
      <c r="AZ2" s="794" t="s">
        <v>75</v>
      </c>
      <c r="BA2" s="795"/>
      <c r="BB2" s="794" t="s">
        <v>76</v>
      </c>
      <c r="BC2" s="795"/>
      <c r="BD2" s="794" t="s">
        <v>77</v>
      </c>
      <c r="BE2" s="795"/>
      <c r="BF2" s="794" t="s">
        <v>78</v>
      </c>
      <c r="BG2" s="795"/>
      <c r="BH2" s="794" t="s">
        <v>79</v>
      </c>
      <c r="BI2" s="795"/>
      <c r="BJ2" s="794" t="s">
        <v>71</v>
      </c>
      <c r="BK2" s="795"/>
      <c r="BL2" s="794" t="s">
        <v>74</v>
      </c>
      <c r="BM2" s="795"/>
      <c r="BN2" s="761"/>
      <c r="BO2" s="762"/>
      <c r="BP2" s="789"/>
      <c r="BQ2" s="790"/>
    </row>
    <row r="3" spans="2:69" ht="24.95" customHeight="1">
      <c r="B3" s="744"/>
      <c r="C3" s="747"/>
      <c r="D3" s="482" t="s">
        <v>72</v>
      </c>
      <c r="E3" s="481" t="s">
        <v>73</v>
      </c>
      <c r="F3" s="482" t="s">
        <v>72</v>
      </c>
      <c r="G3" s="481" t="s">
        <v>73</v>
      </c>
      <c r="H3" s="482" t="s">
        <v>72</v>
      </c>
      <c r="I3" s="481" t="s">
        <v>73</v>
      </c>
      <c r="J3" s="482" t="s">
        <v>72</v>
      </c>
      <c r="K3" s="481" t="s">
        <v>73</v>
      </c>
      <c r="L3" s="482" t="s">
        <v>72</v>
      </c>
      <c r="M3" s="481" t="s">
        <v>73</v>
      </c>
      <c r="N3" s="482" t="s">
        <v>72</v>
      </c>
      <c r="O3" s="481" t="s">
        <v>73</v>
      </c>
      <c r="P3" s="482" t="s">
        <v>72</v>
      </c>
      <c r="Q3" s="481" t="s">
        <v>73</v>
      </c>
      <c r="R3" s="482" t="s">
        <v>72</v>
      </c>
      <c r="S3" s="481" t="s">
        <v>73</v>
      </c>
      <c r="T3" s="482" t="s">
        <v>72</v>
      </c>
      <c r="U3" s="481" t="s">
        <v>73</v>
      </c>
      <c r="V3" s="482" t="s">
        <v>72</v>
      </c>
      <c r="W3" s="481" t="s">
        <v>73</v>
      </c>
      <c r="X3" s="482" t="s">
        <v>72</v>
      </c>
      <c r="Y3" s="481" t="s">
        <v>73</v>
      </c>
      <c r="Z3" s="482" t="s">
        <v>72</v>
      </c>
      <c r="AA3" s="107" t="s">
        <v>73</v>
      </c>
      <c r="AB3" s="194" t="s">
        <v>72</v>
      </c>
      <c r="AC3" s="107" t="s">
        <v>73</v>
      </c>
      <c r="AD3" s="194" t="s">
        <v>72</v>
      </c>
      <c r="AE3" s="107" t="s">
        <v>73</v>
      </c>
      <c r="AF3" s="194" t="s">
        <v>72</v>
      </c>
      <c r="AG3" s="107" t="s">
        <v>73</v>
      </c>
      <c r="AH3" s="482" t="s">
        <v>72</v>
      </c>
      <c r="AI3" s="481" t="s">
        <v>73</v>
      </c>
      <c r="AJ3" s="482" t="s">
        <v>72</v>
      </c>
      <c r="AK3" s="481" t="s">
        <v>73</v>
      </c>
      <c r="AL3" s="482" t="s">
        <v>72</v>
      </c>
      <c r="AM3" s="481" t="s">
        <v>73</v>
      </c>
      <c r="AN3" s="482" t="s">
        <v>72</v>
      </c>
      <c r="AO3" s="481" t="s">
        <v>73</v>
      </c>
      <c r="AP3" s="482" t="s">
        <v>72</v>
      </c>
      <c r="AQ3" s="481" t="s">
        <v>73</v>
      </c>
      <c r="AR3" s="482" t="s">
        <v>72</v>
      </c>
      <c r="AS3" s="481" t="s">
        <v>73</v>
      </c>
      <c r="AT3" s="482" t="s">
        <v>72</v>
      </c>
      <c r="AU3" s="481" t="s">
        <v>73</v>
      </c>
      <c r="AV3" s="482" t="s">
        <v>72</v>
      </c>
      <c r="AW3" s="481" t="s">
        <v>73</v>
      </c>
      <c r="AX3" s="482" t="s">
        <v>72</v>
      </c>
      <c r="AY3" s="481" t="s">
        <v>73</v>
      </c>
      <c r="AZ3" s="482" t="s">
        <v>72</v>
      </c>
      <c r="BA3" s="481" t="s">
        <v>73</v>
      </c>
      <c r="BB3" s="482" t="s">
        <v>72</v>
      </c>
      <c r="BC3" s="481" t="s">
        <v>73</v>
      </c>
      <c r="BD3" s="482" t="s">
        <v>72</v>
      </c>
      <c r="BE3" s="107" t="s">
        <v>73</v>
      </c>
      <c r="BF3" s="194" t="s">
        <v>72</v>
      </c>
      <c r="BG3" s="107" t="s">
        <v>73</v>
      </c>
      <c r="BH3" s="194" t="s">
        <v>72</v>
      </c>
      <c r="BI3" s="107" t="s">
        <v>73</v>
      </c>
      <c r="BJ3" s="194" t="s">
        <v>72</v>
      </c>
      <c r="BK3" s="107" t="s">
        <v>73</v>
      </c>
      <c r="BL3" s="194" t="s">
        <v>72</v>
      </c>
      <c r="BM3" s="107" t="s">
        <v>73</v>
      </c>
      <c r="BN3" s="98" t="s">
        <v>72</v>
      </c>
      <c r="BO3" s="99" t="s">
        <v>73</v>
      </c>
      <c r="BP3" s="419" t="s">
        <v>253</v>
      </c>
      <c r="BQ3" s="99" t="s">
        <v>73</v>
      </c>
    </row>
    <row r="4" spans="2:69" ht="45" customHeight="1">
      <c r="B4" s="553" t="str">
        <f>'1月'!$B$4</f>
        <v>石井　智帆</v>
      </c>
      <c r="C4" s="554"/>
      <c r="D4" s="555"/>
      <c r="E4" s="556"/>
      <c r="F4" s="555"/>
      <c r="G4" s="556"/>
      <c r="H4" s="555"/>
      <c r="I4" s="556"/>
      <c r="J4" s="555"/>
      <c r="K4" s="556"/>
      <c r="L4" s="555"/>
      <c r="M4" s="556"/>
      <c r="N4" s="555"/>
      <c r="O4" s="556"/>
      <c r="P4" s="555"/>
      <c r="Q4" s="556"/>
      <c r="R4" s="555"/>
      <c r="S4" s="556"/>
      <c r="T4" s="555"/>
      <c r="U4" s="556"/>
      <c r="V4" s="555"/>
      <c r="W4" s="556"/>
      <c r="X4" s="555"/>
      <c r="Y4" s="556"/>
      <c r="Z4" s="555"/>
      <c r="AA4" s="557"/>
      <c r="AB4" s="555"/>
      <c r="AC4" s="557"/>
      <c r="AD4" s="555"/>
      <c r="AE4" s="557"/>
      <c r="AF4" s="555"/>
      <c r="AG4" s="557"/>
      <c r="AH4" s="555"/>
      <c r="AI4" s="556"/>
      <c r="AJ4" s="555"/>
      <c r="AK4" s="556"/>
      <c r="AL4" s="555"/>
      <c r="AM4" s="556"/>
      <c r="AN4" s="555"/>
      <c r="AO4" s="556"/>
      <c r="AP4" s="555"/>
      <c r="AQ4" s="556"/>
      <c r="AR4" s="555"/>
      <c r="AS4" s="556"/>
      <c r="AT4" s="555"/>
      <c r="AU4" s="556"/>
      <c r="AV4" s="555"/>
      <c r="AW4" s="556"/>
      <c r="AX4" s="555"/>
      <c r="AY4" s="556"/>
      <c r="AZ4" s="555"/>
      <c r="BA4" s="556"/>
      <c r="BB4" s="555"/>
      <c r="BC4" s="556"/>
      <c r="BD4" s="555"/>
      <c r="BE4" s="557"/>
      <c r="BF4" s="555"/>
      <c r="BG4" s="557"/>
      <c r="BH4" s="555"/>
      <c r="BI4" s="557"/>
      <c r="BJ4" s="555"/>
      <c r="BK4" s="557"/>
      <c r="BL4" s="560"/>
      <c r="BM4" s="557"/>
      <c r="BN4" s="102">
        <f>SUM(D4,F4,H4,J4,L4,N4,P4,R4,T4,V4,X4,Z4,AB4,AD4,AF4,AH4,AJ4,AL4,AN4,AP4,AR4,AT4,AV4,AX4,AZ4,BB4,BD4,BF4,BH4,BJ4,BL4)</f>
        <v>0</v>
      </c>
      <c r="BO4" s="47">
        <f>SUM(E4,G4,I4,K4,M4,O4,Q4,S4,U4,W4,Y4,AA4,AC4,AE4,AG4,AI4,AK4,AM4,AO4,AQ4,AS4,AU4,AW4,AY4,BA4,BC4,BE4,BG4,BI4,BK4,BM4)</f>
        <v>0</v>
      </c>
      <c r="BP4" s="631">
        <f>INDEX('2月'!$B$4:$BQ$375,MATCH('3月'!B4,'2月'!$B$4:$B$375,0),67)+BN4</f>
        <v>0</v>
      </c>
      <c r="BQ4" s="702">
        <f>INDEX('2月'!$B$4:$BQ$375,MATCH('3月'!B4,'2月'!$B$4:$B$375,0),68)+BO4</f>
        <v>0</v>
      </c>
    </row>
    <row r="5" spans="2:69" s="4" customFormat="1" ht="50.1" customHeight="1">
      <c r="B5" s="201" t="str">
        <f>'1月'!$B$5</f>
        <v>小笠原　健一</v>
      </c>
      <c r="C5" s="145"/>
      <c r="D5" s="18"/>
      <c r="E5" s="14"/>
      <c r="F5" s="18"/>
      <c r="G5" s="14"/>
      <c r="H5" s="18"/>
      <c r="I5" s="14"/>
      <c r="J5" s="18"/>
      <c r="K5" s="14"/>
      <c r="L5" s="18"/>
      <c r="M5" s="14"/>
      <c r="N5" s="18"/>
      <c r="O5" s="14"/>
      <c r="P5" s="18"/>
      <c r="Q5" s="14"/>
      <c r="R5" s="18"/>
      <c r="S5" s="14"/>
      <c r="T5" s="18"/>
      <c r="U5" s="14"/>
      <c r="V5" s="18"/>
      <c r="W5" s="14"/>
      <c r="X5" s="18"/>
      <c r="Y5" s="14"/>
      <c r="Z5" s="18"/>
      <c r="AA5" s="14"/>
      <c r="AB5" s="18"/>
      <c r="AC5" s="14"/>
      <c r="AD5" s="18"/>
      <c r="AE5" s="14"/>
      <c r="AF5" s="18"/>
      <c r="AG5" s="15"/>
      <c r="AH5" s="18"/>
      <c r="AI5" s="14"/>
      <c r="AJ5" s="18"/>
      <c r="AK5" s="14"/>
      <c r="AL5" s="18"/>
      <c r="AM5" s="14"/>
      <c r="AN5" s="18"/>
      <c r="AO5" s="14"/>
      <c r="AP5" s="18"/>
      <c r="AQ5" s="14"/>
      <c r="AR5" s="18"/>
      <c r="AS5" s="14"/>
      <c r="AT5" s="18"/>
      <c r="AU5" s="14"/>
      <c r="AV5" s="18"/>
      <c r="AW5" s="14"/>
      <c r="AX5" s="18"/>
      <c r="AY5" s="14"/>
      <c r="AZ5" s="18"/>
      <c r="BA5" s="14"/>
      <c r="BB5" s="18"/>
      <c r="BC5" s="14"/>
      <c r="BD5" s="18"/>
      <c r="BE5" s="14"/>
      <c r="BF5" s="18"/>
      <c r="BG5" s="14"/>
      <c r="BH5" s="18"/>
      <c r="BI5" s="14"/>
      <c r="BJ5" s="18"/>
      <c r="BK5" s="15"/>
      <c r="BL5" s="16"/>
      <c r="BM5" s="15"/>
      <c r="BN5" s="102">
        <f t="shared" ref="BN5:BN23" si="0">SUM(D5,F5,H5,J5,L5,N5,P5,R5,T5,V5,X5,Z5,AB5,AD5,AF5,AH5,AJ5,AL5,AN5,AP5,AR5,AT5,AV5,AX5,AZ5,BB5,BD5,BF5,BH5,BJ5,BL5)</f>
        <v>0</v>
      </c>
      <c r="BO5" s="47">
        <f t="shared" ref="BO5:BO23" si="1">SUM(E5,G5,I5,K5,M5,O5,Q5,S5,U5,W5,Y5,AA5,AC5,AE5,AG5,AI5,AK5,AM5,AO5,AQ5,AS5,AU5,AW5,AY5,BA5,BC5,BE5,BG5,BI5,BK5,BM5)</f>
        <v>0</v>
      </c>
      <c r="BP5" s="631">
        <f>INDEX('2月'!$B$4:$BQ$375,MATCH('3月'!B5,'2月'!$B$4:$B$375,0),67)+BN5</f>
        <v>0</v>
      </c>
      <c r="BQ5" s="702">
        <f>INDEX('2月'!$B$4:$BQ$375,MATCH('3月'!B5,'2月'!$B$4:$B$375,0),68)+BO5</f>
        <v>0</v>
      </c>
    </row>
    <row r="6" spans="2:69" s="4" customFormat="1" ht="50.1" customHeight="1">
      <c r="B6" s="201" t="str">
        <f>'1月'!$B$6</f>
        <v>小笠原　勉</v>
      </c>
      <c r="C6" s="146"/>
      <c r="D6" s="13"/>
      <c r="E6" s="14"/>
      <c r="F6" s="13"/>
      <c r="G6" s="14"/>
      <c r="H6" s="13"/>
      <c r="I6" s="14"/>
      <c r="J6" s="13"/>
      <c r="K6" s="14"/>
      <c r="L6" s="13"/>
      <c r="M6" s="14"/>
      <c r="N6" s="13"/>
      <c r="O6" s="14"/>
      <c r="P6" s="13"/>
      <c r="Q6" s="14"/>
      <c r="R6" s="13"/>
      <c r="S6" s="14"/>
      <c r="T6" s="13"/>
      <c r="U6" s="14"/>
      <c r="V6" s="13"/>
      <c r="W6" s="14"/>
      <c r="X6" s="13"/>
      <c r="Y6" s="14"/>
      <c r="Z6" s="13"/>
      <c r="AA6" s="15"/>
      <c r="AB6" s="16"/>
      <c r="AC6" s="15"/>
      <c r="AD6" s="16"/>
      <c r="AE6" s="15"/>
      <c r="AF6" s="16"/>
      <c r="AG6" s="15"/>
      <c r="AH6" s="13"/>
      <c r="AI6" s="14"/>
      <c r="AJ6" s="13"/>
      <c r="AK6" s="14"/>
      <c r="AL6" s="13"/>
      <c r="AM6" s="14"/>
      <c r="AN6" s="13"/>
      <c r="AO6" s="14"/>
      <c r="AP6" s="13"/>
      <c r="AQ6" s="14"/>
      <c r="AR6" s="13"/>
      <c r="AS6" s="14"/>
      <c r="AT6" s="13"/>
      <c r="AU6" s="14"/>
      <c r="AV6" s="13"/>
      <c r="AW6" s="14"/>
      <c r="AX6" s="13"/>
      <c r="AY6" s="14"/>
      <c r="AZ6" s="13"/>
      <c r="BA6" s="14"/>
      <c r="BB6" s="13"/>
      <c r="BC6" s="14"/>
      <c r="BD6" s="13"/>
      <c r="BE6" s="15"/>
      <c r="BF6" s="16"/>
      <c r="BG6" s="15"/>
      <c r="BH6" s="16"/>
      <c r="BI6" s="15"/>
      <c r="BJ6" s="16"/>
      <c r="BK6" s="15"/>
      <c r="BL6" s="16"/>
      <c r="BM6" s="15"/>
      <c r="BN6" s="102">
        <f t="shared" si="0"/>
        <v>0</v>
      </c>
      <c r="BO6" s="47">
        <f t="shared" si="1"/>
        <v>0</v>
      </c>
      <c r="BP6" s="631">
        <f>INDEX('2月'!$B$4:$BQ$375,MATCH('3月'!B6,'2月'!$B$4:$B$375,0),67)+BN6</f>
        <v>0</v>
      </c>
      <c r="BQ6" s="702">
        <f>INDEX('2月'!$B$4:$BQ$375,MATCH('3月'!B6,'2月'!$B$4:$B$375,0),68)+BO6</f>
        <v>0</v>
      </c>
    </row>
    <row r="7" spans="2:69" s="4" customFormat="1" ht="50.1" customHeight="1">
      <c r="B7" s="201" t="str">
        <f>'1月'!$B$7</f>
        <v>川合　健司</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102">
        <f t="shared" si="0"/>
        <v>0</v>
      </c>
      <c r="BO7" s="47">
        <f t="shared" si="1"/>
        <v>0</v>
      </c>
      <c r="BP7" s="631">
        <f>INDEX('2月'!$B$4:$BQ$375,MATCH('3月'!B7,'2月'!$B$4:$B$375,0),67)+BN7</f>
        <v>0</v>
      </c>
      <c r="BQ7" s="702">
        <f>INDEX('2月'!$B$4:$BQ$375,MATCH('3月'!B7,'2月'!$B$4:$B$375,0),68)+BO7</f>
        <v>0</v>
      </c>
    </row>
    <row r="8" spans="2:69" s="4" customFormat="1" ht="50.1" customHeight="1">
      <c r="B8" s="201" t="str">
        <f>'1月'!$B$8</f>
        <v>川合　ひとみ</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102">
        <f t="shared" si="0"/>
        <v>0</v>
      </c>
      <c r="BO8" s="47">
        <f t="shared" si="1"/>
        <v>0</v>
      </c>
      <c r="BP8" s="631">
        <f>INDEX('2月'!$B$4:$BQ$375,MATCH('3月'!B8,'2月'!$B$4:$B$375,0),67)+BN8</f>
        <v>0</v>
      </c>
      <c r="BQ8" s="702">
        <f>INDEX('2月'!$B$4:$BQ$375,MATCH('3月'!B8,'2月'!$B$4:$B$375,0),68)+BO8</f>
        <v>0</v>
      </c>
    </row>
    <row r="9" spans="2:69" s="4" customFormat="1" ht="50.1" customHeight="1">
      <c r="B9" s="201" t="str">
        <f>'1月'!$B$9</f>
        <v>木田　美紀</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102">
        <f t="shared" si="0"/>
        <v>0</v>
      </c>
      <c r="BO9" s="47">
        <f t="shared" si="1"/>
        <v>0</v>
      </c>
      <c r="BP9" s="631">
        <f>INDEX('2月'!$B$4:$BQ$375,MATCH('3月'!B9,'2月'!$B$4:$B$375,0),67)+BN9</f>
        <v>1</v>
      </c>
      <c r="BQ9" s="702">
        <f>INDEX('2月'!$B$4:$BQ$375,MATCH('3月'!B9,'2月'!$B$4:$B$375,0),68)+BO9</f>
        <v>1</v>
      </c>
    </row>
    <row r="10" spans="2:69" s="4" customFormat="1" ht="50.1" customHeight="1">
      <c r="B10" s="201" t="str">
        <f>'1月'!$B$10</f>
        <v>熊谷　しぐれ</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102">
        <f t="shared" si="0"/>
        <v>0</v>
      </c>
      <c r="BO10" s="47">
        <f t="shared" si="1"/>
        <v>0</v>
      </c>
      <c r="BP10" s="631">
        <f>INDEX('2月'!$B$4:$BQ$375,MATCH('3月'!B10,'2月'!$B$4:$B$375,0),67)+BN10</f>
        <v>0</v>
      </c>
      <c r="BQ10" s="702">
        <f>INDEX('2月'!$B$4:$BQ$375,MATCH('3月'!B10,'2月'!$B$4:$B$375,0),68)+BO10</f>
        <v>0</v>
      </c>
    </row>
    <row r="11" spans="2:69" s="4" customFormat="1" ht="50.1" customHeight="1">
      <c r="B11" s="201" t="str">
        <f>'1月'!$B$11</f>
        <v>関川　哲一</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102">
        <f t="shared" si="0"/>
        <v>0</v>
      </c>
      <c r="BO11" s="47">
        <f t="shared" si="1"/>
        <v>0</v>
      </c>
      <c r="BP11" s="631">
        <f>INDEX('2月'!$B$4:$BQ$375,MATCH('3月'!B11,'2月'!$B$4:$B$375,0),67)+BN11</f>
        <v>0</v>
      </c>
      <c r="BQ11" s="702">
        <f>INDEX('2月'!$B$4:$BQ$375,MATCH('3月'!B11,'2月'!$B$4:$B$375,0),68)+BO11</f>
        <v>0</v>
      </c>
    </row>
    <row r="12" spans="2:69" s="4" customFormat="1" ht="50.1" customHeight="1">
      <c r="B12" s="201" t="str">
        <f>'1月'!$B$12</f>
        <v>根城　雅子</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102">
        <f t="shared" si="0"/>
        <v>0</v>
      </c>
      <c r="BO12" s="47">
        <f t="shared" si="1"/>
        <v>0</v>
      </c>
      <c r="BP12" s="631">
        <f>INDEX('2月'!$B$4:$BQ$375,MATCH('3月'!B12,'2月'!$B$4:$B$375,0),67)+BN12</f>
        <v>0</v>
      </c>
      <c r="BQ12" s="702">
        <f>INDEX('2月'!$B$4:$BQ$375,MATCH('3月'!B12,'2月'!$B$4:$B$375,0),68)+BO12</f>
        <v>0</v>
      </c>
    </row>
    <row r="13" spans="2:69" s="4" customFormat="1" ht="50.1" customHeight="1">
      <c r="B13" s="202" t="str">
        <f>'1月'!$B$13</f>
        <v>廣田　真紀</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102">
        <f t="shared" si="0"/>
        <v>0</v>
      </c>
      <c r="BO13" s="47">
        <f t="shared" si="1"/>
        <v>0</v>
      </c>
      <c r="BP13" s="631">
        <f>INDEX('2月'!$B$4:$BQ$375,MATCH('3月'!B13,'2月'!$B$4:$B$375,0),67)+BN13</f>
        <v>0</v>
      </c>
      <c r="BQ13" s="702">
        <f>INDEX('2月'!$B$4:$BQ$375,MATCH('3月'!B13,'2月'!$B$4:$B$375,0),68)+BO13</f>
        <v>0</v>
      </c>
    </row>
    <row r="14" spans="2:69" s="4" customFormat="1" ht="49.5" customHeight="1">
      <c r="B14" s="202" t="str">
        <f>'1月'!$B$14</f>
        <v>古町　朋子</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102">
        <f t="shared" si="0"/>
        <v>0</v>
      </c>
      <c r="BO14" s="47">
        <f t="shared" si="1"/>
        <v>0</v>
      </c>
      <c r="BP14" s="631">
        <f>INDEX('2月'!$B$4:$BQ$375,MATCH('3月'!B14,'2月'!$B$4:$B$375,0),67)+BN14</f>
        <v>0</v>
      </c>
      <c r="BQ14" s="702">
        <f>INDEX('2月'!$B$4:$BQ$375,MATCH('3月'!B14,'2月'!$B$4:$B$375,0),68)+BO14</f>
        <v>0</v>
      </c>
    </row>
    <row r="15" spans="2:69" s="4" customFormat="1" ht="49.5" customHeight="1">
      <c r="B15" s="201" t="str">
        <f>'1月'!$B$15</f>
        <v>松坂　百華</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102">
        <f t="shared" si="0"/>
        <v>0</v>
      </c>
      <c r="BO15" s="47">
        <f t="shared" si="1"/>
        <v>0</v>
      </c>
      <c r="BP15" s="631">
        <f>INDEX('2月'!$B$4:$BQ$375,MATCH('3月'!B15,'2月'!$B$4:$B$375,0),67)+BN15</f>
        <v>0</v>
      </c>
      <c r="BQ15" s="702">
        <f>INDEX('2月'!$B$4:$BQ$375,MATCH('3月'!B15,'2月'!$B$4:$B$375,0),68)+BO15</f>
        <v>0</v>
      </c>
    </row>
    <row r="16" spans="2:69" s="4" customFormat="1" ht="50.1" customHeight="1">
      <c r="B16" s="201" t="str">
        <f>'1月'!$B$16</f>
        <v>松原　英利</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102">
        <f t="shared" si="0"/>
        <v>0</v>
      </c>
      <c r="BO16" s="47">
        <f t="shared" si="1"/>
        <v>0</v>
      </c>
      <c r="BP16" s="631">
        <f>INDEX('2月'!$B$4:$BQ$375,MATCH('3月'!B16,'2月'!$B$4:$B$375,0),67)+BN16</f>
        <v>0</v>
      </c>
      <c r="BQ16" s="702">
        <f>INDEX('2月'!$B$4:$BQ$375,MATCH('3月'!B16,'2月'!$B$4:$B$375,0),68)+BO16</f>
        <v>0</v>
      </c>
    </row>
    <row r="17" spans="2:69" s="4" customFormat="1" ht="45" customHeight="1">
      <c r="B17" s="201" t="str">
        <f>'1月'!$B$17</f>
        <v>三浦　朱里</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102">
        <f t="shared" si="0"/>
        <v>0</v>
      </c>
      <c r="BO17" s="47">
        <f t="shared" si="1"/>
        <v>0</v>
      </c>
      <c r="BP17" s="631">
        <f>INDEX('2月'!$B$4:$BQ$375,MATCH('3月'!B17,'2月'!$B$4:$B$375,0),67)+BN17</f>
        <v>0</v>
      </c>
      <c r="BQ17" s="702">
        <f>INDEX('2月'!$B$4:$BQ$375,MATCH('3月'!B17,'2月'!$B$4:$B$375,0),68)+BO17</f>
        <v>0</v>
      </c>
    </row>
    <row r="18" spans="2:69" s="4" customFormat="1" ht="15.95" customHeight="1">
      <c r="B18" s="154">
        <f>'1月'!$B$18</f>
        <v>0</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102">
        <f t="shared" si="0"/>
        <v>0</v>
      </c>
      <c r="BO18" s="47">
        <f t="shared" si="1"/>
        <v>0</v>
      </c>
      <c r="BP18" s="631"/>
      <c r="BQ18" s="702"/>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102">
        <f t="shared" si="0"/>
        <v>0</v>
      </c>
      <c r="BO19" s="47">
        <f t="shared" si="1"/>
        <v>0</v>
      </c>
      <c r="BP19" s="631"/>
      <c r="BQ19" s="702"/>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102">
        <f t="shared" si="0"/>
        <v>0</v>
      </c>
      <c r="BO20" s="47">
        <f t="shared" si="1"/>
        <v>0</v>
      </c>
      <c r="BP20" s="631"/>
      <c r="BQ20" s="702"/>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102">
        <f t="shared" si="0"/>
        <v>0</v>
      </c>
      <c r="BO21" s="47">
        <f t="shared" si="1"/>
        <v>0</v>
      </c>
      <c r="BP21" s="631"/>
      <c r="BQ21" s="702"/>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9"/>
      <c r="AI22" s="20"/>
      <c r="AJ22" s="19"/>
      <c r="AK22" s="20"/>
      <c r="AL22" s="19"/>
      <c r="AM22" s="20"/>
      <c r="AN22" s="19"/>
      <c r="AO22" s="20"/>
      <c r="AP22" s="19"/>
      <c r="AQ22" s="20"/>
      <c r="AR22" s="19"/>
      <c r="AS22" s="20"/>
      <c r="AT22" s="19"/>
      <c r="AU22" s="20"/>
      <c r="AV22" s="19"/>
      <c r="AW22" s="20"/>
      <c r="AX22" s="19"/>
      <c r="AY22" s="20"/>
      <c r="AZ22" s="19"/>
      <c r="BA22" s="20"/>
      <c r="BB22" s="19"/>
      <c r="BC22" s="20"/>
      <c r="BD22" s="19"/>
      <c r="BE22" s="21"/>
      <c r="BF22" s="22"/>
      <c r="BG22" s="21"/>
      <c r="BH22" s="22"/>
      <c r="BI22" s="21"/>
      <c r="BJ22" s="22"/>
      <c r="BK22" s="21"/>
      <c r="BL22" s="22"/>
      <c r="BM22" s="21"/>
      <c r="BN22" s="102">
        <f t="shared" si="0"/>
        <v>0</v>
      </c>
      <c r="BO22" s="47">
        <f t="shared" si="1"/>
        <v>0</v>
      </c>
      <c r="BP22" s="631"/>
      <c r="BQ22" s="702"/>
    </row>
    <row r="23" spans="2:69" s="4" customFormat="1" ht="50.1" customHeight="1" thickBot="1">
      <c r="B23" s="112" t="str">
        <f>'1月'!$B$23</f>
        <v>典礼部(600)</v>
      </c>
      <c r="C23" s="148"/>
      <c r="D23" s="23"/>
      <c r="E23" s="24"/>
      <c r="F23" s="23"/>
      <c r="G23" s="24"/>
      <c r="H23" s="23"/>
      <c r="I23" s="24"/>
      <c r="J23" s="23"/>
      <c r="K23" s="24"/>
      <c r="L23" s="23"/>
      <c r="M23" s="24"/>
      <c r="N23" s="23"/>
      <c r="O23" s="24"/>
      <c r="P23" s="23"/>
      <c r="Q23" s="24"/>
      <c r="R23" s="23"/>
      <c r="S23" s="24"/>
      <c r="T23" s="23"/>
      <c r="U23" s="24"/>
      <c r="V23" s="23"/>
      <c r="W23" s="24"/>
      <c r="X23" s="23"/>
      <c r="Y23" s="24"/>
      <c r="Z23" s="23"/>
      <c r="AA23" s="25"/>
      <c r="AB23" s="26"/>
      <c r="AC23" s="25"/>
      <c r="AD23" s="26"/>
      <c r="AE23" s="25"/>
      <c r="AF23" s="16"/>
      <c r="AG23" s="15"/>
      <c r="AH23" s="23"/>
      <c r="AI23" s="24"/>
      <c r="AJ23" s="23"/>
      <c r="AK23" s="24"/>
      <c r="AL23" s="23"/>
      <c r="AM23" s="24"/>
      <c r="AN23" s="23"/>
      <c r="AO23" s="24"/>
      <c r="AP23" s="23"/>
      <c r="AQ23" s="24"/>
      <c r="AR23" s="23"/>
      <c r="AS23" s="24"/>
      <c r="AT23" s="23"/>
      <c r="AU23" s="24"/>
      <c r="AV23" s="23"/>
      <c r="AW23" s="24"/>
      <c r="AX23" s="23"/>
      <c r="AY23" s="24"/>
      <c r="AZ23" s="23"/>
      <c r="BA23" s="24"/>
      <c r="BB23" s="23"/>
      <c r="BC23" s="24"/>
      <c r="BD23" s="23"/>
      <c r="BE23" s="25"/>
      <c r="BF23" s="26"/>
      <c r="BG23" s="25"/>
      <c r="BH23" s="26"/>
      <c r="BI23" s="25"/>
      <c r="BJ23" s="26"/>
      <c r="BK23" s="25"/>
      <c r="BL23" s="26"/>
      <c r="BM23" s="25"/>
      <c r="BN23" s="102">
        <f t="shared" si="0"/>
        <v>0</v>
      </c>
      <c r="BO23" s="47">
        <f t="shared" si="1"/>
        <v>0</v>
      </c>
      <c r="BP23" s="631">
        <f>INDEX('2月'!$B$4:$BQ$375,MATCH('3月'!B23,'2月'!$B$4:$B$375,0),67)+BN23</f>
        <v>0</v>
      </c>
      <c r="BQ23" s="702">
        <f>INDEX('2月'!$B$4:$BQ$375,MATCH('3月'!B23,'2月'!$B$4:$B$375,0),68)+BO23</f>
        <v>0</v>
      </c>
    </row>
    <row r="24" spans="2:69" s="4" customFormat="1" ht="54" customHeight="1" thickBot="1">
      <c r="B24" s="119" t="s">
        <v>101</v>
      </c>
      <c r="C24" s="149"/>
      <c r="D24" s="28">
        <f t="shared" ref="D24:AI24" si="2">SUM(D4:D23)</f>
        <v>0</v>
      </c>
      <c r="E24" s="29">
        <f t="shared" si="2"/>
        <v>0</v>
      </c>
      <c r="F24" s="30">
        <f t="shared" si="2"/>
        <v>0</v>
      </c>
      <c r="G24" s="31">
        <f t="shared" si="2"/>
        <v>0</v>
      </c>
      <c r="H24" s="30">
        <f t="shared" si="2"/>
        <v>0</v>
      </c>
      <c r="I24" s="31">
        <f t="shared" si="2"/>
        <v>0</v>
      </c>
      <c r="J24" s="30">
        <f t="shared" si="2"/>
        <v>0</v>
      </c>
      <c r="K24" s="31">
        <f t="shared" si="2"/>
        <v>0</v>
      </c>
      <c r="L24" s="30">
        <f t="shared" si="2"/>
        <v>0</v>
      </c>
      <c r="M24" s="31">
        <f t="shared" si="2"/>
        <v>0</v>
      </c>
      <c r="N24" s="30">
        <f t="shared" si="2"/>
        <v>0</v>
      </c>
      <c r="O24" s="31">
        <f t="shared" si="2"/>
        <v>0</v>
      </c>
      <c r="P24" s="30">
        <f t="shared" si="2"/>
        <v>0</v>
      </c>
      <c r="Q24" s="31">
        <f t="shared" si="2"/>
        <v>0</v>
      </c>
      <c r="R24" s="30">
        <f t="shared" si="2"/>
        <v>0</v>
      </c>
      <c r="S24" s="31">
        <f t="shared" si="2"/>
        <v>0</v>
      </c>
      <c r="T24" s="30">
        <f t="shared" si="2"/>
        <v>0</v>
      </c>
      <c r="U24" s="31">
        <f t="shared" si="2"/>
        <v>0</v>
      </c>
      <c r="V24" s="30">
        <f t="shared" si="2"/>
        <v>0</v>
      </c>
      <c r="W24" s="31">
        <f t="shared" si="2"/>
        <v>0</v>
      </c>
      <c r="X24" s="30">
        <f t="shared" si="2"/>
        <v>0</v>
      </c>
      <c r="Y24" s="31">
        <f t="shared" si="2"/>
        <v>0</v>
      </c>
      <c r="Z24" s="30">
        <f t="shared" si="2"/>
        <v>0</v>
      </c>
      <c r="AA24" s="31">
        <f t="shared" si="2"/>
        <v>0</v>
      </c>
      <c r="AB24" s="30">
        <f t="shared" si="2"/>
        <v>0</v>
      </c>
      <c r="AC24" s="31">
        <f t="shared" si="2"/>
        <v>0</v>
      </c>
      <c r="AD24" s="30">
        <f t="shared" si="2"/>
        <v>0</v>
      </c>
      <c r="AE24" s="31">
        <f t="shared" si="2"/>
        <v>0</v>
      </c>
      <c r="AF24" s="30">
        <f t="shared" si="2"/>
        <v>0</v>
      </c>
      <c r="AG24" s="31">
        <f t="shared" si="2"/>
        <v>0</v>
      </c>
      <c r="AH24" s="28">
        <f t="shared" si="2"/>
        <v>0</v>
      </c>
      <c r="AI24" s="29">
        <f t="shared" si="2"/>
        <v>0</v>
      </c>
      <c r="AJ24" s="30">
        <f t="shared" ref="AJ24:BO24" si="3">SUM(AJ4:AJ23)</f>
        <v>0</v>
      </c>
      <c r="AK24" s="31">
        <f t="shared" si="3"/>
        <v>0</v>
      </c>
      <c r="AL24" s="30">
        <f t="shared" si="3"/>
        <v>0</v>
      </c>
      <c r="AM24" s="31">
        <f t="shared" si="3"/>
        <v>0</v>
      </c>
      <c r="AN24" s="30">
        <f t="shared" si="3"/>
        <v>0</v>
      </c>
      <c r="AO24" s="31">
        <f t="shared" si="3"/>
        <v>0</v>
      </c>
      <c r="AP24" s="30">
        <f t="shared" si="3"/>
        <v>0</v>
      </c>
      <c r="AQ24" s="31">
        <f t="shared" si="3"/>
        <v>0</v>
      </c>
      <c r="AR24" s="30">
        <f t="shared" si="3"/>
        <v>0</v>
      </c>
      <c r="AS24" s="31">
        <f t="shared" si="3"/>
        <v>0</v>
      </c>
      <c r="AT24" s="30">
        <f t="shared" si="3"/>
        <v>0</v>
      </c>
      <c r="AU24" s="31">
        <f t="shared" si="3"/>
        <v>0</v>
      </c>
      <c r="AV24" s="30">
        <f t="shared" si="3"/>
        <v>0</v>
      </c>
      <c r="AW24" s="31">
        <f t="shared" si="3"/>
        <v>0</v>
      </c>
      <c r="AX24" s="30">
        <f t="shared" si="3"/>
        <v>0</v>
      </c>
      <c r="AY24" s="31">
        <f t="shared" si="3"/>
        <v>0</v>
      </c>
      <c r="AZ24" s="30">
        <f t="shared" si="3"/>
        <v>0</v>
      </c>
      <c r="BA24" s="31">
        <f t="shared" si="3"/>
        <v>0</v>
      </c>
      <c r="BB24" s="30">
        <f t="shared" si="3"/>
        <v>0</v>
      </c>
      <c r="BC24" s="31">
        <f t="shared" si="3"/>
        <v>0</v>
      </c>
      <c r="BD24" s="30">
        <f t="shared" si="3"/>
        <v>0</v>
      </c>
      <c r="BE24" s="31">
        <f t="shared" si="3"/>
        <v>0</v>
      </c>
      <c r="BF24" s="30">
        <f t="shared" si="3"/>
        <v>0</v>
      </c>
      <c r="BG24" s="31">
        <f t="shared" si="3"/>
        <v>0</v>
      </c>
      <c r="BH24" s="30">
        <f t="shared" si="3"/>
        <v>0</v>
      </c>
      <c r="BI24" s="31">
        <f t="shared" si="3"/>
        <v>0</v>
      </c>
      <c r="BJ24" s="30">
        <f t="shared" si="3"/>
        <v>0</v>
      </c>
      <c r="BK24" s="31">
        <f t="shared" si="3"/>
        <v>0</v>
      </c>
      <c r="BL24" s="30">
        <f t="shared" si="3"/>
        <v>0</v>
      </c>
      <c r="BM24" s="31">
        <f t="shared" si="3"/>
        <v>0</v>
      </c>
      <c r="BN24" s="32">
        <f t="shared" si="3"/>
        <v>0</v>
      </c>
      <c r="BO24" s="33">
        <f t="shared" si="3"/>
        <v>0</v>
      </c>
      <c r="BP24" s="245">
        <f>SUM(BP4:BP23)</f>
        <v>1</v>
      </c>
      <c r="BQ24" s="246">
        <f>SUM(BQ4:BQ23)</f>
        <v>1</v>
      </c>
    </row>
    <row r="25" spans="2:69" ht="24" customHeight="1">
      <c r="B25" s="120"/>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row>
    <row r="26" spans="2:69" ht="28.5" customHeight="1" thickBo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4.95" customHeight="1">
      <c r="B27" s="743" t="s">
        <v>213</v>
      </c>
      <c r="C27" s="749">
        <f>COUNTIF(B30:B53,"*")</f>
        <v>17</v>
      </c>
      <c r="D27" s="751">
        <v>1</v>
      </c>
      <c r="E27" s="738"/>
      <c r="F27" s="737">
        <v>2</v>
      </c>
      <c r="G27" s="738"/>
      <c r="H27" s="737">
        <v>3</v>
      </c>
      <c r="I27" s="738"/>
      <c r="J27" s="737">
        <v>4</v>
      </c>
      <c r="K27" s="738"/>
      <c r="L27" s="737">
        <v>5</v>
      </c>
      <c r="M27" s="738"/>
      <c r="N27" s="737">
        <v>6</v>
      </c>
      <c r="O27" s="738"/>
      <c r="P27" s="737">
        <v>7</v>
      </c>
      <c r="Q27" s="738"/>
      <c r="R27" s="737">
        <v>8</v>
      </c>
      <c r="S27" s="738"/>
      <c r="T27" s="737">
        <v>9</v>
      </c>
      <c r="U27" s="738"/>
      <c r="V27" s="737">
        <v>10</v>
      </c>
      <c r="W27" s="738"/>
      <c r="X27" s="737">
        <v>11</v>
      </c>
      <c r="Y27" s="738"/>
      <c r="Z27" s="737">
        <v>12</v>
      </c>
      <c r="AA27" s="738"/>
      <c r="AB27" s="737">
        <v>13</v>
      </c>
      <c r="AC27" s="738"/>
      <c r="AD27" s="737">
        <v>14</v>
      </c>
      <c r="AE27" s="738"/>
      <c r="AF27" s="737">
        <v>15</v>
      </c>
      <c r="AG27" s="784"/>
      <c r="AH27" s="741">
        <v>16</v>
      </c>
      <c r="AI27" s="741"/>
      <c r="AJ27" s="741">
        <v>17</v>
      </c>
      <c r="AK27" s="741"/>
      <c r="AL27" s="741">
        <v>18</v>
      </c>
      <c r="AM27" s="741"/>
      <c r="AN27" s="741">
        <v>19</v>
      </c>
      <c r="AO27" s="741"/>
      <c r="AP27" s="741">
        <v>20</v>
      </c>
      <c r="AQ27" s="741"/>
      <c r="AR27" s="741">
        <v>21</v>
      </c>
      <c r="AS27" s="741"/>
      <c r="AT27" s="741">
        <v>22</v>
      </c>
      <c r="AU27" s="741"/>
      <c r="AV27" s="741">
        <v>23</v>
      </c>
      <c r="AW27" s="741"/>
      <c r="AX27" s="741">
        <v>24</v>
      </c>
      <c r="AY27" s="741"/>
      <c r="AZ27" s="741">
        <v>25</v>
      </c>
      <c r="BA27" s="741"/>
      <c r="BB27" s="741">
        <v>26</v>
      </c>
      <c r="BC27" s="741"/>
      <c r="BD27" s="741">
        <v>27</v>
      </c>
      <c r="BE27" s="741"/>
      <c r="BF27" s="741">
        <v>28</v>
      </c>
      <c r="BG27" s="741"/>
      <c r="BH27" s="741">
        <v>29</v>
      </c>
      <c r="BI27" s="741"/>
      <c r="BJ27" s="741">
        <v>30</v>
      </c>
      <c r="BK27" s="741"/>
      <c r="BL27" s="741">
        <v>31</v>
      </c>
      <c r="BM27" s="741"/>
      <c r="BN27" s="738" t="s">
        <v>251</v>
      </c>
      <c r="BO27" s="760"/>
      <c r="BP27" s="763" t="s">
        <v>354</v>
      </c>
      <c r="BQ27" s="788"/>
    </row>
    <row r="28" spans="2:69" ht="24.95" customHeight="1">
      <c r="B28" s="744"/>
      <c r="C28" s="747"/>
      <c r="D28" s="752" t="str">
        <f>D2</f>
        <v>土</v>
      </c>
      <c r="E28" s="740"/>
      <c r="F28" s="739" t="str">
        <f>F2</f>
        <v>日</v>
      </c>
      <c r="G28" s="740"/>
      <c r="H28" s="739" t="str">
        <f>H2</f>
        <v>月</v>
      </c>
      <c r="I28" s="740"/>
      <c r="J28" s="739" t="str">
        <f>J2</f>
        <v>火</v>
      </c>
      <c r="K28" s="740"/>
      <c r="L28" s="739" t="str">
        <f>L2</f>
        <v>水</v>
      </c>
      <c r="M28" s="740"/>
      <c r="N28" s="739" t="str">
        <f>N2</f>
        <v>木</v>
      </c>
      <c r="O28" s="740"/>
      <c r="P28" s="739" t="str">
        <f>P2</f>
        <v>金</v>
      </c>
      <c r="Q28" s="740"/>
      <c r="R28" s="739" t="str">
        <f>R2</f>
        <v>土</v>
      </c>
      <c r="S28" s="740"/>
      <c r="T28" s="739" t="str">
        <f>T2</f>
        <v>日</v>
      </c>
      <c r="U28" s="740"/>
      <c r="V28" s="739" t="str">
        <f>V2</f>
        <v>月</v>
      </c>
      <c r="W28" s="740"/>
      <c r="X28" s="739" t="str">
        <f>X2</f>
        <v>火</v>
      </c>
      <c r="Y28" s="740"/>
      <c r="Z28" s="739" t="str">
        <f>Z2</f>
        <v>水</v>
      </c>
      <c r="AA28" s="740"/>
      <c r="AB28" s="739" t="str">
        <f>AB2</f>
        <v>木</v>
      </c>
      <c r="AC28" s="740"/>
      <c r="AD28" s="739" t="str">
        <f>AD2</f>
        <v>金</v>
      </c>
      <c r="AE28" s="740"/>
      <c r="AF28" s="739" t="str">
        <f>AF2</f>
        <v>土</v>
      </c>
      <c r="AG28" s="740"/>
      <c r="AH28" s="786" t="str">
        <f>AH2</f>
        <v>日</v>
      </c>
      <c r="AI28" s="767"/>
      <c r="AJ28" s="768" t="str">
        <f>AJ2</f>
        <v>月</v>
      </c>
      <c r="AK28" s="769"/>
      <c r="AL28" s="768" t="str">
        <f>AL2</f>
        <v>火</v>
      </c>
      <c r="AM28" s="769"/>
      <c r="AN28" s="768" t="str">
        <f>AN2</f>
        <v>水</v>
      </c>
      <c r="AO28" s="769"/>
      <c r="AP28" s="768" t="str">
        <f>AP2</f>
        <v>木</v>
      </c>
      <c r="AQ28" s="769"/>
      <c r="AR28" s="768" t="str">
        <f>AR2</f>
        <v>金</v>
      </c>
      <c r="AS28" s="769"/>
      <c r="AT28" s="768" t="str">
        <f>AT2</f>
        <v>土</v>
      </c>
      <c r="AU28" s="769"/>
      <c r="AV28" s="768" t="str">
        <f>AV2</f>
        <v>日</v>
      </c>
      <c r="AW28" s="769"/>
      <c r="AX28" s="768" t="str">
        <f>AX2</f>
        <v>月</v>
      </c>
      <c r="AY28" s="769"/>
      <c r="AZ28" s="768" t="str">
        <f>AZ2</f>
        <v>火</v>
      </c>
      <c r="BA28" s="769"/>
      <c r="BB28" s="768" t="str">
        <f>BB2</f>
        <v>水</v>
      </c>
      <c r="BC28" s="769"/>
      <c r="BD28" s="768" t="str">
        <f>BD2</f>
        <v>木</v>
      </c>
      <c r="BE28" s="769"/>
      <c r="BF28" s="768" t="str">
        <f>BF2</f>
        <v>金</v>
      </c>
      <c r="BG28" s="769"/>
      <c r="BH28" s="768" t="str">
        <f>BH2</f>
        <v>土</v>
      </c>
      <c r="BI28" s="769"/>
      <c r="BJ28" s="768" t="str">
        <f>BJ2</f>
        <v>日</v>
      </c>
      <c r="BK28" s="769"/>
      <c r="BL28" s="768" t="str">
        <f>BL2</f>
        <v>月</v>
      </c>
      <c r="BM28" s="769"/>
      <c r="BN28" s="761"/>
      <c r="BO28" s="762"/>
      <c r="BP28" s="789"/>
      <c r="BQ28" s="790"/>
    </row>
    <row r="29" spans="2:69" ht="24.95" customHeight="1" thickBot="1">
      <c r="B29" s="748"/>
      <c r="C29" s="750"/>
      <c r="D29" s="92" t="s">
        <v>72</v>
      </c>
      <c r="E29" s="93" t="s">
        <v>73</v>
      </c>
      <c r="F29" s="92" t="s">
        <v>72</v>
      </c>
      <c r="G29" s="93" t="s">
        <v>73</v>
      </c>
      <c r="H29" s="92" t="s">
        <v>72</v>
      </c>
      <c r="I29" s="93" t="s">
        <v>73</v>
      </c>
      <c r="J29" s="92" t="s">
        <v>72</v>
      </c>
      <c r="K29" s="93" t="s">
        <v>73</v>
      </c>
      <c r="L29" s="92" t="s">
        <v>72</v>
      </c>
      <c r="M29" s="93" t="s">
        <v>73</v>
      </c>
      <c r="N29" s="92" t="s">
        <v>72</v>
      </c>
      <c r="O29" s="93" t="s">
        <v>73</v>
      </c>
      <c r="P29" s="92" t="s">
        <v>72</v>
      </c>
      <c r="Q29" s="93" t="s">
        <v>73</v>
      </c>
      <c r="R29" s="92" t="s">
        <v>72</v>
      </c>
      <c r="S29" s="93" t="s">
        <v>73</v>
      </c>
      <c r="T29" s="92" t="s">
        <v>72</v>
      </c>
      <c r="U29" s="93" t="s">
        <v>73</v>
      </c>
      <c r="V29" s="92" t="s">
        <v>72</v>
      </c>
      <c r="W29" s="93" t="s">
        <v>73</v>
      </c>
      <c r="X29" s="92" t="s">
        <v>72</v>
      </c>
      <c r="Y29" s="93" t="s">
        <v>73</v>
      </c>
      <c r="Z29" s="92" t="s">
        <v>72</v>
      </c>
      <c r="AA29" s="94" t="s">
        <v>73</v>
      </c>
      <c r="AB29" s="159" t="s">
        <v>72</v>
      </c>
      <c r="AC29" s="94" t="s">
        <v>73</v>
      </c>
      <c r="AD29" s="159" t="s">
        <v>72</v>
      </c>
      <c r="AE29" s="94" t="s">
        <v>73</v>
      </c>
      <c r="AF29" s="159" t="s">
        <v>72</v>
      </c>
      <c r="AG29" s="94" t="s">
        <v>73</v>
      </c>
      <c r="AH29" s="92" t="s">
        <v>72</v>
      </c>
      <c r="AI29" s="93" t="s">
        <v>73</v>
      </c>
      <c r="AJ29" s="92" t="s">
        <v>72</v>
      </c>
      <c r="AK29" s="93" t="s">
        <v>73</v>
      </c>
      <c r="AL29" s="92" t="s">
        <v>72</v>
      </c>
      <c r="AM29" s="93" t="s">
        <v>73</v>
      </c>
      <c r="AN29" s="92" t="s">
        <v>72</v>
      </c>
      <c r="AO29" s="93" t="s">
        <v>73</v>
      </c>
      <c r="AP29" s="92" t="s">
        <v>72</v>
      </c>
      <c r="AQ29" s="93" t="s">
        <v>73</v>
      </c>
      <c r="AR29" s="92" t="s">
        <v>72</v>
      </c>
      <c r="AS29" s="93" t="s">
        <v>73</v>
      </c>
      <c r="AT29" s="92" t="s">
        <v>72</v>
      </c>
      <c r="AU29" s="93" t="s">
        <v>73</v>
      </c>
      <c r="AV29" s="92" t="s">
        <v>72</v>
      </c>
      <c r="AW29" s="93" t="s">
        <v>73</v>
      </c>
      <c r="AX29" s="92" t="s">
        <v>72</v>
      </c>
      <c r="AY29" s="93" t="s">
        <v>73</v>
      </c>
      <c r="AZ29" s="92" t="s">
        <v>72</v>
      </c>
      <c r="BA29" s="93" t="s">
        <v>73</v>
      </c>
      <c r="BB29" s="92" t="s">
        <v>72</v>
      </c>
      <c r="BC29" s="93" t="s">
        <v>73</v>
      </c>
      <c r="BD29" s="92" t="s">
        <v>72</v>
      </c>
      <c r="BE29" s="94" t="s">
        <v>73</v>
      </c>
      <c r="BF29" s="159" t="s">
        <v>72</v>
      </c>
      <c r="BG29" s="94" t="s">
        <v>73</v>
      </c>
      <c r="BH29" s="159" t="s">
        <v>72</v>
      </c>
      <c r="BI29" s="94" t="s">
        <v>73</v>
      </c>
      <c r="BJ29" s="159" t="s">
        <v>72</v>
      </c>
      <c r="BK29" s="94" t="s">
        <v>73</v>
      </c>
      <c r="BL29" s="159" t="s">
        <v>72</v>
      </c>
      <c r="BM29" s="94" t="s">
        <v>73</v>
      </c>
      <c r="BN29" s="95" t="s">
        <v>72</v>
      </c>
      <c r="BO29" s="96" t="s">
        <v>73</v>
      </c>
      <c r="BP29" s="234" t="s">
        <v>253</v>
      </c>
      <c r="BQ29" s="235" t="s">
        <v>73</v>
      </c>
    </row>
    <row r="30" spans="2:69" s="4" customFormat="1" ht="50.1" customHeight="1" thickTop="1">
      <c r="B30" s="203" t="str">
        <f>'1月'!$B$30</f>
        <v>伊藤　秀智</v>
      </c>
      <c r="C30" s="145"/>
      <c r="D30" s="18"/>
      <c r="E30" s="14"/>
      <c r="F30" s="18"/>
      <c r="G30" s="14"/>
      <c r="H30" s="18"/>
      <c r="I30" s="14"/>
      <c r="J30" s="18"/>
      <c r="K30" s="14"/>
      <c r="L30" s="18"/>
      <c r="M30" s="14"/>
      <c r="N30" s="18"/>
      <c r="O30" s="14"/>
      <c r="P30" s="18"/>
      <c r="Q30" s="14"/>
      <c r="R30" s="18"/>
      <c r="S30" s="14"/>
      <c r="T30" s="18"/>
      <c r="U30" s="14"/>
      <c r="V30" s="18"/>
      <c r="W30" s="14"/>
      <c r="X30" s="18"/>
      <c r="Y30" s="14"/>
      <c r="Z30" s="18"/>
      <c r="AA30" s="14"/>
      <c r="AB30" s="18"/>
      <c r="AC30" s="14"/>
      <c r="AD30" s="18"/>
      <c r="AE30" s="14"/>
      <c r="AF30" s="18"/>
      <c r="AG30" s="15"/>
      <c r="AH30" s="18"/>
      <c r="AI30" s="14"/>
      <c r="AJ30" s="18"/>
      <c r="AK30" s="14"/>
      <c r="AL30" s="18"/>
      <c r="AM30" s="14"/>
      <c r="AN30" s="18"/>
      <c r="AO30" s="14"/>
      <c r="AP30" s="18"/>
      <c r="AQ30" s="14"/>
      <c r="AR30" s="18"/>
      <c r="AS30" s="14"/>
      <c r="AT30" s="18"/>
      <c r="AU30" s="14"/>
      <c r="AV30" s="18"/>
      <c r="AW30" s="14"/>
      <c r="AX30" s="18"/>
      <c r="AY30" s="14"/>
      <c r="AZ30" s="18"/>
      <c r="BA30" s="14"/>
      <c r="BB30" s="18"/>
      <c r="BC30" s="14"/>
      <c r="BD30" s="18"/>
      <c r="BE30" s="14"/>
      <c r="BF30" s="18"/>
      <c r="BG30" s="14"/>
      <c r="BH30" s="18"/>
      <c r="BI30" s="14"/>
      <c r="BJ30" s="18"/>
      <c r="BK30" s="15"/>
      <c r="BL30" s="16"/>
      <c r="BM30" s="15"/>
      <c r="BN30" s="102">
        <f>SUM(D30,F30,H30,J30,L30,N30,P30,R30,T30,V30,X30,Z30,AB30,AD30,AF30,AH30,AJ30,AL30,AN30,AP30,AR30,AT30,AV30,AX30,AZ30,BB30,BD30,BF30,BH30,BJ30,BL30)</f>
        <v>0</v>
      </c>
      <c r="BO30" s="47">
        <f>SUM(E30,G30,I30,K30,M30,O30,Q30,S30,U30,W30,Y30,AA30,AC30,AE30,AG30,AI30,AK30,AM30,AO30,AQ30,AS30,AU30,AW30,AY30,BA30,BC30,BE30,BG30,BI30,BK30,BM30)</f>
        <v>0</v>
      </c>
      <c r="BP30" s="631">
        <f>INDEX('2月'!$B$4:$BQ$375,MATCH('3月'!B30,'2月'!$B$4:$B$375,0),67)+BN30</f>
        <v>2</v>
      </c>
      <c r="BQ30" s="702">
        <f>INDEX('2月'!$B$4:$BQ$375,MATCH('3月'!B30,'2月'!$B$4:$B$375,0),68)+BO30</f>
        <v>4</v>
      </c>
    </row>
    <row r="31" spans="2:69" s="4" customFormat="1" ht="50.1" customHeight="1">
      <c r="B31" s="201" t="str">
        <f>'1月'!$B$31</f>
        <v>上村　郁絵</v>
      </c>
      <c r="C31" s="146"/>
      <c r="D31" s="13"/>
      <c r="E31" s="14"/>
      <c r="F31" s="13"/>
      <c r="G31" s="14"/>
      <c r="H31" s="13"/>
      <c r="I31" s="14"/>
      <c r="J31" s="13"/>
      <c r="K31" s="14"/>
      <c r="L31" s="13"/>
      <c r="M31" s="14"/>
      <c r="N31" s="13"/>
      <c r="O31" s="14"/>
      <c r="P31" s="13"/>
      <c r="Q31" s="14"/>
      <c r="R31" s="13"/>
      <c r="S31" s="14"/>
      <c r="T31" s="13"/>
      <c r="U31" s="14"/>
      <c r="V31" s="13"/>
      <c r="W31" s="14"/>
      <c r="X31" s="13"/>
      <c r="Y31" s="14"/>
      <c r="Z31" s="13"/>
      <c r="AA31" s="15"/>
      <c r="AB31" s="16"/>
      <c r="AC31" s="15"/>
      <c r="AD31" s="16"/>
      <c r="AE31" s="15"/>
      <c r="AF31" s="16"/>
      <c r="AG31" s="15"/>
      <c r="AH31" s="13"/>
      <c r="AI31" s="14"/>
      <c r="AJ31" s="13"/>
      <c r="AK31" s="14"/>
      <c r="AL31" s="13"/>
      <c r="AM31" s="14"/>
      <c r="AN31" s="13"/>
      <c r="AO31" s="14"/>
      <c r="AP31" s="13"/>
      <c r="AQ31" s="14"/>
      <c r="AR31" s="13"/>
      <c r="AS31" s="14"/>
      <c r="AT31" s="13"/>
      <c r="AU31" s="14"/>
      <c r="AV31" s="13"/>
      <c r="AW31" s="14"/>
      <c r="AX31" s="13"/>
      <c r="AY31" s="14"/>
      <c r="AZ31" s="13"/>
      <c r="BA31" s="14"/>
      <c r="BB31" s="13"/>
      <c r="BC31" s="14"/>
      <c r="BD31" s="13"/>
      <c r="BE31" s="15"/>
      <c r="BF31" s="16"/>
      <c r="BG31" s="15"/>
      <c r="BH31" s="16"/>
      <c r="BI31" s="15"/>
      <c r="BJ31" s="16"/>
      <c r="BK31" s="15"/>
      <c r="BL31" s="16"/>
      <c r="BM31" s="15"/>
      <c r="BN31" s="102">
        <f t="shared" ref="BN31:BN53" si="4">SUM(D31,F31,H31,J31,L31,N31,P31,R31,T31,V31,X31,Z31,AB31,AD31,AF31,AH31,AJ31,AL31,AN31,AP31,AR31,AT31,AV31,AX31,AZ31,BB31,BD31,BF31,BH31,BJ31,BL31)</f>
        <v>0</v>
      </c>
      <c r="BO31" s="47">
        <f t="shared" ref="BO31:BO53" si="5">SUM(E31,G31,I31,K31,M31,O31,Q31,S31,U31,W31,Y31,AA31,AC31,AE31,AG31,AI31,AK31,AM31,AO31,AQ31,AS31,AU31,AW31,AY31,BA31,BC31,BE31,BG31,BI31,BK31,BM31)</f>
        <v>0</v>
      </c>
      <c r="BP31" s="631">
        <f>INDEX('2月'!$B$4:$BQ$375,MATCH('3月'!B31,'2月'!$B$4:$B$375,0),67)+BN31</f>
        <v>1</v>
      </c>
      <c r="BQ31" s="702">
        <f>INDEX('2月'!$B$4:$BQ$375,MATCH('3月'!B31,'2月'!$B$4:$B$375,0),68)+BO31</f>
        <v>3</v>
      </c>
    </row>
    <row r="32" spans="2:69" s="4" customFormat="1" ht="50.1" customHeight="1">
      <c r="B32" s="201" t="str">
        <f>'1月'!$B$32</f>
        <v>岡本　良一</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si="4"/>
        <v>0</v>
      </c>
      <c r="BO32" s="47">
        <f t="shared" si="5"/>
        <v>0</v>
      </c>
      <c r="BP32" s="631">
        <f>INDEX('2月'!$B$4:$BQ$375,MATCH('3月'!B32,'2月'!$B$4:$B$375,0),67)+BN32</f>
        <v>3</v>
      </c>
      <c r="BQ32" s="702">
        <f>INDEX('2月'!$B$4:$BQ$375,MATCH('3月'!B32,'2月'!$B$4:$B$375,0),68)+BO32</f>
        <v>3</v>
      </c>
    </row>
    <row r="33" spans="2:69" s="4" customFormat="1" ht="50.1" customHeight="1">
      <c r="B33" s="201" t="str">
        <f>'1月'!$B$33</f>
        <v>金子　千穂</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4"/>
        <v>0</v>
      </c>
      <c r="BO33" s="47">
        <f t="shared" si="5"/>
        <v>0</v>
      </c>
      <c r="BP33" s="631">
        <f>INDEX('2月'!$B$4:$BQ$375,MATCH('3月'!B33,'2月'!$B$4:$B$375,0),67)+BN33</f>
        <v>2</v>
      </c>
      <c r="BQ33" s="702">
        <f>INDEX('2月'!$B$4:$BQ$375,MATCH('3月'!B33,'2月'!$B$4:$B$375,0),68)+BO33</f>
        <v>2</v>
      </c>
    </row>
    <row r="34" spans="2:69" s="4" customFormat="1" ht="50.1" customHeight="1">
      <c r="B34" s="201" t="str">
        <f>'1月'!$B$34</f>
        <v>櫛引　康平</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4"/>
        <v>0</v>
      </c>
      <c r="BO34" s="47">
        <f t="shared" si="5"/>
        <v>0</v>
      </c>
      <c r="BP34" s="631">
        <f>INDEX('2月'!$B$4:$BQ$375,MATCH('3月'!B34,'2月'!$B$4:$B$375,0),67)+BN34</f>
        <v>0</v>
      </c>
      <c r="BQ34" s="702">
        <f>INDEX('2月'!$B$4:$BQ$375,MATCH('3月'!B34,'2月'!$B$4:$B$375,0),68)+BO34</f>
        <v>0</v>
      </c>
    </row>
    <row r="35" spans="2:69" s="4" customFormat="1" ht="50.1" customHeight="1">
      <c r="B35" s="201" t="str">
        <f>'1月'!$B$35</f>
        <v>工藤　あずさ</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4"/>
        <v>0</v>
      </c>
      <c r="BO35" s="47">
        <f t="shared" si="5"/>
        <v>0</v>
      </c>
      <c r="BP35" s="631">
        <f>INDEX('2月'!$B$4:$BQ$375,MATCH('3月'!B35,'2月'!$B$4:$B$375,0),67)+BN35</f>
        <v>0</v>
      </c>
      <c r="BQ35" s="702">
        <f>INDEX('2月'!$B$4:$BQ$375,MATCH('3月'!B35,'2月'!$B$4:$B$375,0),68)+BO35</f>
        <v>0</v>
      </c>
    </row>
    <row r="36" spans="2:69" s="4" customFormat="1" ht="50.1" customHeight="1">
      <c r="B36" s="201" t="str">
        <f>'1月'!$B$36</f>
        <v>熊谷　正浩</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4"/>
        <v>0</v>
      </c>
      <c r="BO36" s="47">
        <f t="shared" si="5"/>
        <v>0</v>
      </c>
      <c r="BP36" s="631">
        <f>INDEX('2月'!$B$4:$BQ$375,MATCH('3月'!B36,'2月'!$B$4:$B$375,0),67)+BN36</f>
        <v>0</v>
      </c>
      <c r="BQ36" s="702">
        <f>INDEX('2月'!$B$4:$BQ$375,MATCH('3月'!B36,'2月'!$B$4:$B$375,0),68)+BO36</f>
        <v>0</v>
      </c>
    </row>
    <row r="37" spans="2:69" s="4" customFormat="1" ht="50.1" customHeight="1">
      <c r="B37" s="201" t="str">
        <f>'1月'!$B$37</f>
        <v>小泉　洋之</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4"/>
        <v>0</v>
      </c>
      <c r="BO37" s="47">
        <f t="shared" si="5"/>
        <v>0</v>
      </c>
      <c r="BP37" s="631">
        <f>INDEX('2月'!$B$4:$BQ$375,MATCH('3月'!B37,'2月'!$B$4:$B$375,0),67)+BN37</f>
        <v>2</v>
      </c>
      <c r="BQ37" s="702">
        <f>INDEX('2月'!$B$4:$BQ$375,MATCH('3月'!B37,'2月'!$B$4:$B$375,0),68)+BO37</f>
        <v>3</v>
      </c>
    </row>
    <row r="38" spans="2:69" s="4" customFormat="1" ht="50.1" customHeight="1">
      <c r="B38" s="201" t="str">
        <f>'1月'!$B$38</f>
        <v>佐々木　あゆみ</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4"/>
        <v>0</v>
      </c>
      <c r="BO38" s="47">
        <f t="shared" si="5"/>
        <v>0</v>
      </c>
      <c r="BP38" s="631">
        <f>INDEX('2月'!$B$4:$BQ$375,MATCH('3月'!B38,'2月'!$B$4:$B$375,0),67)+BN38</f>
        <v>1</v>
      </c>
      <c r="BQ38" s="702">
        <f>INDEX('2月'!$B$4:$BQ$375,MATCH('3月'!B38,'2月'!$B$4:$B$375,0),68)+BO38</f>
        <v>1</v>
      </c>
    </row>
    <row r="39" spans="2:69" s="4" customFormat="1" ht="50.1" customHeight="1">
      <c r="B39" s="201" t="str">
        <f>'1月'!$B$39</f>
        <v>佐々木　智子</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4"/>
        <v>0</v>
      </c>
      <c r="BO39" s="47">
        <f t="shared" si="5"/>
        <v>0</v>
      </c>
      <c r="BP39" s="631">
        <f>INDEX('2月'!$B$4:$BQ$375,MATCH('3月'!B39,'2月'!$B$4:$B$375,0),67)+BN39</f>
        <v>0</v>
      </c>
      <c r="BQ39" s="702">
        <f>INDEX('2月'!$B$4:$BQ$375,MATCH('3月'!B39,'2月'!$B$4:$B$375,0),68)+BO39</f>
        <v>0</v>
      </c>
    </row>
    <row r="40" spans="2:69" s="4" customFormat="1" ht="50.1" customHeight="1">
      <c r="B40" s="201" t="str">
        <f>'1月'!$B$40</f>
        <v>澤村　純一</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4"/>
        <v>0</v>
      </c>
      <c r="BO40" s="47">
        <f t="shared" si="5"/>
        <v>0</v>
      </c>
      <c r="BP40" s="631">
        <f>INDEX('2月'!$B$4:$BQ$375,MATCH('3月'!B40,'2月'!$B$4:$B$375,0),67)+BN40</f>
        <v>0</v>
      </c>
      <c r="BQ40" s="702">
        <f>INDEX('2月'!$B$4:$BQ$375,MATCH('3月'!B40,'2月'!$B$4:$B$375,0),68)+BO40</f>
        <v>0</v>
      </c>
    </row>
    <row r="41" spans="2:69" s="4" customFormat="1" ht="50.1" customHeight="1">
      <c r="B41" s="201" t="str">
        <f>'1月'!$B$41</f>
        <v>杉渕　恵美</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4"/>
        <v>0</v>
      </c>
      <c r="BO41" s="47">
        <f t="shared" si="5"/>
        <v>0</v>
      </c>
      <c r="BP41" s="631">
        <f>INDEX('2月'!$B$4:$BQ$375,MATCH('3月'!B41,'2月'!$B$4:$B$375,0),67)+BN41</f>
        <v>0</v>
      </c>
      <c r="BQ41" s="702">
        <f>INDEX('2月'!$B$4:$BQ$375,MATCH('3月'!B41,'2月'!$B$4:$B$375,0),68)+BO41</f>
        <v>0</v>
      </c>
    </row>
    <row r="42" spans="2:69" s="4" customFormat="1" ht="50.1" customHeight="1">
      <c r="B42" s="202" t="str">
        <f>'1月'!$B$42</f>
        <v>田名部　丞</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4"/>
        <v>0</v>
      </c>
      <c r="BO42" s="47">
        <f t="shared" si="5"/>
        <v>0</v>
      </c>
      <c r="BP42" s="631">
        <f>INDEX('2月'!$B$4:$BQ$375,MATCH('3月'!B42,'2月'!$B$4:$B$375,0),67)+BN42</f>
        <v>1</v>
      </c>
      <c r="BQ42" s="702">
        <f>INDEX('2月'!$B$4:$BQ$375,MATCH('3月'!B42,'2月'!$B$4:$B$375,0),68)+BO42</f>
        <v>2</v>
      </c>
    </row>
    <row r="43" spans="2:69" s="4" customFormat="1" ht="50.1" customHeight="1">
      <c r="B43" s="201" t="str">
        <f>'1月'!$B$43</f>
        <v>田名部　昌義</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4"/>
        <v>0</v>
      </c>
      <c r="BO43" s="47">
        <f t="shared" si="5"/>
        <v>0</v>
      </c>
      <c r="BP43" s="631">
        <f>INDEX('2月'!$B$4:$BQ$375,MATCH('3月'!B43,'2月'!$B$4:$B$375,0),67)+BN43</f>
        <v>1</v>
      </c>
      <c r="BQ43" s="702">
        <f>INDEX('2月'!$B$4:$BQ$375,MATCH('3月'!B43,'2月'!$B$4:$B$375,0),68)+BO43</f>
        <v>2</v>
      </c>
    </row>
    <row r="44" spans="2:69" s="4" customFormat="1" ht="50.1" customHeight="1">
      <c r="B44" s="201" t="str">
        <f>'1月'!$B$44</f>
        <v>中里　一賢</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4"/>
        <v>0</v>
      </c>
      <c r="BO44" s="47">
        <f t="shared" si="5"/>
        <v>0</v>
      </c>
      <c r="BP44" s="631">
        <f>INDEX('2月'!$B$4:$BQ$375,MATCH('3月'!B44,'2月'!$B$4:$B$375,0),67)+BN44</f>
        <v>1</v>
      </c>
      <c r="BQ44" s="702">
        <f>INDEX('2月'!$B$4:$BQ$375,MATCH('3月'!B44,'2月'!$B$4:$B$375,0),68)+BO44</f>
        <v>2</v>
      </c>
    </row>
    <row r="45" spans="2:69" s="4" customFormat="1" ht="50.1" customHeight="1">
      <c r="B45" s="203" t="str">
        <f>'1月'!$B$45</f>
        <v>中山　明洋</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4"/>
        <v>0</v>
      </c>
      <c r="BO45" s="47">
        <f t="shared" si="5"/>
        <v>0</v>
      </c>
      <c r="BP45" s="631">
        <f>INDEX('2月'!$B$4:$BQ$375,MATCH('3月'!B45,'2月'!$B$4:$B$375,0),67)+BN45</f>
        <v>2</v>
      </c>
      <c r="BQ45" s="702">
        <f>INDEX('2月'!$B$4:$BQ$375,MATCH('3月'!B45,'2月'!$B$4:$B$375,0),68)+BO45</f>
        <v>3</v>
      </c>
    </row>
    <row r="46" spans="2:69" s="4" customFormat="1" ht="50.1" customHeight="1">
      <c r="B46" s="204" t="str">
        <f>'1月'!$B$46</f>
        <v>松井　龍平</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4"/>
        <v>0</v>
      </c>
      <c r="BO46" s="47">
        <f t="shared" si="5"/>
        <v>0</v>
      </c>
      <c r="BP46" s="631">
        <f>INDEX('2月'!$B$4:$BQ$375,MATCH('3月'!B46,'2月'!$B$4:$B$375,0),67)+BN46</f>
        <v>4</v>
      </c>
      <c r="BQ46" s="702">
        <f>INDEX('2月'!$B$4:$BQ$375,MATCH('3月'!B46,'2月'!$B$4:$B$375,0),68)+BO46</f>
        <v>5</v>
      </c>
    </row>
    <row r="47" spans="2:69" s="4" customFormat="1" ht="15.95" customHeight="1">
      <c r="B47" s="201">
        <f>'1月'!$B$47</f>
        <v>0</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4"/>
        <v>0</v>
      </c>
      <c r="BO47" s="47">
        <f t="shared" si="5"/>
        <v>0</v>
      </c>
      <c r="BP47" s="631"/>
      <c r="BQ47" s="702"/>
    </row>
    <row r="48" spans="2:69" s="4" customFormat="1" ht="15.95" customHeight="1">
      <c r="B48" s="154">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4"/>
        <v>0</v>
      </c>
      <c r="BO48" s="47">
        <f t="shared" si="5"/>
        <v>0</v>
      </c>
      <c r="BP48" s="631"/>
      <c r="BQ48" s="702"/>
    </row>
    <row r="49" spans="2:69" s="4" customFormat="1" ht="15.95" customHeight="1">
      <c r="B49" s="155">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4"/>
        <v>0</v>
      </c>
      <c r="BO49" s="47">
        <f t="shared" si="5"/>
        <v>0</v>
      </c>
      <c r="BP49" s="631"/>
      <c r="BQ49" s="702"/>
    </row>
    <row r="50" spans="2:69" s="4" customFormat="1" ht="15.95" customHeight="1">
      <c r="B50" s="154">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4"/>
        <v>0</v>
      </c>
      <c r="BO50" s="47">
        <f t="shared" si="5"/>
        <v>0</v>
      </c>
      <c r="BP50" s="631"/>
      <c r="BQ50" s="702"/>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4"/>
        <v>0</v>
      </c>
      <c r="BO51" s="47">
        <f t="shared" si="5"/>
        <v>0</v>
      </c>
      <c r="BP51" s="631"/>
      <c r="BQ51" s="702"/>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4"/>
        <v>0</v>
      </c>
      <c r="BO52" s="47">
        <f t="shared" si="5"/>
        <v>0</v>
      </c>
      <c r="BP52" s="631"/>
      <c r="BQ52" s="702"/>
    </row>
    <row r="53" spans="2:69" s="4" customFormat="1" ht="15.95" customHeight="1" thickBot="1">
      <c r="B53" s="112">
        <f>'1月'!$B$53</f>
        <v>0</v>
      </c>
      <c r="C53" s="147"/>
      <c r="D53" s="13"/>
      <c r="E53" s="14"/>
      <c r="F53" s="19"/>
      <c r="G53" s="20"/>
      <c r="H53" s="19"/>
      <c r="I53" s="20"/>
      <c r="J53" s="19"/>
      <c r="K53" s="20"/>
      <c r="L53" s="19"/>
      <c r="M53" s="20"/>
      <c r="N53" s="19"/>
      <c r="O53" s="20"/>
      <c r="P53" s="19"/>
      <c r="Q53" s="20"/>
      <c r="R53" s="19"/>
      <c r="S53" s="20"/>
      <c r="T53" s="19"/>
      <c r="U53" s="20"/>
      <c r="V53" s="19"/>
      <c r="W53" s="20"/>
      <c r="X53" s="19"/>
      <c r="Y53" s="20"/>
      <c r="Z53" s="19"/>
      <c r="AA53" s="21"/>
      <c r="AB53" s="22"/>
      <c r="AC53" s="21"/>
      <c r="AD53" s="22"/>
      <c r="AE53" s="21"/>
      <c r="AF53" s="16"/>
      <c r="AG53" s="15"/>
      <c r="AH53" s="23"/>
      <c r="AI53" s="24"/>
      <c r="AJ53" s="23"/>
      <c r="AK53" s="24"/>
      <c r="AL53" s="23"/>
      <c r="AM53" s="24"/>
      <c r="AN53" s="23"/>
      <c r="AO53" s="24"/>
      <c r="AP53" s="23"/>
      <c r="AQ53" s="24"/>
      <c r="AR53" s="23"/>
      <c r="AS53" s="24"/>
      <c r="AT53" s="23"/>
      <c r="AU53" s="24"/>
      <c r="AV53" s="23"/>
      <c r="AW53" s="24"/>
      <c r="AX53" s="23"/>
      <c r="AY53" s="24"/>
      <c r="AZ53" s="23"/>
      <c r="BA53" s="24"/>
      <c r="BB53" s="23"/>
      <c r="BC53" s="24"/>
      <c r="BD53" s="23"/>
      <c r="BE53" s="25"/>
      <c r="BF53" s="26"/>
      <c r="BG53" s="25"/>
      <c r="BH53" s="26"/>
      <c r="BI53" s="25"/>
      <c r="BJ53" s="26"/>
      <c r="BK53" s="25"/>
      <c r="BL53" s="26"/>
      <c r="BM53" s="25"/>
      <c r="BN53" s="102">
        <f t="shared" si="4"/>
        <v>0</v>
      </c>
      <c r="BO53" s="47">
        <f t="shared" si="5"/>
        <v>0</v>
      </c>
      <c r="BP53" s="631"/>
      <c r="BQ53" s="702"/>
    </row>
    <row r="54" spans="2:69" s="4" customFormat="1" ht="37.5" customHeight="1" thickBot="1">
      <c r="B54" s="119" t="s">
        <v>101</v>
      </c>
      <c r="C54" s="149"/>
      <c r="D54" s="28">
        <f t="shared" ref="D54:BM54" si="6">SUM(D30:D53)</f>
        <v>0</v>
      </c>
      <c r="E54" s="29">
        <f t="shared" si="6"/>
        <v>0</v>
      </c>
      <c r="F54" s="30">
        <f t="shared" si="6"/>
        <v>0</v>
      </c>
      <c r="G54" s="31">
        <f t="shared" si="6"/>
        <v>0</v>
      </c>
      <c r="H54" s="30">
        <f t="shared" si="6"/>
        <v>0</v>
      </c>
      <c r="I54" s="31">
        <f t="shared" si="6"/>
        <v>0</v>
      </c>
      <c r="J54" s="30">
        <f t="shared" si="6"/>
        <v>0</v>
      </c>
      <c r="K54" s="31">
        <f t="shared" si="6"/>
        <v>0</v>
      </c>
      <c r="L54" s="30">
        <f t="shared" si="6"/>
        <v>0</v>
      </c>
      <c r="M54" s="31">
        <f t="shared" si="6"/>
        <v>0</v>
      </c>
      <c r="N54" s="30">
        <f t="shared" si="6"/>
        <v>0</v>
      </c>
      <c r="O54" s="31">
        <f t="shared" si="6"/>
        <v>0</v>
      </c>
      <c r="P54" s="30">
        <f t="shared" si="6"/>
        <v>0</v>
      </c>
      <c r="Q54" s="31">
        <f t="shared" si="6"/>
        <v>0</v>
      </c>
      <c r="R54" s="30">
        <f t="shared" si="6"/>
        <v>0</v>
      </c>
      <c r="S54" s="31">
        <f t="shared" si="6"/>
        <v>0</v>
      </c>
      <c r="T54" s="30">
        <f t="shared" si="6"/>
        <v>0</v>
      </c>
      <c r="U54" s="31">
        <f t="shared" si="6"/>
        <v>0</v>
      </c>
      <c r="V54" s="30">
        <f t="shared" si="6"/>
        <v>0</v>
      </c>
      <c r="W54" s="31">
        <f t="shared" si="6"/>
        <v>0</v>
      </c>
      <c r="X54" s="30">
        <f t="shared" si="6"/>
        <v>0</v>
      </c>
      <c r="Y54" s="31">
        <f t="shared" si="6"/>
        <v>0</v>
      </c>
      <c r="Z54" s="30">
        <f t="shared" si="6"/>
        <v>0</v>
      </c>
      <c r="AA54" s="31">
        <f t="shared" si="6"/>
        <v>0</v>
      </c>
      <c r="AB54" s="30">
        <f t="shared" si="6"/>
        <v>0</v>
      </c>
      <c r="AC54" s="31">
        <f t="shared" si="6"/>
        <v>0</v>
      </c>
      <c r="AD54" s="30">
        <f t="shared" si="6"/>
        <v>0</v>
      </c>
      <c r="AE54" s="31">
        <f t="shared" si="6"/>
        <v>0</v>
      </c>
      <c r="AF54" s="30">
        <f t="shared" si="6"/>
        <v>0</v>
      </c>
      <c r="AG54" s="31">
        <f t="shared" si="6"/>
        <v>0</v>
      </c>
      <c r="AH54" s="28">
        <f t="shared" si="6"/>
        <v>0</v>
      </c>
      <c r="AI54" s="29">
        <f t="shared" si="6"/>
        <v>0</v>
      </c>
      <c r="AJ54" s="30">
        <f t="shared" si="6"/>
        <v>0</v>
      </c>
      <c r="AK54" s="31">
        <f t="shared" si="6"/>
        <v>0</v>
      </c>
      <c r="AL54" s="30">
        <f t="shared" si="6"/>
        <v>0</v>
      </c>
      <c r="AM54" s="31">
        <f t="shared" si="6"/>
        <v>0</v>
      </c>
      <c r="AN54" s="30">
        <f t="shared" si="6"/>
        <v>0</v>
      </c>
      <c r="AO54" s="31">
        <f t="shared" si="6"/>
        <v>0</v>
      </c>
      <c r="AP54" s="30">
        <f t="shared" si="6"/>
        <v>0</v>
      </c>
      <c r="AQ54" s="31">
        <f t="shared" si="6"/>
        <v>0</v>
      </c>
      <c r="AR54" s="30">
        <f t="shared" si="6"/>
        <v>0</v>
      </c>
      <c r="AS54" s="31">
        <f t="shared" si="6"/>
        <v>0</v>
      </c>
      <c r="AT54" s="30">
        <f t="shared" si="6"/>
        <v>0</v>
      </c>
      <c r="AU54" s="31">
        <f t="shared" si="6"/>
        <v>0</v>
      </c>
      <c r="AV54" s="30">
        <f t="shared" si="6"/>
        <v>0</v>
      </c>
      <c r="AW54" s="31">
        <f t="shared" si="6"/>
        <v>0</v>
      </c>
      <c r="AX54" s="30">
        <f t="shared" si="6"/>
        <v>0</v>
      </c>
      <c r="AY54" s="31">
        <f t="shared" si="6"/>
        <v>0</v>
      </c>
      <c r="AZ54" s="30">
        <f t="shared" si="6"/>
        <v>0</v>
      </c>
      <c r="BA54" s="31">
        <f t="shared" si="6"/>
        <v>0</v>
      </c>
      <c r="BB54" s="30">
        <f t="shared" si="6"/>
        <v>0</v>
      </c>
      <c r="BC54" s="31">
        <f t="shared" si="6"/>
        <v>0</v>
      </c>
      <c r="BD54" s="30">
        <f t="shared" si="6"/>
        <v>0</v>
      </c>
      <c r="BE54" s="31">
        <f t="shared" si="6"/>
        <v>0</v>
      </c>
      <c r="BF54" s="30">
        <f t="shared" si="6"/>
        <v>0</v>
      </c>
      <c r="BG54" s="31">
        <f t="shared" si="6"/>
        <v>0</v>
      </c>
      <c r="BH54" s="30">
        <f t="shared" si="6"/>
        <v>0</v>
      </c>
      <c r="BI54" s="31">
        <f t="shared" si="6"/>
        <v>0</v>
      </c>
      <c r="BJ54" s="30">
        <f t="shared" si="6"/>
        <v>0</v>
      </c>
      <c r="BK54" s="31">
        <f t="shared" si="6"/>
        <v>0</v>
      </c>
      <c r="BL54" s="30">
        <f t="shared" si="6"/>
        <v>0</v>
      </c>
      <c r="BM54" s="31">
        <f t="shared" si="6"/>
        <v>0</v>
      </c>
      <c r="BN54" s="32">
        <f>SUM(BN30:BN53)</f>
        <v>0</v>
      </c>
      <c r="BO54" s="33">
        <f>SUM(BO30:BO53)</f>
        <v>0</v>
      </c>
      <c r="BP54" s="245">
        <f>SUM(BP30:BP53)</f>
        <v>20</v>
      </c>
      <c r="BQ54" s="246">
        <f>SUM(BQ30:BQ53)</f>
        <v>30</v>
      </c>
    </row>
    <row r="55" spans="2:69" ht="28.5" customHeight="1">
      <c r="B55" s="120"/>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row>
    <row r="56" spans="2:69" ht="28.5" customHeight="1" thickBo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4.95" customHeight="1">
      <c r="B57" s="743" t="s">
        <v>171</v>
      </c>
      <c r="C57" s="749">
        <f>COUNTIF(B60:B65,"*")</f>
        <v>6</v>
      </c>
      <c r="D57" s="751">
        <v>1</v>
      </c>
      <c r="E57" s="738"/>
      <c r="F57" s="737">
        <v>2</v>
      </c>
      <c r="G57" s="738"/>
      <c r="H57" s="737">
        <v>3</v>
      </c>
      <c r="I57" s="738"/>
      <c r="J57" s="737">
        <v>4</v>
      </c>
      <c r="K57" s="738"/>
      <c r="L57" s="737">
        <v>5</v>
      </c>
      <c r="M57" s="738"/>
      <c r="N57" s="737">
        <v>6</v>
      </c>
      <c r="O57" s="738"/>
      <c r="P57" s="737">
        <v>7</v>
      </c>
      <c r="Q57" s="738"/>
      <c r="R57" s="737">
        <v>8</v>
      </c>
      <c r="S57" s="738"/>
      <c r="T57" s="737">
        <v>9</v>
      </c>
      <c r="U57" s="738"/>
      <c r="V57" s="737">
        <v>10</v>
      </c>
      <c r="W57" s="738"/>
      <c r="X57" s="737">
        <v>11</v>
      </c>
      <c r="Y57" s="738"/>
      <c r="Z57" s="737">
        <v>12</v>
      </c>
      <c r="AA57" s="738"/>
      <c r="AB57" s="737">
        <v>13</v>
      </c>
      <c r="AC57" s="738"/>
      <c r="AD57" s="737">
        <v>14</v>
      </c>
      <c r="AE57" s="738"/>
      <c r="AF57" s="737">
        <v>15</v>
      </c>
      <c r="AG57" s="784"/>
      <c r="AH57" s="751">
        <v>16</v>
      </c>
      <c r="AI57" s="738"/>
      <c r="AJ57" s="737">
        <v>17</v>
      </c>
      <c r="AK57" s="738"/>
      <c r="AL57" s="737">
        <v>18</v>
      </c>
      <c r="AM57" s="738"/>
      <c r="AN57" s="737">
        <v>19</v>
      </c>
      <c r="AO57" s="738"/>
      <c r="AP57" s="737">
        <v>20</v>
      </c>
      <c r="AQ57" s="738"/>
      <c r="AR57" s="737">
        <v>21</v>
      </c>
      <c r="AS57" s="738"/>
      <c r="AT57" s="737">
        <v>22</v>
      </c>
      <c r="AU57" s="738"/>
      <c r="AV57" s="737">
        <v>23</v>
      </c>
      <c r="AW57" s="738"/>
      <c r="AX57" s="737">
        <v>24</v>
      </c>
      <c r="AY57" s="738"/>
      <c r="AZ57" s="737">
        <v>25</v>
      </c>
      <c r="BA57" s="738"/>
      <c r="BB57" s="737">
        <v>26</v>
      </c>
      <c r="BC57" s="738"/>
      <c r="BD57" s="737">
        <v>27</v>
      </c>
      <c r="BE57" s="738"/>
      <c r="BF57" s="737">
        <v>28</v>
      </c>
      <c r="BG57" s="738"/>
      <c r="BH57" s="737">
        <v>29</v>
      </c>
      <c r="BI57" s="738"/>
      <c r="BJ57" s="737">
        <v>30</v>
      </c>
      <c r="BK57" s="738"/>
      <c r="BL57" s="741">
        <v>31</v>
      </c>
      <c r="BM57" s="741"/>
      <c r="BN57" s="738" t="s">
        <v>251</v>
      </c>
      <c r="BO57" s="760"/>
      <c r="BP57" s="763" t="s">
        <v>354</v>
      </c>
      <c r="BQ57" s="788"/>
    </row>
    <row r="58" spans="2:69" ht="24.95" customHeight="1">
      <c r="B58" s="744"/>
      <c r="C58" s="747"/>
      <c r="D58" s="752" t="str">
        <f>D2</f>
        <v>土</v>
      </c>
      <c r="E58" s="740"/>
      <c r="F58" s="739" t="str">
        <f>F2</f>
        <v>日</v>
      </c>
      <c r="G58" s="740"/>
      <c r="H58" s="739" t="str">
        <f>H2</f>
        <v>月</v>
      </c>
      <c r="I58" s="740"/>
      <c r="J58" s="739" t="str">
        <f>J2</f>
        <v>火</v>
      </c>
      <c r="K58" s="740"/>
      <c r="L58" s="739" t="str">
        <f>L2</f>
        <v>水</v>
      </c>
      <c r="M58" s="740"/>
      <c r="N58" s="739" t="str">
        <f>N2</f>
        <v>木</v>
      </c>
      <c r="O58" s="740"/>
      <c r="P58" s="739" t="str">
        <f>P2</f>
        <v>金</v>
      </c>
      <c r="Q58" s="740"/>
      <c r="R58" s="739" t="str">
        <f>R2</f>
        <v>土</v>
      </c>
      <c r="S58" s="740"/>
      <c r="T58" s="739" t="str">
        <f>T2</f>
        <v>日</v>
      </c>
      <c r="U58" s="740"/>
      <c r="V58" s="739" t="str">
        <f>V2</f>
        <v>月</v>
      </c>
      <c r="W58" s="740"/>
      <c r="X58" s="739" t="str">
        <f>X2</f>
        <v>火</v>
      </c>
      <c r="Y58" s="740"/>
      <c r="Z58" s="739" t="str">
        <f>Z2</f>
        <v>水</v>
      </c>
      <c r="AA58" s="740"/>
      <c r="AB58" s="739" t="str">
        <f>AB2</f>
        <v>木</v>
      </c>
      <c r="AC58" s="740"/>
      <c r="AD58" s="739" t="str">
        <f>AD2</f>
        <v>金</v>
      </c>
      <c r="AE58" s="740"/>
      <c r="AF58" s="739" t="str">
        <f>AF2</f>
        <v>土</v>
      </c>
      <c r="AG58" s="740"/>
      <c r="AH58" s="786" t="str">
        <f>AH2</f>
        <v>日</v>
      </c>
      <c r="AI58" s="767"/>
      <c r="AJ58" s="770" t="str">
        <f>AJ2</f>
        <v>月</v>
      </c>
      <c r="AK58" s="770"/>
      <c r="AL58" s="770" t="str">
        <f>AL2</f>
        <v>火</v>
      </c>
      <c r="AM58" s="770"/>
      <c r="AN58" s="770" t="str">
        <f>AN2</f>
        <v>水</v>
      </c>
      <c r="AO58" s="770"/>
      <c r="AP58" s="770" t="str">
        <f>AP2</f>
        <v>木</v>
      </c>
      <c r="AQ58" s="770"/>
      <c r="AR58" s="770" t="str">
        <f>AR2</f>
        <v>金</v>
      </c>
      <c r="AS58" s="770"/>
      <c r="AT58" s="770" t="str">
        <f>AT2</f>
        <v>土</v>
      </c>
      <c r="AU58" s="770"/>
      <c r="AV58" s="770" t="str">
        <f>AV2</f>
        <v>日</v>
      </c>
      <c r="AW58" s="770"/>
      <c r="AX58" s="770" t="str">
        <f>AX2</f>
        <v>月</v>
      </c>
      <c r="AY58" s="770"/>
      <c r="AZ58" s="770" t="str">
        <f>AZ2</f>
        <v>火</v>
      </c>
      <c r="BA58" s="770"/>
      <c r="BB58" s="770" t="str">
        <f>BB2</f>
        <v>水</v>
      </c>
      <c r="BC58" s="770"/>
      <c r="BD58" s="770" t="str">
        <f>BD2</f>
        <v>木</v>
      </c>
      <c r="BE58" s="770"/>
      <c r="BF58" s="770" t="str">
        <f>BF2</f>
        <v>金</v>
      </c>
      <c r="BG58" s="770"/>
      <c r="BH58" s="770" t="str">
        <f>BH2</f>
        <v>土</v>
      </c>
      <c r="BI58" s="770"/>
      <c r="BJ58" s="770" t="str">
        <f>BJ2</f>
        <v>日</v>
      </c>
      <c r="BK58" s="770"/>
      <c r="BL58" s="770" t="str">
        <f>BL2</f>
        <v>月</v>
      </c>
      <c r="BM58" s="770"/>
      <c r="BN58" s="761"/>
      <c r="BO58" s="762"/>
      <c r="BP58" s="789"/>
      <c r="BQ58" s="790"/>
    </row>
    <row r="59" spans="2:69" ht="24.75" customHeight="1">
      <c r="B59" s="744"/>
      <c r="C59" s="747"/>
      <c r="D59" s="482" t="s">
        <v>72</v>
      </c>
      <c r="E59" s="481" t="s">
        <v>73</v>
      </c>
      <c r="F59" s="480" t="s">
        <v>72</v>
      </c>
      <c r="G59" s="481" t="s">
        <v>73</v>
      </c>
      <c r="H59" s="480" t="s">
        <v>72</v>
      </c>
      <c r="I59" s="481" t="s">
        <v>73</v>
      </c>
      <c r="J59" s="482" t="s">
        <v>72</v>
      </c>
      <c r="K59" s="481" t="s">
        <v>73</v>
      </c>
      <c r="L59" s="482" t="s">
        <v>72</v>
      </c>
      <c r="M59" s="481" t="s">
        <v>73</v>
      </c>
      <c r="N59" s="482" t="s">
        <v>72</v>
      </c>
      <c r="O59" s="481" t="s">
        <v>73</v>
      </c>
      <c r="P59" s="482" t="s">
        <v>72</v>
      </c>
      <c r="Q59" s="481" t="s">
        <v>73</v>
      </c>
      <c r="R59" s="482" t="s">
        <v>72</v>
      </c>
      <c r="S59" s="481" t="s">
        <v>73</v>
      </c>
      <c r="T59" s="482" t="s">
        <v>72</v>
      </c>
      <c r="U59" s="481" t="s">
        <v>73</v>
      </c>
      <c r="V59" s="482" t="s">
        <v>72</v>
      </c>
      <c r="W59" s="481" t="s">
        <v>73</v>
      </c>
      <c r="X59" s="482" t="s">
        <v>72</v>
      </c>
      <c r="Y59" s="481" t="s">
        <v>73</v>
      </c>
      <c r="Z59" s="482" t="s">
        <v>72</v>
      </c>
      <c r="AA59" s="107" t="s">
        <v>73</v>
      </c>
      <c r="AB59" s="194" t="s">
        <v>72</v>
      </c>
      <c r="AC59" s="107" t="s">
        <v>73</v>
      </c>
      <c r="AD59" s="194" t="s">
        <v>72</v>
      </c>
      <c r="AE59" s="107" t="s">
        <v>73</v>
      </c>
      <c r="AF59" s="194" t="s">
        <v>72</v>
      </c>
      <c r="AG59" s="107" t="s">
        <v>73</v>
      </c>
      <c r="AH59" s="482" t="s">
        <v>72</v>
      </c>
      <c r="AI59" s="481" t="s">
        <v>73</v>
      </c>
      <c r="AJ59" s="480" t="s">
        <v>72</v>
      </c>
      <c r="AK59" s="481" t="s">
        <v>73</v>
      </c>
      <c r="AL59" s="480" t="s">
        <v>72</v>
      </c>
      <c r="AM59" s="481" t="s">
        <v>73</v>
      </c>
      <c r="AN59" s="482" t="s">
        <v>72</v>
      </c>
      <c r="AO59" s="481" t="s">
        <v>73</v>
      </c>
      <c r="AP59" s="482" t="s">
        <v>72</v>
      </c>
      <c r="AQ59" s="481" t="s">
        <v>73</v>
      </c>
      <c r="AR59" s="482" t="s">
        <v>72</v>
      </c>
      <c r="AS59" s="481" t="s">
        <v>73</v>
      </c>
      <c r="AT59" s="482" t="s">
        <v>72</v>
      </c>
      <c r="AU59" s="481" t="s">
        <v>73</v>
      </c>
      <c r="AV59" s="482" t="s">
        <v>72</v>
      </c>
      <c r="AW59" s="481" t="s">
        <v>73</v>
      </c>
      <c r="AX59" s="482" t="s">
        <v>72</v>
      </c>
      <c r="AY59" s="481" t="s">
        <v>73</v>
      </c>
      <c r="AZ59" s="482" t="s">
        <v>72</v>
      </c>
      <c r="BA59" s="481" t="s">
        <v>73</v>
      </c>
      <c r="BB59" s="482" t="s">
        <v>72</v>
      </c>
      <c r="BC59" s="481" t="s">
        <v>73</v>
      </c>
      <c r="BD59" s="482" t="s">
        <v>72</v>
      </c>
      <c r="BE59" s="107" t="s">
        <v>73</v>
      </c>
      <c r="BF59" s="194" t="s">
        <v>72</v>
      </c>
      <c r="BG59" s="107" t="s">
        <v>73</v>
      </c>
      <c r="BH59" s="194" t="s">
        <v>72</v>
      </c>
      <c r="BI59" s="107" t="s">
        <v>73</v>
      </c>
      <c r="BJ59" s="194" t="s">
        <v>72</v>
      </c>
      <c r="BK59" s="107" t="s">
        <v>73</v>
      </c>
      <c r="BL59" s="194" t="s">
        <v>72</v>
      </c>
      <c r="BM59" s="107" t="s">
        <v>73</v>
      </c>
      <c r="BN59" s="98" t="s">
        <v>72</v>
      </c>
      <c r="BO59" s="99" t="s">
        <v>73</v>
      </c>
      <c r="BP59" s="419" t="s">
        <v>253</v>
      </c>
      <c r="BQ59" s="99" t="s">
        <v>73</v>
      </c>
    </row>
    <row r="60" spans="2:69" ht="50.1" customHeight="1">
      <c r="B60" s="201" t="str">
        <f>'1月'!$B$60</f>
        <v>工藤　翔平</v>
      </c>
      <c r="C60" s="146"/>
      <c r="D60" s="185"/>
      <c r="E60" s="163"/>
      <c r="F60" s="162"/>
      <c r="G60" s="163"/>
      <c r="H60" s="162"/>
      <c r="I60" s="163"/>
      <c r="J60" s="162"/>
      <c r="K60" s="163"/>
      <c r="L60" s="162"/>
      <c r="M60" s="163"/>
      <c r="N60" s="162"/>
      <c r="O60" s="163"/>
      <c r="P60" s="162"/>
      <c r="Q60" s="163"/>
      <c r="R60" s="162"/>
      <c r="S60" s="163"/>
      <c r="T60" s="162"/>
      <c r="U60" s="163"/>
      <c r="V60" s="162"/>
      <c r="W60" s="163"/>
      <c r="X60" s="162"/>
      <c r="Y60" s="163"/>
      <c r="Z60" s="162"/>
      <c r="AA60" s="164"/>
      <c r="AB60" s="165"/>
      <c r="AC60" s="164"/>
      <c r="AD60" s="165"/>
      <c r="AE60" s="164"/>
      <c r="AF60" s="165"/>
      <c r="AG60" s="186"/>
      <c r="AH60" s="116"/>
      <c r="AI60" s="117"/>
      <c r="AJ60" s="118"/>
      <c r="AK60" s="117"/>
      <c r="AL60" s="118"/>
      <c r="AM60" s="117"/>
      <c r="AN60" s="118"/>
      <c r="AO60" s="117"/>
      <c r="AP60" s="118"/>
      <c r="AQ60" s="117"/>
      <c r="AR60" s="118"/>
      <c r="AS60" s="117"/>
      <c r="AT60" s="118"/>
      <c r="AU60" s="117"/>
      <c r="AV60" s="118"/>
      <c r="AW60" s="117"/>
      <c r="AX60" s="118"/>
      <c r="AY60" s="117"/>
      <c r="AZ60" s="118"/>
      <c r="BA60" s="117"/>
      <c r="BB60" s="118"/>
      <c r="BC60" s="117"/>
      <c r="BD60" s="118"/>
      <c r="BE60" s="166"/>
      <c r="BF60" s="167"/>
      <c r="BG60" s="166"/>
      <c r="BH60" s="167"/>
      <c r="BI60" s="166"/>
      <c r="BJ60" s="167"/>
      <c r="BK60" s="166"/>
      <c r="BL60" s="167"/>
      <c r="BM60" s="166"/>
      <c r="BN60" s="102">
        <f t="shared" ref="BN60:BO65" si="7">SUM(D60,F60,H60,J60,L60,N60,P60,R60,T60,V60,X60,Z60,AB60,AD60,AF60,AH60,AJ60,AL60,AN60,AP60,AR60,AT60,AV60,AX60,AZ60,BB60,BD60,BF60,BH60,BJ60,BL60)</f>
        <v>0</v>
      </c>
      <c r="BO60" s="47">
        <f t="shared" si="7"/>
        <v>0</v>
      </c>
      <c r="BP60" s="631">
        <f>INDEX('2月'!$B$4:$BQ$375,MATCH('3月'!B60,'2月'!$B$4:$B$375,0),67)+BN60</f>
        <v>2</v>
      </c>
      <c r="BQ60" s="702">
        <f>INDEX('2月'!$B$4:$BQ$375,MATCH('3月'!B60,'2月'!$B$4:$B$375,0),68)+BO60</f>
        <v>2</v>
      </c>
    </row>
    <row r="61" spans="2:69" ht="50.1" customHeight="1">
      <c r="B61" s="204" t="str">
        <f>'1月'!$B$61</f>
        <v>今野　友生</v>
      </c>
      <c r="C61" s="146"/>
      <c r="D61" s="185"/>
      <c r="E61" s="163"/>
      <c r="F61" s="118"/>
      <c r="G61" s="117"/>
      <c r="H61" s="118"/>
      <c r="I61" s="117"/>
      <c r="J61" s="167"/>
      <c r="K61" s="117"/>
      <c r="L61" s="118"/>
      <c r="M61" s="117"/>
      <c r="N61" s="118"/>
      <c r="O61" s="117"/>
      <c r="P61" s="118"/>
      <c r="Q61" s="117"/>
      <c r="R61" s="118"/>
      <c r="S61" s="117"/>
      <c r="T61" s="118"/>
      <c r="U61" s="117"/>
      <c r="V61" s="118"/>
      <c r="W61" s="117"/>
      <c r="X61" s="118"/>
      <c r="Y61" s="117"/>
      <c r="Z61" s="118"/>
      <c r="AA61" s="166"/>
      <c r="AB61" s="167"/>
      <c r="AC61" s="166"/>
      <c r="AD61" s="167"/>
      <c r="AE61" s="166"/>
      <c r="AF61" s="165"/>
      <c r="AG61" s="187"/>
      <c r="AH61" s="116"/>
      <c r="AI61" s="115"/>
      <c r="AJ61" s="114"/>
      <c r="AK61" s="115"/>
      <c r="AL61" s="114"/>
      <c r="AM61" s="115"/>
      <c r="AN61" s="114"/>
      <c r="AO61" s="115"/>
      <c r="AP61" s="114"/>
      <c r="AQ61" s="115"/>
      <c r="AR61" s="114"/>
      <c r="AS61" s="115"/>
      <c r="AT61" s="114"/>
      <c r="AU61" s="115"/>
      <c r="AV61" s="114"/>
      <c r="AW61" s="115"/>
      <c r="AX61" s="114"/>
      <c r="AY61" s="115"/>
      <c r="AZ61" s="114"/>
      <c r="BA61" s="115"/>
      <c r="BB61" s="114"/>
      <c r="BC61" s="115"/>
      <c r="BD61" s="114"/>
      <c r="BE61" s="160"/>
      <c r="BF61" s="161"/>
      <c r="BG61" s="160"/>
      <c r="BH61" s="161"/>
      <c r="BI61" s="160"/>
      <c r="BJ61" s="161"/>
      <c r="BK61" s="160"/>
      <c r="BL61" s="161"/>
      <c r="BM61" s="160"/>
      <c r="BN61" s="102">
        <f t="shared" si="7"/>
        <v>0</v>
      </c>
      <c r="BO61" s="47">
        <f t="shared" si="7"/>
        <v>0</v>
      </c>
      <c r="BP61" s="631">
        <f>INDEX('2月'!$B$4:$BQ$375,MATCH('3月'!B61,'2月'!$B$4:$B$375,0),67)+BN61</f>
        <v>0</v>
      </c>
      <c r="BQ61" s="702">
        <f>INDEX('2月'!$B$4:$BQ$375,MATCH('3月'!B61,'2月'!$B$4:$B$375,0),68)+BO61</f>
        <v>0</v>
      </c>
    </row>
    <row r="62" spans="2:69" ht="50.1" customHeight="1">
      <c r="B62" s="225" t="str">
        <f>'1月'!$B$62</f>
        <v>佐藤　真夏</v>
      </c>
      <c r="C62" s="146"/>
      <c r="D62" s="185"/>
      <c r="E62" s="163"/>
      <c r="F62" s="114"/>
      <c r="G62" s="115"/>
      <c r="H62" s="114"/>
      <c r="I62" s="115"/>
      <c r="J62" s="114"/>
      <c r="K62" s="115"/>
      <c r="L62" s="114"/>
      <c r="M62" s="115"/>
      <c r="N62" s="114"/>
      <c r="O62" s="115"/>
      <c r="P62" s="114"/>
      <c r="Q62" s="115"/>
      <c r="R62" s="114"/>
      <c r="S62" s="115"/>
      <c r="T62" s="114"/>
      <c r="U62" s="115"/>
      <c r="V62" s="114"/>
      <c r="W62" s="115"/>
      <c r="X62" s="114"/>
      <c r="Y62" s="115"/>
      <c r="Z62" s="114"/>
      <c r="AA62" s="160"/>
      <c r="AB62" s="161"/>
      <c r="AC62" s="160"/>
      <c r="AD62" s="161"/>
      <c r="AE62" s="160"/>
      <c r="AF62" s="165"/>
      <c r="AG62" s="188"/>
      <c r="AH62" s="116"/>
      <c r="AI62" s="117"/>
      <c r="AJ62" s="118"/>
      <c r="AK62" s="117"/>
      <c r="AL62" s="118"/>
      <c r="AM62" s="117"/>
      <c r="AN62" s="118"/>
      <c r="AO62" s="117"/>
      <c r="AP62" s="118"/>
      <c r="AQ62" s="117"/>
      <c r="AR62" s="118"/>
      <c r="AS62" s="117"/>
      <c r="AT62" s="118"/>
      <c r="AU62" s="117"/>
      <c r="AV62" s="118"/>
      <c r="AW62" s="117"/>
      <c r="AX62" s="118"/>
      <c r="AY62" s="117"/>
      <c r="AZ62" s="118"/>
      <c r="BA62" s="117"/>
      <c r="BB62" s="118"/>
      <c r="BC62" s="117"/>
      <c r="BD62" s="118"/>
      <c r="BE62" s="166"/>
      <c r="BF62" s="167"/>
      <c r="BG62" s="166"/>
      <c r="BH62" s="167"/>
      <c r="BI62" s="166"/>
      <c r="BJ62" s="167"/>
      <c r="BK62" s="166"/>
      <c r="BL62" s="167"/>
      <c r="BM62" s="166"/>
      <c r="BN62" s="102">
        <f t="shared" si="7"/>
        <v>0</v>
      </c>
      <c r="BO62" s="47">
        <f t="shared" si="7"/>
        <v>0</v>
      </c>
      <c r="BP62" s="631">
        <f>INDEX('2月'!$B$4:$BQ$375,MATCH('3月'!B62,'2月'!$B$4:$B$375,0),67)+BN62</f>
        <v>0</v>
      </c>
      <c r="BQ62" s="702">
        <f>INDEX('2月'!$B$4:$BQ$375,MATCH('3月'!B62,'2月'!$B$4:$B$375,0),68)+BO62</f>
        <v>0</v>
      </c>
    </row>
    <row r="63" spans="2:69" ht="50.1" customHeight="1">
      <c r="B63" s="201" t="str">
        <f>'1月'!$B$63</f>
        <v>西村　裕美</v>
      </c>
      <c r="C63" s="146"/>
      <c r="D63" s="196"/>
      <c r="E63" s="117"/>
      <c r="F63" s="118"/>
      <c r="G63" s="117"/>
      <c r="H63" s="118"/>
      <c r="I63" s="117"/>
      <c r="J63" s="167"/>
      <c r="K63" s="117"/>
      <c r="L63" s="118"/>
      <c r="M63" s="117"/>
      <c r="N63" s="118"/>
      <c r="O63" s="117"/>
      <c r="P63" s="118"/>
      <c r="Q63" s="117"/>
      <c r="R63" s="118"/>
      <c r="S63" s="117"/>
      <c r="T63" s="118"/>
      <c r="U63" s="117"/>
      <c r="V63" s="118"/>
      <c r="W63" s="117"/>
      <c r="X63" s="118"/>
      <c r="Y63" s="117"/>
      <c r="Z63" s="118"/>
      <c r="AA63" s="166"/>
      <c r="AB63" s="167"/>
      <c r="AC63" s="166"/>
      <c r="AD63" s="167"/>
      <c r="AE63" s="166"/>
      <c r="AF63" s="165"/>
      <c r="AG63" s="187"/>
      <c r="AH63" s="116"/>
      <c r="AI63" s="115"/>
      <c r="AJ63" s="114"/>
      <c r="AK63" s="115"/>
      <c r="AL63" s="114"/>
      <c r="AM63" s="115"/>
      <c r="AN63" s="114"/>
      <c r="AO63" s="115"/>
      <c r="AP63" s="114"/>
      <c r="AQ63" s="115"/>
      <c r="AR63" s="114"/>
      <c r="AS63" s="115"/>
      <c r="AT63" s="114"/>
      <c r="AU63" s="115"/>
      <c r="AV63" s="114"/>
      <c r="AW63" s="115"/>
      <c r="AX63" s="114"/>
      <c r="AY63" s="115"/>
      <c r="AZ63" s="114"/>
      <c r="BA63" s="115"/>
      <c r="BB63" s="114"/>
      <c r="BC63" s="115"/>
      <c r="BD63" s="114"/>
      <c r="BE63" s="160"/>
      <c r="BF63" s="161"/>
      <c r="BG63" s="160"/>
      <c r="BH63" s="161"/>
      <c r="BI63" s="160"/>
      <c r="BJ63" s="161"/>
      <c r="BK63" s="160"/>
      <c r="BL63" s="161"/>
      <c r="BM63" s="160"/>
      <c r="BN63" s="102">
        <f t="shared" si="7"/>
        <v>0</v>
      </c>
      <c r="BO63" s="47">
        <f t="shared" si="7"/>
        <v>0</v>
      </c>
      <c r="BP63" s="631">
        <f>INDEX('2月'!$B$4:$BQ$375,MATCH('3月'!B63,'2月'!$B$4:$B$375,0),67)+BN63</f>
        <v>0</v>
      </c>
      <c r="BQ63" s="702">
        <f>INDEX('2月'!$B$4:$BQ$375,MATCH('3月'!B63,'2月'!$B$4:$B$375,0),68)+BO63</f>
        <v>0</v>
      </c>
    </row>
    <row r="64" spans="2:69" ht="50.1" customHeight="1">
      <c r="B64" s="201" t="str">
        <f>'1月'!$B$64</f>
        <v>野﨑　浩士</v>
      </c>
      <c r="C64" s="146"/>
      <c r="D64" s="189"/>
      <c r="E64" s="169"/>
      <c r="F64" s="168"/>
      <c r="G64" s="169"/>
      <c r="H64" s="168"/>
      <c r="I64" s="169"/>
      <c r="J64" s="168"/>
      <c r="K64" s="169"/>
      <c r="L64" s="168"/>
      <c r="M64" s="169"/>
      <c r="N64" s="168"/>
      <c r="O64" s="169"/>
      <c r="P64" s="168"/>
      <c r="Q64" s="169"/>
      <c r="R64" s="168"/>
      <c r="S64" s="169"/>
      <c r="T64" s="168"/>
      <c r="U64" s="169"/>
      <c r="V64" s="168"/>
      <c r="W64" s="169"/>
      <c r="X64" s="168"/>
      <c r="Y64" s="169"/>
      <c r="Z64" s="168"/>
      <c r="AA64" s="170"/>
      <c r="AB64" s="171"/>
      <c r="AC64" s="170"/>
      <c r="AD64" s="171"/>
      <c r="AE64" s="170"/>
      <c r="AF64" s="165"/>
      <c r="AG64" s="190"/>
      <c r="AH64" s="116"/>
      <c r="AI64" s="117"/>
      <c r="AJ64" s="118"/>
      <c r="AK64" s="117"/>
      <c r="AL64" s="118"/>
      <c r="AM64" s="117"/>
      <c r="AN64" s="118"/>
      <c r="AO64" s="117"/>
      <c r="AP64" s="118"/>
      <c r="AQ64" s="117"/>
      <c r="AR64" s="118"/>
      <c r="AS64" s="117"/>
      <c r="AT64" s="118"/>
      <c r="AU64" s="117"/>
      <c r="AV64" s="118"/>
      <c r="AW64" s="117"/>
      <c r="AX64" s="118"/>
      <c r="AY64" s="117"/>
      <c r="AZ64" s="118"/>
      <c r="BA64" s="117"/>
      <c r="BB64" s="118"/>
      <c r="BC64" s="117"/>
      <c r="BD64" s="118"/>
      <c r="BE64" s="166"/>
      <c r="BF64" s="167"/>
      <c r="BG64" s="166"/>
      <c r="BH64" s="167"/>
      <c r="BI64" s="166"/>
      <c r="BJ64" s="167"/>
      <c r="BK64" s="166"/>
      <c r="BL64" s="167"/>
      <c r="BM64" s="166"/>
      <c r="BN64" s="102">
        <f t="shared" si="7"/>
        <v>0</v>
      </c>
      <c r="BO64" s="47">
        <f t="shared" si="7"/>
        <v>0</v>
      </c>
      <c r="BP64" s="631">
        <f>INDEX('2月'!$B$4:$BQ$375,MATCH('3月'!B64,'2月'!$B$4:$B$375,0),67)+BN64</f>
        <v>0</v>
      </c>
      <c r="BQ64" s="702">
        <f>INDEX('2月'!$B$4:$BQ$375,MATCH('3月'!B64,'2月'!$B$4:$B$375,0),68)+BO64</f>
        <v>0</v>
      </c>
    </row>
    <row r="65" spans="2:69" s="4" customFormat="1" ht="50.1" customHeight="1" thickBot="1">
      <c r="B65" s="202" t="str">
        <f>'1月'!$B$65</f>
        <v>武藤　雅子</v>
      </c>
      <c r="C65" s="147"/>
      <c r="D65" s="38"/>
      <c r="E65" s="20"/>
      <c r="F65" s="38"/>
      <c r="G65" s="20"/>
      <c r="H65" s="38"/>
      <c r="I65" s="20"/>
      <c r="J65" s="38"/>
      <c r="K65" s="20"/>
      <c r="L65" s="38"/>
      <c r="M65" s="20"/>
      <c r="N65" s="38"/>
      <c r="O65" s="20"/>
      <c r="P65" s="38"/>
      <c r="Q65" s="20"/>
      <c r="R65" s="38"/>
      <c r="S65" s="20"/>
      <c r="T65" s="38"/>
      <c r="U65" s="20"/>
      <c r="V65" s="38"/>
      <c r="W65" s="20"/>
      <c r="X65" s="38"/>
      <c r="Y65" s="20"/>
      <c r="Z65" s="38"/>
      <c r="AA65" s="20"/>
      <c r="AB65" s="38"/>
      <c r="AC65" s="20"/>
      <c r="AD65" s="38"/>
      <c r="AE65" s="20"/>
      <c r="AF65" s="38"/>
      <c r="AG65" s="21"/>
      <c r="AH65" s="38"/>
      <c r="AI65" s="20"/>
      <c r="AJ65" s="38"/>
      <c r="AK65" s="20"/>
      <c r="AL65" s="38"/>
      <c r="AM65" s="20"/>
      <c r="AN65" s="38"/>
      <c r="AO65" s="20"/>
      <c r="AP65" s="38"/>
      <c r="AQ65" s="20"/>
      <c r="AR65" s="38"/>
      <c r="AS65" s="20"/>
      <c r="AT65" s="38"/>
      <c r="AU65" s="20"/>
      <c r="AV65" s="38"/>
      <c r="AW65" s="20"/>
      <c r="AX65" s="38"/>
      <c r="AY65" s="20"/>
      <c r="AZ65" s="38"/>
      <c r="BA65" s="20"/>
      <c r="BB65" s="38"/>
      <c r="BC65" s="20"/>
      <c r="BD65" s="38"/>
      <c r="BE65" s="20"/>
      <c r="BF65" s="38"/>
      <c r="BG65" s="20"/>
      <c r="BH65" s="38"/>
      <c r="BI65" s="20"/>
      <c r="BJ65" s="38"/>
      <c r="BK65" s="21"/>
      <c r="BL65" s="38"/>
      <c r="BM65" s="21"/>
      <c r="BN65" s="102">
        <f t="shared" si="7"/>
        <v>0</v>
      </c>
      <c r="BO65" s="47">
        <f t="shared" si="7"/>
        <v>0</v>
      </c>
      <c r="BP65" s="631">
        <f>INDEX('2月'!$B$4:$BQ$375,MATCH('3月'!B65,'2月'!$B$4:$B$375,0),67)+BN65</f>
        <v>0</v>
      </c>
      <c r="BQ65" s="702">
        <f>INDEX('2月'!$B$4:$BQ$375,MATCH('3月'!B65,'2月'!$B$4:$B$375,0),68)+BO65</f>
        <v>0</v>
      </c>
    </row>
    <row r="66" spans="2:69" s="4" customFormat="1" ht="50.1" customHeight="1" thickBot="1">
      <c r="B66" s="119" t="s">
        <v>101</v>
      </c>
      <c r="C66" s="149"/>
      <c r="D66" s="39">
        <f t="shared" ref="D66:AG66" si="8">SUM(D60:D65)</f>
        <v>0</v>
      </c>
      <c r="E66" s="31">
        <f t="shared" si="8"/>
        <v>0</v>
      </c>
      <c r="F66" s="39">
        <f t="shared" si="8"/>
        <v>0</v>
      </c>
      <c r="G66" s="31">
        <f t="shared" si="8"/>
        <v>0</v>
      </c>
      <c r="H66" s="39">
        <f t="shared" si="8"/>
        <v>0</v>
      </c>
      <c r="I66" s="31">
        <f t="shared" si="8"/>
        <v>0</v>
      </c>
      <c r="J66" s="39">
        <f t="shared" si="8"/>
        <v>0</v>
      </c>
      <c r="K66" s="31">
        <f t="shared" si="8"/>
        <v>0</v>
      </c>
      <c r="L66" s="39">
        <f t="shared" si="8"/>
        <v>0</v>
      </c>
      <c r="M66" s="31">
        <f t="shared" si="8"/>
        <v>0</v>
      </c>
      <c r="N66" s="39">
        <f t="shared" si="8"/>
        <v>0</v>
      </c>
      <c r="O66" s="31">
        <f t="shared" si="8"/>
        <v>0</v>
      </c>
      <c r="P66" s="39">
        <f t="shared" si="8"/>
        <v>0</v>
      </c>
      <c r="Q66" s="31">
        <f t="shared" si="8"/>
        <v>0</v>
      </c>
      <c r="R66" s="39">
        <f t="shared" si="8"/>
        <v>0</v>
      </c>
      <c r="S66" s="31">
        <f t="shared" si="8"/>
        <v>0</v>
      </c>
      <c r="T66" s="39">
        <f t="shared" si="8"/>
        <v>0</v>
      </c>
      <c r="U66" s="31">
        <f t="shared" si="8"/>
        <v>0</v>
      </c>
      <c r="V66" s="39">
        <f t="shared" si="8"/>
        <v>0</v>
      </c>
      <c r="W66" s="31">
        <f t="shared" si="8"/>
        <v>0</v>
      </c>
      <c r="X66" s="39">
        <f t="shared" si="8"/>
        <v>0</v>
      </c>
      <c r="Y66" s="31">
        <f t="shared" si="8"/>
        <v>0</v>
      </c>
      <c r="Z66" s="39">
        <f t="shared" si="8"/>
        <v>0</v>
      </c>
      <c r="AA66" s="31">
        <f t="shared" si="8"/>
        <v>0</v>
      </c>
      <c r="AB66" s="39">
        <f t="shared" si="8"/>
        <v>0</v>
      </c>
      <c r="AC66" s="31">
        <f t="shared" si="8"/>
        <v>0</v>
      </c>
      <c r="AD66" s="39">
        <f t="shared" si="8"/>
        <v>0</v>
      </c>
      <c r="AE66" s="31">
        <f t="shared" si="8"/>
        <v>0</v>
      </c>
      <c r="AF66" s="39">
        <f t="shared" si="8"/>
        <v>0</v>
      </c>
      <c r="AG66" s="52">
        <f t="shared" si="8"/>
        <v>0</v>
      </c>
      <c r="AH66" s="39">
        <f t="shared" ref="AH66:BQ66" si="9">SUM(AH60:AH65)</f>
        <v>0</v>
      </c>
      <c r="AI66" s="31">
        <f t="shared" si="9"/>
        <v>0</v>
      </c>
      <c r="AJ66" s="39">
        <f t="shared" si="9"/>
        <v>0</v>
      </c>
      <c r="AK66" s="31">
        <f t="shared" si="9"/>
        <v>0</v>
      </c>
      <c r="AL66" s="39">
        <f t="shared" si="9"/>
        <v>0</v>
      </c>
      <c r="AM66" s="31">
        <f t="shared" si="9"/>
        <v>0</v>
      </c>
      <c r="AN66" s="39">
        <f t="shared" si="9"/>
        <v>0</v>
      </c>
      <c r="AO66" s="31">
        <f t="shared" si="9"/>
        <v>0</v>
      </c>
      <c r="AP66" s="39">
        <f t="shared" si="9"/>
        <v>0</v>
      </c>
      <c r="AQ66" s="31">
        <f t="shared" si="9"/>
        <v>0</v>
      </c>
      <c r="AR66" s="39">
        <f t="shared" si="9"/>
        <v>0</v>
      </c>
      <c r="AS66" s="31">
        <f t="shared" si="9"/>
        <v>0</v>
      </c>
      <c r="AT66" s="39">
        <f t="shared" si="9"/>
        <v>0</v>
      </c>
      <c r="AU66" s="31">
        <f t="shared" si="9"/>
        <v>0</v>
      </c>
      <c r="AV66" s="39">
        <f t="shared" si="9"/>
        <v>0</v>
      </c>
      <c r="AW66" s="31">
        <f t="shared" si="9"/>
        <v>0</v>
      </c>
      <c r="AX66" s="39">
        <f t="shared" si="9"/>
        <v>0</v>
      </c>
      <c r="AY66" s="31">
        <f t="shared" si="9"/>
        <v>0</v>
      </c>
      <c r="AZ66" s="39">
        <f t="shared" si="9"/>
        <v>0</v>
      </c>
      <c r="BA66" s="31">
        <f t="shared" si="9"/>
        <v>0</v>
      </c>
      <c r="BB66" s="39">
        <f t="shared" si="9"/>
        <v>0</v>
      </c>
      <c r="BC66" s="31">
        <f t="shared" si="9"/>
        <v>0</v>
      </c>
      <c r="BD66" s="39">
        <f t="shared" si="9"/>
        <v>0</v>
      </c>
      <c r="BE66" s="31">
        <f t="shared" si="9"/>
        <v>0</v>
      </c>
      <c r="BF66" s="39">
        <f t="shared" si="9"/>
        <v>0</v>
      </c>
      <c r="BG66" s="31">
        <f t="shared" si="9"/>
        <v>0</v>
      </c>
      <c r="BH66" s="39">
        <f t="shared" si="9"/>
        <v>0</v>
      </c>
      <c r="BI66" s="31">
        <f t="shared" si="9"/>
        <v>0</v>
      </c>
      <c r="BJ66" s="39">
        <f t="shared" si="9"/>
        <v>0</v>
      </c>
      <c r="BK66" s="41">
        <f t="shared" si="9"/>
        <v>0</v>
      </c>
      <c r="BL66" s="39">
        <f t="shared" si="9"/>
        <v>0</v>
      </c>
      <c r="BM66" s="41">
        <f t="shared" si="9"/>
        <v>0</v>
      </c>
      <c r="BN66" s="32">
        <f t="shared" si="9"/>
        <v>0</v>
      </c>
      <c r="BO66" s="40">
        <f t="shared" si="9"/>
        <v>0</v>
      </c>
      <c r="BP66" s="245">
        <f t="shared" si="9"/>
        <v>2</v>
      </c>
      <c r="BQ66" s="246">
        <f t="shared" si="9"/>
        <v>2</v>
      </c>
    </row>
    <row r="67" spans="2:69" ht="28.5" customHeight="1" thickBot="1">
      <c r="B67" s="120"/>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8"/>
      <c r="BL67" s="7"/>
      <c r="BM67" s="8"/>
      <c r="BN67" s="7"/>
      <c r="BO67" s="7"/>
    </row>
    <row r="68" spans="2:69" ht="24.75" customHeight="1">
      <c r="B68" s="743" t="s">
        <v>80</v>
      </c>
      <c r="C68" s="749">
        <f>COUNTIF(B71:B74,"*")</f>
        <v>3</v>
      </c>
      <c r="D68" s="751">
        <v>1</v>
      </c>
      <c r="E68" s="738"/>
      <c r="F68" s="737">
        <v>2</v>
      </c>
      <c r="G68" s="738"/>
      <c r="H68" s="737">
        <v>3</v>
      </c>
      <c r="I68" s="738"/>
      <c r="J68" s="737">
        <v>4</v>
      </c>
      <c r="K68" s="738"/>
      <c r="L68" s="737">
        <v>5</v>
      </c>
      <c r="M68" s="738"/>
      <c r="N68" s="737">
        <v>6</v>
      </c>
      <c r="O68" s="738"/>
      <c r="P68" s="737">
        <v>7</v>
      </c>
      <c r="Q68" s="738"/>
      <c r="R68" s="737">
        <v>8</v>
      </c>
      <c r="S68" s="738"/>
      <c r="T68" s="737">
        <v>9</v>
      </c>
      <c r="U68" s="738"/>
      <c r="V68" s="737">
        <v>10</v>
      </c>
      <c r="W68" s="738"/>
      <c r="X68" s="737">
        <v>11</v>
      </c>
      <c r="Y68" s="738"/>
      <c r="Z68" s="737">
        <v>12</v>
      </c>
      <c r="AA68" s="738"/>
      <c r="AB68" s="737">
        <v>13</v>
      </c>
      <c r="AC68" s="738"/>
      <c r="AD68" s="737">
        <v>14</v>
      </c>
      <c r="AE68" s="738"/>
      <c r="AF68" s="737">
        <v>15</v>
      </c>
      <c r="AG68" s="784"/>
      <c r="AH68" s="751">
        <v>16</v>
      </c>
      <c r="AI68" s="738"/>
      <c r="AJ68" s="737">
        <v>17</v>
      </c>
      <c r="AK68" s="738"/>
      <c r="AL68" s="737">
        <v>18</v>
      </c>
      <c r="AM68" s="738"/>
      <c r="AN68" s="737">
        <v>19</v>
      </c>
      <c r="AO68" s="738"/>
      <c r="AP68" s="737">
        <v>20</v>
      </c>
      <c r="AQ68" s="738"/>
      <c r="AR68" s="737">
        <v>21</v>
      </c>
      <c r="AS68" s="738"/>
      <c r="AT68" s="737">
        <v>22</v>
      </c>
      <c r="AU68" s="738"/>
      <c r="AV68" s="737">
        <v>23</v>
      </c>
      <c r="AW68" s="738"/>
      <c r="AX68" s="737">
        <v>24</v>
      </c>
      <c r="AY68" s="738"/>
      <c r="AZ68" s="737">
        <v>25</v>
      </c>
      <c r="BA68" s="738"/>
      <c r="BB68" s="737">
        <v>26</v>
      </c>
      <c r="BC68" s="738"/>
      <c r="BD68" s="737">
        <v>27</v>
      </c>
      <c r="BE68" s="738"/>
      <c r="BF68" s="737">
        <v>28</v>
      </c>
      <c r="BG68" s="738"/>
      <c r="BH68" s="737">
        <v>29</v>
      </c>
      <c r="BI68" s="738"/>
      <c r="BJ68" s="737">
        <v>30</v>
      </c>
      <c r="BK68" s="738"/>
      <c r="BL68" s="741">
        <v>31</v>
      </c>
      <c r="BM68" s="741"/>
      <c r="BN68" s="738" t="s">
        <v>251</v>
      </c>
      <c r="BO68" s="760"/>
      <c r="BP68" s="763" t="s">
        <v>354</v>
      </c>
      <c r="BQ68" s="788"/>
    </row>
    <row r="69" spans="2:69" ht="24.75" customHeight="1">
      <c r="B69" s="744"/>
      <c r="C69" s="747"/>
      <c r="D69" s="752" t="str">
        <f>D2</f>
        <v>土</v>
      </c>
      <c r="E69" s="740"/>
      <c r="F69" s="739" t="str">
        <f>F2</f>
        <v>日</v>
      </c>
      <c r="G69" s="740"/>
      <c r="H69" s="739" t="str">
        <f>H2</f>
        <v>月</v>
      </c>
      <c r="I69" s="740"/>
      <c r="J69" s="739" t="str">
        <f>J2</f>
        <v>火</v>
      </c>
      <c r="K69" s="740"/>
      <c r="L69" s="739" t="str">
        <f>L2</f>
        <v>水</v>
      </c>
      <c r="M69" s="740"/>
      <c r="N69" s="739" t="str">
        <f>N2</f>
        <v>木</v>
      </c>
      <c r="O69" s="740"/>
      <c r="P69" s="739" t="str">
        <f>P2</f>
        <v>金</v>
      </c>
      <c r="Q69" s="740"/>
      <c r="R69" s="739" t="str">
        <f>R2</f>
        <v>土</v>
      </c>
      <c r="S69" s="740"/>
      <c r="T69" s="739" t="str">
        <f>T2</f>
        <v>日</v>
      </c>
      <c r="U69" s="740"/>
      <c r="V69" s="739" t="str">
        <f>V2</f>
        <v>月</v>
      </c>
      <c r="W69" s="740"/>
      <c r="X69" s="739" t="str">
        <f>X2</f>
        <v>火</v>
      </c>
      <c r="Y69" s="740"/>
      <c r="Z69" s="739" t="str">
        <f>Z2</f>
        <v>水</v>
      </c>
      <c r="AA69" s="740"/>
      <c r="AB69" s="739" t="str">
        <f>AB2</f>
        <v>木</v>
      </c>
      <c r="AC69" s="740"/>
      <c r="AD69" s="739" t="str">
        <f>AD2</f>
        <v>金</v>
      </c>
      <c r="AE69" s="740"/>
      <c r="AF69" s="739" t="str">
        <f>AF2</f>
        <v>土</v>
      </c>
      <c r="AG69" s="740"/>
      <c r="AH69" s="786" t="str">
        <f>AH2</f>
        <v>日</v>
      </c>
      <c r="AI69" s="767"/>
      <c r="AJ69" s="770" t="str">
        <f>AJ2</f>
        <v>月</v>
      </c>
      <c r="AK69" s="770"/>
      <c r="AL69" s="770" t="str">
        <f>AL2</f>
        <v>火</v>
      </c>
      <c r="AM69" s="770"/>
      <c r="AN69" s="770" t="str">
        <f>AN2</f>
        <v>水</v>
      </c>
      <c r="AO69" s="770"/>
      <c r="AP69" s="770" t="str">
        <f>AP2</f>
        <v>木</v>
      </c>
      <c r="AQ69" s="770"/>
      <c r="AR69" s="770" t="str">
        <f>AR2</f>
        <v>金</v>
      </c>
      <c r="AS69" s="770"/>
      <c r="AT69" s="770" t="str">
        <f>AT2</f>
        <v>土</v>
      </c>
      <c r="AU69" s="770"/>
      <c r="AV69" s="770" t="str">
        <f>AV2</f>
        <v>日</v>
      </c>
      <c r="AW69" s="770"/>
      <c r="AX69" s="770" t="str">
        <f>AX2</f>
        <v>月</v>
      </c>
      <c r="AY69" s="770"/>
      <c r="AZ69" s="770" t="str">
        <f>AZ2</f>
        <v>火</v>
      </c>
      <c r="BA69" s="770"/>
      <c r="BB69" s="770" t="str">
        <f>BB2</f>
        <v>水</v>
      </c>
      <c r="BC69" s="770"/>
      <c r="BD69" s="770" t="str">
        <f>BD2</f>
        <v>木</v>
      </c>
      <c r="BE69" s="770"/>
      <c r="BF69" s="770" t="str">
        <f>BF2</f>
        <v>金</v>
      </c>
      <c r="BG69" s="770"/>
      <c r="BH69" s="770" t="str">
        <f>BH2</f>
        <v>土</v>
      </c>
      <c r="BI69" s="770"/>
      <c r="BJ69" s="770" t="str">
        <f>BJ2</f>
        <v>日</v>
      </c>
      <c r="BK69" s="770"/>
      <c r="BL69" s="770" t="str">
        <f>BL2</f>
        <v>月</v>
      </c>
      <c r="BM69" s="770"/>
      <c r="BN69" s="761"/>
      <c r="BO69" s="762"/>
      <c r="BP69" s="789"/>
      <c r="BQ69" s="790"/>
    </row>
    <row r="70" spans="2:69" ht="24.95" customHeight="1" thickBot="1">
      <c r="B70" s="748"/>
      <c r="C70" s="750"/>
      <c r="D70" s="92" t="s">
        <v>72</v>
      </c>
      <c r="E70" s="93" t="s">
        <v>73</v>
      </c>
      <c r="F70" s="92" t="s">
        <v>72</v>
      </c>
      <c r="G70" s="93" t="s">
        <v>73</v>
      </c>
      <c r="H70" s="92" t="s">
        <v>72</v>
      </c>
      <c r="I70" s="93" t="s">
        <v>73</v>
      </c>
      <c r="J70" s="92" t="s">
        <v>72</v>
      </c>
      <c r="K70" s="93" t="s">
        <v>73</v>
      </c>
      <c r="L70" s="92" t="s">
        <v>72</v>
      </c>
      <c r="M70" s="93" t="s">
        <v>73</v>
      </c>
      <c r="N70" s="92" t="s">
        <v>72</v>
      </c>
      <c r="O70" s="93" t="s">
        <v>73</v>
      </c>
      <c r="P70" s="92" t="s">
        <v>72</v>
      </c>
      <c r="Q70" s="93" t="s">
        <v>73</v>
      </c>
      <c r="R70" s="92" t="s">
        <v>72</v>
      </c>
      <c r="S70" s="93" t="s">
        <v>73</v>
      </c>
      <c r="T70" s="92" t="s">
        <v>72</v>
      </c>
      <c r="U70" s="93" t="s">
        <v>73</v>
      </c>
      <c r="V70" s="92" t="s">
        <v>72</v>
      </c>
      <c r="W70" s="93" t="s">
        <v>73</v>
      </c>
      <c r="X70" s="92" t="s">
        <v>72</v>
      </c>
      <c r="Y70" s="93" t="s">
        <v>73</v>
      </c>
      <c r="Z70" s="92" t="s">
        <v>72</v>
      </c>
      <c r="AA70" s="94" t="s">
        <v>73</v>
      </c>
      <c r="AB70" s="159" t="s">
        <v>72</v>
      </c>
      <c r="AC70" s="94" t="s">
        <v>73</v>
      </c>
      <c r="AD70" s="159" t="s">
        <v>72</v>
      </c>
      <c r="AE70" s="94" t="s">
        <v>73</v>
      </c>
      <c r="AF70" s="159" t="s">
        <v>72</v>
      </c>
      <c r="AG70" s="94" t="s">
        <v>73</v>
      </c>
      <c r="AH70" s="92" t="s">
        <v>72</v>
      </c>
      <c r="AI70" s="93" t="s">
        <v>73</v>
      </c>
      <c r="AJ70" s="92" t="s">
        <v>72</v>
      </c>
      <c r="AK70" s="93" t="s">
        <v>73</v>
      </c>
      <c r="AL70" s="92" t="s">
        <v>72</v>
      </c>
      <c r="AM70" s="93" t="s">
        <v>73</v>
      </c>
      <c r="AN70" s="92" t="s">
        <v>72</v>
      </c>
      <c r="AO70" s="93" t="s">
        <v>73</v>
      </c>
      <c r="AP70" s="92" t="s">
        <v>72</v>
      </c>
      <c r="AQ70" s="93" t="s">
        <v>73</v>
      </c>
      <c r="AR70" s="92" t="s">
        <v>72</v>
      </c>
      <c r="AS70" s="93" t="s">
        <v>73</v>
      </c>
      <c r="AT70" s="92" t="s">
        <v>72</v>
      </c>
      <c r="AU70" s="93" t="s">
        <v>73</v>
      </c>
      <c r="AV70" s="92" t="s">
        <v>72</v>
      </c>
      <c r="AW70" s="93" t="s">
        <v>73</v>
      </c>
      <c r="AX70" s="92" t="s">
        <v>72</v>
      </c>
      <c r="AY70" s="93" t="s">
        <v>73</v>
      </c>
      <c r="AZ70" s="92" t="s">
        <v>72</v>
      </c>
      <c r="BA70" s="93" t="s">
        <v>73</v>
      </c>
      <c r="BB70" s="92" t="s">
        <v>72</v>
      </c>
      <c r="BC70" s="93" t="s">
        <v>73</v>
      </c>
      <c r="BD70" s="92" t="s">
        <v>72</v>
      </c>
      <c r="BE70" s="94" t="s">
        <v>73</v>
      </c>
      <c r="BF70" s="159" t="s">
        <v>72</v>
      </c>
      <c r="BG70" s="94" t="s">
        <v>73</v>
      </c>
      <c r="BH70" s="159" t="s">
        <v>72</v>
      </c>
      <c r="BI70" s="94" t="s">
        <v>73</v>
      </c>
      <c r="BJ70" s="159" t="s">
        <v>72</v>
      </c>
      <c r="BK70" s="94" t="s">
        <v>73</v>
      </c>
      <c r="BL70" s="159" t="s">
        <v>72</v>
      </c>
      <c r="BM70" s="94" t="s">
        <v>73</v>
      </c>
      <c r="BN70" s="95" t="s">
        <v>72</v>
      </c>
      <c r="BO70" s="96" t="s">
        <v>73</v>
      </c>
      <c r="BP70" s="234" t="s">
        <v>253</v>
      </c>
      <c r="BQ70" s="235" t="s">
        <v>73</v>
      </c>
    </row>
    <row r="71" spans="2:69" s="6" customFormat="1" ht="50.1" customHeight="1" thickTop="1">
      <c r="B71" s="202" t="str">
        <f>'1月'!$B$71</f>
        <v>舘　博美</v>
      </c>
      <c r="C71" s="145"/>
      <c r="D71" s="35"/>
      <c r="E71" s="36"/>
      <c r="F71" s="35"/>
      <c r="G71" s="36"/>
      <c r="H71" s="35"/>
      <c r="I71" s="36"/>
      <c r="J71" s="35"/>
      <c r="K71" s="36"/>
      <c r="L71" s="35"/>
      <c r="M71" s="36"/>
      <c r="N71" s="35"/>
      <c r="O71" s="36"/>
      <c r="P71" s="35"/>
      <c r="Q71" s="36"/>
      <c r="R71" s="35"/>
      <c r="S71" s="36"/>
      <c r="T71" s="35"/>
      <c r="U71" s="36"/>
      <c r="V71" s="35"/>
      <c r="W71" s="36"/>
      <c r="X71" s="35"/>
      <c r="Y71" s="36"/>
      <c r="Z71" s="35"/>
      <c r="AA71" s="36"/>
      <c r="AB71" s="35"/>
      <c r="AC71" s="36"/>
      <c r="AD71" s="35"/>
      <c r="AE71" s="36"/>
      <c r="AF71" s="35"/>
      <c r="AG71" s="10"/>
      <c r="AH71" s="35"/>
      <c r="AI71" s="36"/>
      <c r="AJ71" s="35"/>
      <c r="AK71" s="36"/>
      <c r="AL71" s="35"/>
      <c r="AM71" s="36"/>
      <c r="AN71" s="35"/>
      <c r="AO71" s="36"/>
      <c r="AP71" s="35"/>
      <c r="AQ71" s="36"/>
      <c r="AR71" s="35"/>
      <c r="AS71" s="36"/>
      <c r="AT71" s="35"/>
      <c r="AU71" s="36"/>
      <c r="AV71" s="35"/>
      <c r="AW71" s="36"/>
      <c r="AX71" s="35"/>
      <c r="AY71" s="36"/>
      <c r="AZ71" s="35"/>
      <c r="BA71" s="36"/>
      <c r="BB71" s="35"/>
      <c r="BC71" s="36"/>
      <c r="BD71" s="35"/>
      <c r="BE71" s="36"/>
      <c r="BF71" s="35"/>
      <c r="BG71" s="36"/>
      <c r="BH71" s="35"/>
      <c r="BI71" s="36"/>
      <c r="BJ71" s="35"/>
      <c r="BK71" s="10"/>
      <c r="BL71" s="178"/>
      <c r="BM71" s="178"/>
      <c r="BN71" s="102">
        <f t="shared" ref="BN71:BO74" si="10">SUM(D71,F71,H71,J71,L71,N71,P71,R71,T71,V71,X71,Z71,AB71,AD71,AF71,AH71,AJ71,AL71,AN71,AP71,AR71,AT71,AV71,AX71,AZ71,BB71,BD71,BF71,BH71,BJ71,BL71)</f>
        <v>0</v>
      </c>
      <c r="BO71" s="47">
        <f t="shared" si="10"/>
        <v>0</v>
      </c>
      <c r="BP71" s="631">
        <f>INDEX('2月'!$B$4:$BQ$375,MATCH('3月'!B71,'2月'!$B$4:$B$375,0),67)+BN71</f>
        <v>3</v>
      </c>
      <c r="BQ71" s="702">
        <f>INDEX('2月'!$B$4:$BQ$375,MATCH('3月'!B71,'2月'!$B$4:$B$375,0),68)+BO71</f>
        <v>6</v>
      </c>
    </row>
    <row r="72" spans="2:69" s="6" customFormat="1" ht="50.1" customHeight="1">
      <c r="B72" s="201" t="str">
        <f>'1月'!$B$72</f>
        <v>上野　喜幸</v>
      </c>
      <c r="C72" s="146"/>
      <c r="D72" s="37"/>
      <c r="E72" s="14"/>
      <c r="F72" s="37"/>
      <c r="G72" s="14"/>
      <c r="H72" s="37"/>
      <c r="I72" s="14"/>
      <c r="J72" s="37"/>
      <c r="K72" s="14"/>
      <c r="L72" s="37"/>
      <c r="M72" s="14"/>
      <c r="N72" s="37"/>
      <c r="O72" s="14"/>
      <c r="P72" s="37"/>
      <c r="Q72" s="14"/>
      <c r="R72" s="37"/>
      <c r="S72" s="14"/>
      <c r="T72" s="37"/>
      <c r="U72" s="14"/>
      <c r="V72" s="37"/>
      <c r="W72" s="14"/>
      <c r="X72" s="37"/>
      <c r="Y72" s="14"/>
      <c r="Z72" s="37"/>
      <c r="AA72" s="14"/>
      <c r="AB72" s="37"/>
      <c r="AC72" s="14"/>
      <c r="AD72" s="37"/>
      <c r="AE72" s="14"/>
      <c r="AF72" s="37"/>
      <c r="AG72" s="15"/>
      <c r="AH72" s="37"/>
      <c r="AI72" s="14"/>
      <c r="AJ72" s="37"/>
      <c r="AK72" s="14"/>
      <c r="AL72" s="37"/>
      <c r="AM72" s="14"/>
      <c r="AN72" s="37"/>
      <c r="AO72" s="14"/>
      <c r="AP72" s="37"/>
      <c r="AQ72" s="14"/>
      <c r="AR72" s="37"/>
      <c r="AS72" s="14"/>
      <c r="AT72" s="37"/>
      <c r="AU72" s="14"/>
      <c r="AV72" s="37"/>
      <c r="AW72" s="14"/>
      <c r="AX72" s="37"/>
      <c r="AY72" s="14"/>
      <c r="AZ72" s="37"/>
      <c r="BA72" s="14"/>
      <c r="BB72" s="37"/>
      <c r="BC72" s="14"/>
      <c r="BD72" s="37"/>
      <c r="BE72" s="14"/>
      <c r="BF72" s="37"/>
      <c r="BG72" s="14"/>
      <c r="BH72" s="37"/>
      <c r="BI72" s="14"/>
      <c r="BJ72" s="37"/>
      <c r="BK72" s="15"/>
      <c r="BL72" s="180"/>
      <c r="BM72" s="180"/>
      <c r="BN72" s="102">
        <f t="shared" si="10"/>
        <v>0</v>
      </c>
      <c r="BO72" s="47">
        <f t="shared" si="10"/>
        <v>0</v>
      </c>
      <c r="BP72" s="631">
        <f>INDEX('2月'!$B$4:$BQ$375,MATCH('3月'!B72,'2月'!$B$4:$B$375,0),67)+BN72</f>
        <v>0</v>
      </c>
      <c r="BQ72" s="702">
        <f>INDEX('2月'!$B$4:$BQ$375,MATCH('3月'!B72,'2月'!$B$4:$B$375,0),68)+BO72</f>
        <v>0</v>
      </c>
    </row>
    <row r="73" spans="2:69" s="6" customFormat="1" ht="50.1" customHeight="1">
      <c r="B73" s="201" t="str">
        <f>'1月'!$B$73</f>
        <v>早川　政子</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si="10"/>
        <v>0</v>
      </c>
      <c r="BO73" s="47">
        <f t="shared" si="10"/>
        <v>0</v>
      </c>
      <c r="BP73" s="631">
        <f>INDEX('2月'!$B$4:$BQ$375,MATCH('3月'!B73,'2月'!$B$4:$B$375,0),67)+BN73</f>
        <v>0</v>
      </c>
      <c r="BQ73" s="702">
        <f>INDEX('2月'!$B$4:$BQ$375,MATCH('3月'!B73,'2月'!$B$4:$B$375,0),68)+BO73</f>
        <v>0</v>
      </c>
    </row>
    <row r="74" spans="2:69" ht="50.1" customHeight="1" thickBot="1">
      <c r="B74" s="155">
        <f>'1月'!$B$74</f>
        <v>0</v>
      </c>
      <c r="C74" s="147"/>
      <c r="D74" s="38"/>
      <c r="E74" s="20"/>
      <c r="F74" s="38"/>
      <c r="G74" s="20"/>
      <c r="H74" s="38"/>
      <c r="I74" s="20"/>
      <c r="J74" s="38"/>
      <c r="K74" s="20"/>
      <c r="L74" s="38"/>
      <c r="M74" s="20"/>
      <c r="N74" s="38"/>
      <c r="O74" s="20"/>
      <c r="P74" s="38"/>
      <c r="Q74" s="20"/>
      <c r="R74" s="38"/>
      <c r="S74" s="20"/>
      <c r="T74" s="38"/>
      <c r="U74" s="20"/>
      <c r="V74" s="38"/>
      <c r="W74" s="20"/>
      <c r="X74" s="38"/>
      <c r="Y74" s="20"/>
      <c r="Z74" s="38"/>
      <c r="AA74" s="20"/>
      <c r="AB74" s="38"/>
      <c r="AC74" s="20"/>
      <c r="AD74" s="38"/>
      <c r="AE74" s="20"/>
      <c r="AF74" s="38"/>
      <c r="AG74" s="21"/>
      <c r="AH74" s="38"/>
      <c r="AI74" s="20"/>
      <c r="AJ74" s="38"/>
      <c r="AK74" s="20"/>
      <c r="AL74" s="38"/>
      <c r="AM74" s="20"/>
      <c r="AN74" s="38"/>
      <c r="AO74" s="20"/>
      <c r="AP74" s="38"/>
      <c r="AQ74" s="20"/>
      <c r="AR74" s="38"/>
      <c r="AS74" s="20"/>
      <c r="AT74" s="38"/>
      <c r="AU74" s="20"/>
      <c r="AV74" s="38"/>
      <c r="AW74" s="20"/>
      <c r="AX74" s="38"/>
      <c r="AY74" s="20"/>
      <c r="AZ74" s="38"/>
      <c r="BA74" s="20"/>
      <c r="BB74" s="38"/>
      <c r="BC74" s="20"/>
      <c r="BD74" s="38"/>
      <c r="BE74" s="20"/>
      <c r="BF74" s="38"/>
      <c r="BG74" s="20"/>
      <c r="BH74" s="38"/>
      <c r="BI74" s="20"/>
      <c r="BJ74" s="38"/>
      <c r="BK74" s="21"/>
      <c r="BL74" s="181"/>
      <c r="BM74" s="181"/>
      <c r="BN74" s="102">
        <f t="shared" si="10"/>
        <v>0</v>
      </c>
      <c r="BO74" s="47">
        <f t="shared" si="10"/>
        <v>0</v>
      </c>
      <c r="BP74" s="631"/>
      <c r="BQ74" s="559"/>
    </row>
    <row r="75" spans="2:69" ht="36" customHeight="1" thickBot="1">
      <c r="B75" s="119" t="s">
        <v>101</v>
      </c>
      <c r="C75" s="151"/>
      <c r="D75" s="32">
        <f t="shared" ref="D75:BK75" si="11">SUM(D71:D74)</f>
        <v>0</v>
      </c>
      <c r="E75" s="31">
        <f t="shared" si="11"/>
        <v>0</v>
      </c>
      <c r="F75" s="39">
        <f t="shared" si="11"/>
        <v>0</v>
      </c>
      <c r="G75" s="31">
        <f t="shared" si="11"/>
        <v>0</v>
      </c>
      <c r="H75" s="39">
        <f t="shared" si="11"/>
        <v>0</v>
      </c>
      <c r="I75" s="31">
        <f t="shared" si="11"/>
        <v>0</v>
      </c>
      <c r="J75" s="39">
        <f t="shared" si="11"/>
        <v>0</v>
      </c>
      <c r="K75" s="31">
        <f t="shared" si="11"/>
        <v>0</v>
      </c>
      <c r="L75" s="39">
        <f t="shared" si="11"/>
        <v>0</v>
      </c>
      <c r="M75" s="31">
        <f t="shared" si="11"/>
        <v>0</v>
      </c>
      <c r="N75" s="39">
        <f t="shared" si="11"/>
        <v>0</v>
      </c>
      <c r="O75" s="31">
        <f t="shared" si="11"/>
        <v>0</v>
      </c>
      <c r="P75" s="39">
        <f t="shared" si="11"/>
        <v>0</v>
      </c>
      <c r="Q75" s="31">
        <f t="shared" si="11"/>
        <v>0</v>
      </c>
      <c r="R75" s="39">
        <f t="shared" si="11"/>
        <v>0</v>
      </c>
      <c r="S75" s="31">
        <f t="shared" si="11"/>
        <v>0</v>
      </c>
      <c r="T75" s="39">
        <f t="shared" si="11"/>
        <v>0</v>
      </c>
      <c r="U75" s="31">
        <f t="shared" si="11"/>
        <v>0</v>
      </c>
      <c r="V75" s="39">
        <f t="shared" si="11"/>
        <v>0</v>
      </c>
      <c r="W75" s="31">
        <f t="shared" si="11"/>
        <v>0</v>
      </c>
      <c r="X75" s="39">
        <f t="shared" si="11"/>
        <v>0</v>
      </c>
      <c r="Y75" s="31">
        <f t="shared" si="11"/>
        <v>0</v>
      </c>
      <c r="Z75" s="39">
        <f t="shared" si="11"/>
        <v>0</v>
      </c>
      <c r="AA75" s="31">
        <f t="shared" si="11"/>
        <v>0</v>
      </c>
      <c r="AB75" s="39">
        <f t="shared" si="11"/>
        <v>0</v>
      </c>
      <c r="AC75" s="31">
        <f t="shared" si="11"/>
        <v>0</v>
      </c>
      <c r="AD75" s="39">
        <f t="shared" si="11"/>
        <v>0</v>
      </c>
      <c r="AE75" s="31">
        <f t="shared" si="11"/>
        <v>0</v>
      </c>
      <c r="AF75" s="39">
        <f t="shared" si="11"/>
        <v>0</v>
      </c>
      <c r="AG75" s="41">
        <f t="shared" si="11"/>
        <v>0</v>
      </c>
      <c r="AH75" s="32">
        <f t="shared" si="11"/>
        <v>0</v>
      </c>
      <c r="AI75" s="31">
        <f t="shared" si="11"/>
        <v>0</v>
      </c>
      <c r="AJ75" s="39">
        <f t="shared" si="11"/>
        <v>0</v>
      </c>
      <c r="AK75" s="31">
        <f t="shared" si="11"/>
        <v>0</v>
      </c>
      <c r="AL75" s="39">
        <f t="shared" si="11"/>
        <v>0</v>
      </c>
      <c r="AM75" s="31">
        <f t="shared" si="11"/>
        <v>0</v>
      </c>
      <c r="AN75" s="39">
        <f t="shared" si="11"/>
        <v>0</v>
      </c>
      <c r="AO75" s="31">
        <f t="shared" si="11"/>
        <v>0</v>
      </c>
      <c r="AP75" s="39">
        <f t="shared" si="11"/>
        <v>0</v>
      </c>
      <c r="AQ75" s="31">
        <f t="shared" si="11"/>
        <v>0</v>
      </c>
      <c r="AR75" s="39">
        <f t="shared" si="11"/>
        <v>0</v>
      </c>
      <c r="AS75" s="31">
        <f t="shared" si="11"/>
        <v>0</v>
      </c>
      <c r="AT75" s="39">
        <f t="shared" si="11"/>
        <v>0</v>
      </c>
      <c r="AU75" s="31">
        <f t="shared" si="11"/>
        <v>0</v>
      </c>
      <c r="AV75" s="39">
        <f t="shared" si="11"/>
        <v>0</v>
      </c>
      <c r="AW75" s="31">
        <f t="shared" si="11"/>
        <v>0</v>
      </c>
      <c r="AX75" s="39">
        <f t="shared" si="11"/>
        <v>0</v>
      </c>
      <c r="AY75" s="31">
        <f t="shared" si="11"/>
        <v>0</v>
      </c>
      <c r="AZ75" s="39">
        <f t="shared" si="11"/>
        <v>0</v>
      </c>
      <c r="BA75" s="31">
        <f t="shared" si="11"/>
        <v>0</v>
      </c>
      <c r="BB75" s="39">
        <f t="shared" si="11"/>
        <v>0</v>
      </c>
      <c r="BC75" s="31">
        <f t="shared" si="11"/>
        <v>0</v>
      </c>
      <c r="BD75" s="39">
        <f t="shared" si="11"/>
        <v>0</v>
      </c>
      <c r="BE75" s="31">
        <f t="shared" si="11"/>
        <v>0</v>
      </c>
      <c r="BF75" s="39">
        <f t="shared" si="11"/>
        <v>0</v>
      </c>
      <c r="BG75" s="31">
        <f t="shared" si="11"/>
        <v>0</v>
      </c>
      <c r="BH75" s="39">
        <f t="shared" si="11"/>
        <v>0</v>
      </c>
      <c r="BI75" s="31">
        <f t="shared" si="11"/>
        <v>0</v>
      </c>
      <c r="BJ75" s="39">
        <f t="shared" si="11"/>
        <v>0</v>
      </c>
      <c r="BK75" s="41">
        <f t="shared" si="11"/>
        <v>0</v>
      </c>
      <c r="BL75" s="182">
        <f t="shared" ref="BL75:BQ75" si="12">SUM(BL71:BL74)</f>
        <v>0</v>
      </c>
      <c r="BM75" s="182">
        <f t="shared" si="12"/>
        <v>0</v>
      </c>
      <c r="BN75" s="32">
        <f t="shared" si="12"/>
        <v>0</v>
      </c>
      <c r="BO75" s="40">
        <f t="shared" si="12"/>
        <v>0</v>
      </c>
      <c r="BP75" s="245">
        <f t="shared" si="12"/>
        <v>3</v>
      </c>
      <c r="BQ75" s="246">
        <f t="shared" si="12"/>
        <v>6</v>
      </c>
    </row>
    <row r="76" spans="2:69" ht="27.75" customHeight="1" thickBot="1">
      <c r="B76" s="120"/>
      <c r="AG76" s="34"/>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34"/>
      <c r="BL76" s="7"/>
      <c r="BM76" s="34"/>
      <c r="BN76" s="7"/>
      <c r="BO76" s="7"/>
    </row>
    <row r="77" spans="2:69" ht="24.95" customHeight="1">
      <c r="B77" s="743" t="s">
        <v>81</v>
      </c>
      <c r="C77" s="749">
        <f>COUNTIF(B80:B88,"*")</f>
        <v>7</v>
      </c>
      <c r="D77" s="751">
        <v>1</v>
      </c>
      <c r="E77" s="738"/>
      <c r="F77" s="737">
        <v>2</v>
      </c>
      <c r="G77" s="738"/>
      <c r="H77" s="737">
        <v>3</v>
      </c>
      <c r="I77" s="738"/>
      <c r="J77" s="737">
        <v>4</v>
      </c>
      <c r="K77" s="738"/>
      <c r="L77" s="737">
        <v>5</v>
      </c>
      <c r="M77" s="738"/>
      <c r="N77" s="737">
        <v>6</v>
      </c>
      <c r="O77" s="738"/>
      <c r="P77" s="737">
        <v>7</v>
      </c>
      <c r="Q77" s="738"/>
      <c r="R77" s="737">
        <v>8</v>
      </c>
      <c r="S77" s="738"/>
      <c r="T77" s="737">
        <v>9</v>
      </c>
      <c r="U77" s="738"/>
      <c r="V77" s="737">
        <v>10</v>
      </c>
      <c r="W77" s="738"/>
      <c r="X77" s="737">
        <v>11</v>
      </c>
      <c r="Y77" s="738"/>
      <c r="Z77" s="737">
        <v>12</v>
      </c>
      <c r="AA77" s="738"/>
      <c r="AB77" s="737">
        <v>13</v>
      </c>
      <c r="AC77" s="738"/>
      <c r="AD77" s="737">
        <v>14</v>
      </c>
      <c r="AE77" s="738"/>
      <c r="AF77" s="737">
        <v>15</v>
      </c>
      <c r="AG77" s="784"/>
      <c r="AH77" s="741">
        <v>16</v>
      </c>
      <c r="AI77" s="741"/>
      <c r="AJ77" s="741">
        <v>17</v>
      </c>
      <c r="AK77" s="741"/>
      <c r="AL77" s="741">
        <v>18</v>
      </c>
      <c r="AM77" s="741"/>
      <c r="AN77" s="741">
        <v>19</v>
      </c>
      <c r="AO77" s="741"/>
      <c r="AP77" s="741">
        <v>20</v>
      </c>
      <c r="AQ77" s="741"/>
      <c r="AR77" s="741">
        <v>21</v>
      </c>
      <c r="AS77" s="741"/>
      <c r="AT77" s="741">
        <v>22</v>
      </c>
      <c r="AU77" s="741"/>
      <c r="AV77" s="741">
        <v>23</v>
      </c>
      <c r="AW77" s="741"/>
      <c r="AX77" s="741">
        <v>24</v>
      </c>
      <c r="AY77" s="741"/>
      <c r="AZ77" s="741">
        <v>25</v>
      </c>
      <c r="BA77" s="741"/>
      <c r="BB77" s="741">
        <v>26</v>
      </c>
      <c r="BC77" s="741"/>
      <c r="BD77" s="741">
        <v>27</v>
      </c>
      <c r="BE77" s="741"/>
      <c r="BF77" s="741">
        <v>28</v>
      </c>
      <c r="BG77" s="741"/>
      <c r="BH77" s="741">
        <v>29</v>
      </c>
      <c r="BI77" s="741"/>
      <c r="BJ77" s="741">
        <v>30</v>
      </c>
      <c r="BK77" s="741"/>
      <c r="BL77" s="741">
        <v>31</v>
      </c>
      <c r="BM77" s="741"/>
      <c r="BN77" s="738" t="s">
        <v>251</v>
      </c>
      <c r="BO77" s="760"/>
      <c r="BP77" s="771" t="s">
        <v>353</v>
      </c>
      <c r="BQ77" s="772"/>
    </row>
    <row r="78" spans="2:69" ht="24.95" customHeight="1">
      <c r="B78" s="744"/>
      <c r="C78" s="747"/>
      <c r="D78" s="752" t="str">
        <f>D2</f>
        <v>土</v>
      </c>
      <c r="E78" s="740"/>
      <c r="F78" s="739" t="str">
        <f>F2</f>
        <v>日</v>
      </c>
      <c r="G78" s="740"/>
      <c r="H78" s="739" t="str">
        <f>H2</f>
        <v>月</v>
      </c>
      <c r="I78" s="740"/>
      <c r="J78" s="739" t="str">
        <f>J2</f>
        <v>火</v>
      </c>
      <c r="K78" s="740"/>
      <c r="L78" s="739" t="str">
        <f>L2</f>
        <v>水</v>
      </c>
      <c r="M78" s="740"/>
      <c r="N78" s="739" t="str">
        <f>N2</f>
        <v>木</v>
      </c>
      <c r="O78" s="740"/>
      <c r="P78" s="739" t="str">
        <f>P2</f>
        <v>金</v>
      </c>
      <c r="Q78" s="740"/>
      <c r="R78" s="739" t="str">
        <f>R2</f>
        <v>土</v>
      </c>
      <c r="S78" s="740"/>
      <c r="T78" s="739" t="str">
        <f>T2</f>
        <v>日</v>
      </c>
      <c r="U78" s="740"/>
      <c r="V78" s="739" t="str">
        <f>V2</f>
        <v>月</v>
      </c>
      <c r="W78" s="740"/>
      <c r="X78" s="739" t="str">
        <f>X2</f>
        <v>火</v>
      </c>
      <c r="Y78" s="740"/>
      <c r="Z78" s="739" t="str">
        <f>Z2</f>
        <v>水</v>
      </c>
      <c r="AA78" s="740"/>
      <c r="AB78" s="739" t="str">
        <f>AB2</f>
        <v>木</v>
      </c>
      <c r="AC78" s="740"/>
      <c r="AD78" s="739" t="str">
        <f>AD2</f>
        <v>金</v>
      </c>
      <c r="AE78" s="740"/>
      <c r="AF78" s="739" t="str">
        <f>AF2</f>
        <v>土</v>
      </c>
      <c r="AG78" s="740"/>
      <c r="AH78" s="786" t="str">
        <f>AH2</f>
        <v>日</v>
      </c>
      <c r="AI78" s="767"/>
      <c r="AJ78" s="770" t="str">
        <f>AJ2</f>
        <v>月</v>
      </c>
      <c r="AK78" s="770"/>
      <c r="AL78" s="770" t="str">
        <f>AL2</f>
        <v>火</v>
      </c>
      <c r="AM78" s="770"/>
      <c r="AN78" s="770" t="str">
        <f>AN2</f>
        <v>水</v>
      </c>
      <c r="AO78" s="770"/>
      <c r="AP78" s="770" t="str">
        <f>AP2</f>
        <v>木</v>
      </c>
      <c r="AQ78" s="770"/>
      <c r="AR78" s="770" t="str">
        <f>AR2</f>
        <v>金</v>
      </c>
      <c r="AS78" s="770"/>
      <c r="AT78" s="770" t="str">
        <f>AT2</f>
        <v>土</v>
      </c>
      <c r="AU78" s="770"/>
      <c r="AV78" s="770" t="str">
        <f>AV2</f>
        <v>日</v>
      </c>
      <c r="AW78" s="770"/>
      <c r="AX78" s="770" t="str">
        <f>AX2</f>
        <v>月</v>
      </c>
      <c r="AY78" s="770"/>
      <c r="AZ78" s="770" t="str">
        <f>AZ2</f>
        <v>火</v>
      </c>
      <c r="BA78" s="770"/>
      <c r="BB78" s="770" t="str">
        <f>BB2</f>
        <v>水</v>
      </c>
      <c r="BC78" s="770"/>
      <c r="BD78" s="770" t="str">
        <f>BD2</f>
        <v>木</v>
      </c>
      <c r="BE78" s="770"/>
      <c r="BF78" s="770" t="str">
        <f>BF2</f>
        <v>金</v>
      </c>
      <c r="BG78" s="770"/>
      <c r="BH78" s="770" t="str">
        <f>BH2</f>
        <v>土</v>
      </c>
      <c r="BI78" s="770"/>
      <c r="BJ78" s="770" t="str">
        <f>BJ2</f>
        <v>日</v>
      </c>
      <c r="BK78" s="770"/>
      <c r="BL78" s="770" t="str">
        <f>BL2</f>
        <v>月</v>
      </c>
      <c r="BM78" s="770"/>
      <c r="BN78" s="761"/>
      <c r="BO78" s="762"/>
      <c r="BP78" s="773"/>
      <c r="BQ78" s="774"/>
    </row>
    <row r="79" spans="2:69" ht="24.95" customHeight="1" thickBot="1">
      <c r="B79" s="748"/>
      <c r="C79" s="750"/>
      <c r="D79" s="92" t="s">
        <v>72</v>
      </c>
      <c r="E79" s="93" t="s">
        <v>73</v>
      </c>
      <c r="F79" s="92" t="s">
        <v>72</v>
      </c>
      <c r="G79" s="93" t="s">
        <v>73</v>
      </c>
      <c r="H79" s="92" t="s">
        <v>72</v>
      </c>
      <c r="I79" s="93" t="s">
        <v>73</v>
      </c>
      <c r="J79" s="92" t="s">
        <v>72</v>
      </c>
      <c r="K79" s="93" t="s">
        <v>73</v>
      </c>
      <c r="L79" s="92" t="s">
        <v>72</v>
      </c>
      <c r="M79" s="93" t="s">
        <v>73</v>
      </c>
      <c r="N79" s="92" t="s">
        <v>72</v>
      </c>
      <c r="O79" s="93" t="s">
        <v>73</v>
      </c>
      <c r="P79" s="92" t="s">
        <v>72</v>
      </c>
      <c r="Q79" s="93" t="s">
        <v>73</v>
      </c>
      <c r="R79" s="92" t="s">
        <v>72</v>
      </c>
      <c r="S79" s="93" t="s">
        <v>73</v>
      </c>
      <c r="T79" s="92" t="s">
        <v>72</v>
      </c>
      <c r="U79" s="93" t="s">
        <v>73</v>
      </c>
      <c r="V79" s="92" t="s">
        <v>72</v>
      </c>
      <c r="W79" s="93" t="s">
        <v>73</v>
      </c>
      <c r="X79" s="92" t="s">
        <v>72</v>
      </c>
      <c r="Y79" s="93" t="s">
        <v>73</v>
      </c>
      <c r="Z79" s="92" t="s">
        <v>72</v>
      </c>
      <c r="AA79" s="94" t="s">
        <v>73</v>
      </c>
      <c r="AB79" s="159" t="s">
        <v>72</v>
      </c>
      <c r="AC79" s="94" t="s">
        <v>73</v>
      </c>
      <c r="AD79" s="159" t="s">
        <v>72</v>
      </c>
      <c r="AE79" s="94" t="s">
        <v>73</v>
      </c>
      <c r="AF79" s="159" t="s">
        <v>72</v>
      </c>
      <c r="AG79" s="94" t="s">
        <v>73</v>
      </c>
      <c r="AH79" s="92" t="s">
        <v>72</v>
      </c>
      <c r="AI79" s="93" t="s">
        <v>73</v>
      </c>
      <c r="AJ79" s="92" t="s">
        <v>72</v>
      </c>
      <c r="AK79" s="93" t="s">
        <v>73</v>
      </c>
      <c r="AL79" s="92" t="s">
        <v>72</v>
      </c>
      <c r="AM79" s="93" t="s">
        <v>73</v>
      </c>
      <c r="AN79" s="92" t="s">
        <v>72</v>
      </c>
      <c r="AO79" s="93" t="s">
        <v>73</v>
      </c>
      <c r="AP79" s="92" t="s">
        <v>72</v>
      </c>
      <c r="AQ79" s="93" t="s">
        <v>73</v>
      </c>
      <c r="AR79" s="92" t="s">
        <v>72</v>
      </c>
      <c r="AS79" s="93" t="s">
        <v>73</v>
      </c>
      <c r="AT79" s="92" t="s">
        <v>72</v>
      </c>
      <c r="AU79" s="93" t="s">
        <v>73</v>
      </c>
      <c r="AV79" s="92" t="s">
        <v>72</v>
      </c>
      <c r="AW79" s="93" t="s">
        <v>73</v>
      </c>
      <c r="AX79" s="92" t="s">
        <v>72</v>
      </c>
      <c r="AY79" s="93" t="s">
        <v>73</v>
      </c>
      <c r="AZ79" s="92" t="s">
        <v>72</v>
      </c>
      <c r="BA79" s="93" t="s">
        <v>73</v>
      </c>
      <c r="BB79" s="92" t="s">
        <v>72</v>
      </c>
      <c r="BC79" s="93" t="s">
        <v>73</v>
      </c>
      <c r="BD79" s="92" t="s">
        <v>72</v>
      </c>
      <c r="BE79" s="94" t="s">
        <v>73</v>
      </c>
      <c r="BF79" s="159" t="s">
        <v>72</v>
      </c>
      <c r="BG79" s="94" t="s">
        <v>73</v>
      </c>
      <c r="BH79" s="159" t="s">
        <v>72</v>
      </c>
      <c r="BI79" s="94" t="s">
        <v>73</v>
      </c>
      <c r="BJ79" s="159" t="s">
        <v>72</v>
      </c>
      <c r="BK79" s="94" t="s">
        <v>73</v>
      </c>
      <c r="BL79" s="159" t="s">
        <v>72</v>
      </c>
      <c r="BM79" s="94" t="s">
        <v>73</v>
      </c>
      <c r="BN79" s="95" t="s">
        <v>72</v>
      </c>
      <c r="BO79" s="96" t="s">
        <v>73</v>
      </c>
      <c r="BP79" s="236" t="s">
        <v>252</v>
      </c>
      <c r="BQ79" s="237" t="s">
        <v>254</v>
      </c>
    </row>
    <row r="80" spans="2:69" s="6" customFormat="1" ht="50.1" customHeight="1" thickTop="1">
      <c r="B80" s="201" t="str">
        <f>'1月'!$B$80</f>
        <v>上村　聰子</v>
      </c>
      <c r="C80" s="146"/>
      <c r="D80" s="37"/>
      <c r="E80" s="14"/>
      <c r="F80" s="37"/>
      <c r="G80" s="14"/>
      <c r="H80" s="37"/>
      <c r="I80" s="14"/>
      <c r="J80" s="37"/>
      <c r="K80" s="14"/>
      <c r="L80" s="37"/>
      <c r="M80" s="14"/>
      <c r="N80" s="37"/>
      <c r="O80" s="14"/>
      <c r="P80" s="37"/>
      <c r="Q80" s="14"/>
      <c r="R80" s="37"/>
      <c r="S80" s="14"/>
      <c r="T80" s="37"/>
      <c r="U80" s="14"/>
      <c r="V80" s="37"/>
      <c r="W80" s="14"/>
      <c r="X80" s="37"/>
      <c r="Y80" s="14"/>
      <c r="Z80" s="37"/>
      <c r="AA80" s="14"/>
      <c r="AB80" s="37"/>
      <c r="AC80" s="14"/>
      <c r="AD80" s="37"/>
      <c r="AE80" s="14"/>
      <c r="AF80" s="37"/>
      <c r="AG80" s="15"/>
      <c r="AH80" s="37"/>
      <c r="AI80" s="14"/>
      <c r="AJ80" s="37"/>
      <c r="AK80" s="14"/>
      <c r="AL80" s="37"/>
      <c r="AM80" s="14"/>
      <c r="AN80" s="37"/>
      <c r="AO80" s="14"/>
      <c r="AP80" s="37"/>
      <c r="AQ80" s="14"/>
      <c r="AR80" s="37"/>
      <c r="AS80" s="14"/>
      <c r="AT80" s="37"/>
      <c r="AU80" s="14"/>
      <c r="AV80" s="37"/>
      <c r="AW80" s="14"/>
      <c r="AX80" s="37"/>
      <c r="AY80" s="14"/>
      <c r="AZ80" s="37"/>
      <c r="BA80" s="14"/>
      <c r="BB80" s="37"/>
      <c r="BC80" s="14"/>
      <c r="BD80" s="37"/>
      <c r="BE80" s="14"/>
      <c r="BF80" s="37"/>
      <c r="BG80" s="14"/>
      <c r="BH80" s="37"/>
      <c r="BI80" s="14"/>
      <c r="BJ80" s="37"/>
      <c r="BK80" s="15"/>
      <c r="BL80" s="37"/>
      <c r="BM80" s="15"/>
      <c r="BN80" s="102">
        <f>SUM(D80,F80,H80,J80,L80,N80,P80,R80,T80,V80,X80,Z80,AB80,AD80,AF80,AH80,AJ80,AL80,AN80,AP80,AR80,AT80,AV80,AX80,AZ80,BB80,BD80,BF80,BH80,BJ80,BL80)</f>
        <v>0</v>
      </c>
      <c r="BO80" s="47">
        <f>SUM(E80,G80,I80,K80,M80,O80,Q80,S80,U80,W80,Y80,AA80,AC80,AE80,AG80,AI80,AK80,AM80,AO80,AQ80,AS80,AU80,AW80,AY80,BA80,BC80,BE80,BG80,BI80,BK80,BM80)</f>
        <v>0</v>
      </c>
      <c r="BP80" s="631">
        <f>INDEX('2月'!$B$4:$BQ$375,MATCH('3月'!B80,'2月'!$B$4:$B$375,0),67)+BN80</f>
        <v>0</v>
      </c>
      <c r="BQ80" s="702">
        <f>INDEX('2月'!$B$4:$BQ$375,MATCH('3月'!B80,'2月'!$B$4:$B$375,0),68)+BO80</f>
        <v>0</v>
      </c>
    </row>
    <row r="81" spans="2:69" s="6" customFormat="1" ht="50.1" customHeight="1">
      <c r="B81" s="201" t="str">
        <f>'1月'!$B$81</f>
        <v>上村　巧弥</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BN87" si="13">SUM(D81,F81,H81,J81,L81,N81,P81,R81,T81,V81,X81,Z81,AB81,AD81,AF81,AH81,AJ81,AL81,AN81,AP81,AR81,AT81,AV81,AX81,AZ81,BB81,BD81,BF81,BH81,BJ81,BL81)</f>
        <v>0</v>
      </c>
      <c r="BO81" s="47">
        <f t="shared" ref="BO81:BO87" si="14">SUM(E81,G81,I81,K81,M81,O81,Q81,S81,U81,W81,Y81,AA81,AC81,AE81,AG81,AI81,AK81,AM81,AO81,AQ81,AS81,AU81,AW81,AY81,BA81,BC81,BE81,BG81,BI81,BK81,BM81)</f>
        <v>0</v>
      </c>
      <c r="BP81" s="631">
        <f>INDEX('2月'!$B$4:$BQ$375,MATCH('3月'!B81,'2月'!$B$4:$B$375,0),67)+BN81</f>
        <v>0</v>
      </c>
      <c r="BQ81" s="702">
        <f>INDEX('2月'!$B$4:$BQ$375,MATCH('3月'!B81,'2月'!$B$4:$B$375,0),68)+BO81</f>
        <v>0</v>
      </c>
    </row>
    <row r="82" spans="2:69" s="6" customFormat="1" ht="50.1" customHeight="1">
      <c r="B82" s="201" t="str">
        <f>'1月'!$B$82</f>
        <v>倉島　清子</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si="13"/>
        <v>0</v>
      </c>
      <c r="BO82" s="47">
        <f t="shared" si="14"/>
        <v>0</v>
      </c>
      <c r="BP82" s="631">
        <f>INDEX('2月'!$B$4:$BQ$375,MATCH('3月'!B82,'2月'!$B$4:$B$375,0),67)+BN82</f>
        <v>0</v>
      </c>
      <c r="BQ82" s="702">
        <f>INDEX('2月'!$B$4:$BQ$375,MATCH('3月'!B82,'2月'!$B$4:$B$375,0),68)+BO82</f>
        <v>0</v>
      </c>
    </row>
    <row r="83" spans="2:69" s="6" customFormat="1" ht="50.1" customHeight="1">
      <c r="B83" s="201" t="str">
        <f>'1月'!$B$83</f>
        <v>佐々木　史弥</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13"/>
        <v>0</v>
      </c>
      <c r="BO83" s="47">
        <f t="shared" si="14"/>
        <v>0</v>
      </c>
      <c r="BP83" s="631">
        <f>INDEX('2月'!$B$4:$BQ$375,MATCH('3月'!B83,'2月'!$B$4:$B$375,0),67)+BN83</f>
        <v>0</v>
      </c>
      <c r="BQ83" s="702">
        <f>INDEX('2月'!$B$4:$BQ$375,MATCH('3月'!B83,'2月'!$B$4:$B$375,0),68)+BO83</f>
        <v>0</v>
      </c>
    </row>
    <row r="84" spans="2:69" s="6" customFormat="1" ht="50.1" customHeight="1">
      <c r="B84" s="201" t="str">
        <f>'1月'!$B$84</f>
        <v>細越　加司子</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13"/>
        <v>0</v>
      </c>
      <c r="BO84" s="47">
        <f t="shared" si="14"/>
        <v>0</v>
      </c>
      <c r="BP84" s="631">
        <f>INDEX('2月'!$B$4:$BQ$375,MATCH('3月'!B84,'2月'!$B$4:$B$375,0),67)+BN84</f>
        <v>0</v>
      </c>
      <c r="BQ84" s="702">
        <f>INDEX('2月'!$B$4:$BQ$375,MATCH('3月'!B84,'2月'!$B$4:$B$375,0),68)+BO84</f>
        <v>0</v>
      </c>
    </row>
    <row r="85" spans="2:69" s="6" customFormat="1" ht="50.1" customHeight="1">
      <c r="B85" s="201" t="str">
        <f>'1月'!$B$85</f>
        <v>八重畑　美里</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13"/>
        <v>0</v>
      </c>
      <c r="BO85" s="47">
        <f t="shared" si="14"/>
        <v>0</v>
      </c>
      <c r="BP85" s="631">
        <f>INDEX('2月'!$B$4:$BQ$375,MATCH('3月'!B85,'2月'!$B$4:$B$375,0),67)+BN85</f>
        <v>0</v>
      </c>
      <c r="BQ85" s="702">
        <f>INDEX('2月'!$B$4:$BQ$375,MATCH('3月'!B85,'2月'!$B$4:$B$375,0),68)+BO85</f>
        <v>0</v>
      </c>
    </row>
    <row r="86" spans="2:69" s="6" customFormat="1" ht="50.1" customHeight="1">
      <c r="B86" s="201" t="str">
        <f>'1月'!$B$86</f>
        <v>山口　美幸</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13"/>
        <v>0</v>
      </c>
      <c r="BO86" s="47">
        <f t="shared" si="14"/>
        <v>0</v>
      </c>
      <c r="BP86" s="631">
        <f>INDEX('2月'!$B$4:$BQ$375,MATCH('3月'!B86,'2月'!$B$4:$B$375,0),67)+BN86</f>
        <v>2</v>
      </c>
      <c r="BQ86" s="702">
        <f>INDEX('2月'!$B$4:$BQ$375,MATCH('3月'!B86,'2月'!$B$4:$B$375,0),68)+BO86</f>
        <v>4</v>
      </c>
    </row>
    <row r="87" spans="2:69" s="6" customFormat="1" ht="45" customHeight="1">
      <c r="B87" s="201">
        <f>'1月'!$B$87</f>
        <v>0</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13"/>
        <v>0</v>
      </c>
      <c r="BO87" s="47">
        <f t="shared" si="14"/>
        <v>0</v>
      </c>
      <c r="BP87" s="631"/>
      <c r="BQ87" s="559"/>
    </row>
    <row r="88" spans="2:69" s="6" customFormat="1" ht="50.1" customHeight="1" thickBot="1">
      <c r="B88" s="154"/>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193"/>
      <c r="AI88" s="24"/>
      <c r="AJ88" s="193"/>
      <c r="AK88" s="24"/>
      <c r="AL88" s="193"/>
      <c r="AM88" s="24"/>
      <c r="AN88" s="193"/>
      <c r="AO88" s="24"/>
      <c r="AP88" s="193"/>
      <c r="AQ88" s="24"/>
      <c r="AR88" s="193"/>
      <c r="AS88" s="24"/>
      <c r="AT88" s="193"/>
      <c r="AU88" s="24"/>
      <c r="AV88" s="193"/>
      <c r="AW88" s="24"/>
      <c r="AX88" s="193"/>
      <c r="AY88" s="24"/>
      <c r="AZ88" s="193"/>
      <c r="BA88" s="24"/>
      <c r="BB88" s="193"/>
      <c r="BC88" s="24"/>
      <c r="BD88" s="193"/>
      <c r="BE88" s="24"/>
      <c r="BF88" s="193"/>
      <c r="BG88" s="24"/>
      <c r="BH88" s="193"/>
      <c r="BI88" s="24"/>
      <c r="BJ88" s="193"/>
      <c r="BK88" s="25"/>
      <c r="BL88" s="193"/>
      <c r="BM88" s="25"/>
      <c r="BN88" s="422"/>
      <c r="BO88" s="49"/>
      <c r="BP88" s="259"/>
      <c r="BQ88" s="265"/>
    </row>
    <row r="89" spans="2:69" ht="36" customHeight="1" thickBot="1">
      <c r="B89" s="119" t="s">
        <v>462</v>
      </c>
      <c r="C89" s="149"/>
      <c r="D89" s="39">
        <f t="shared" ref="D89:BM89" si="15">SUM(D80:D88)</f>
        <v>0</v>
      </c>
      <c r="E89" s="31">
        <f t="shared" si="15"/>
        <v>0</v>
      </c>
      <c r="F89" s="39">
        <f t="shared" si="15"/>
        <v>0</v>
      </c>
      <c r="G89" s="31">
        <f t="shared" si="15"/>
        <v>0</v>
      </c>
      <c r="H89" s="39">
        <f t="shared" si="15"/>
        <v>0</v>
      </c>
      <c r="I89" s="31">
        <f t="shared" si="15"/>
        <v>0</v>
      </c>
      <c r="J89" s="39">
        <f t="shared" si="15"/>
        <v>0</v>
      </c>
      <c r="K89" s="31">
        <f t="shared" si="15"/>
        <v>0</v>
      </c>
      <c r="L89" s="39">
        <f t="shared" si="15"/>
        <v>0</v>
      </c>
      <c r="M89" s="31">
        <f t="shared" si="15"/>
        <v>0</v>
      </c>
      <c r="N89" s="39">
        <f t="shared" si="15"/>
        <v>0</v>
      </c>
      <c r="O89" s="31">
        <f t="shared" si="15"/>
        <v>0</v>
      </c>
      <c r="P89" s="39">
        <f t="shared" si="15"/>
        <v>0</v>
      </c>
      <c r="Q89" s="31">
        <f t="shared" si="15"/>
        <v>0</v>
      </c>
      <c r="R89" s="39">
        <f t="shared" si="15"/>
        <v>0</v>
      </c>
      <c r="S89" s="31">
        <f t="shared" si="15"/>
        <v>0</v>
      </c>
      <c r="T89" s="39">
        <f t="shared" si="15"/>
        <v>0</v>
      </c>
      <c r="U89" s="31">
        <f t="shared" si="15"/>
        <v>0</v>
      </c>
      <c r="V89" s="39">
        <f t="shared" si="15"/>
        <v>0</v>
      </c>
      <c r="W89" s="31">
        <f t="shared" si="15"/>
        <v>0</v>
      </c>
      <c r="X89" s="39">
        <f t="shared" si="15"/>
        <v>0</v>
      </c>
      <c r="Y89" s="31">
        <f t="shared" si="15"/>
        <v>0</v>
      </c>
      <c r="Z89" s="39">
        <f t="shared" si="15"/>
        <v>0</v>
      </c>
      <c r="AA89" s="31">
        <f t="shared" si="15"/>
        <v>0</v>
      </c>
      <c r="AB89" s="39">
        <f t="shared" si="15"/>
        <v>0</v>
      </c>
      <c r="AC89" s="31">
        <f t="shared" si="15"/>
        <v>0</v>
      </c>
      <c r="AD89" s="39">
        <f t="shared" si="15"/>
        <v>0</v>
      </c>
      <c r="AE89" s="31">
        <f t="shared" si="15"/>
        <v>0</v>
      </c>
      <c r="AF89" s="39">
        <f t="shared" si="15"/>
        <v>0</v>
      </c>
      <c r="AG89" s="41">
        <f t="shared" si="15"/>
        <v>0</v>
      </c>
      <c r="AH89" s="39">
        <f t="shared" si="15"/>
        <v>0</v>
      </c>
      <c r="AI89" s="31">
        <f t="shared" si="15"/>
        <v>0</v>
      </c>
      <c r="AJ89" s="39">
        <f t="shared" si="15"/>
        <v>0</v>
      </c>
      <c r="AK89" s="31">
        <f t="shared" si="15"/>
        <v>0</v>
      </c>
      <c r="AL89" s="39">
        <f t="shared" si="15"/>
        <v>0</v>
      </c>
      <c r="AM89" s="31">
        <f t="shared" si="15"/>
        <v>0</v>
      </c>
      <c r="AN89" s="39">
        <f t="shared" si="15"/>
        <v>0</v>
      </c>
      <c r="AO89" s="31">
        <f t="shared" si="15"/>
        <v>0</v>
      </c>
      <c r="AP89" s="39">
        <f t="shared" si="15"/>
        <v>0</v>
      </c>
      <c r="AQ89" s="31">
        <f t="shared" si="15"/>
        <v>0</v>
      </c>
      <c r="AR89" s="39">
        <f t="shared" si="15"/>
        <v>0</v>
      </c>
      <c r="AS89" s="31">
        <f t="shared" si="15"/>
        <v>0</v>
      </c>
      <c r="AT89" s="39">
        <f t="shared" si="15"/>
        <v>0</v>
      </c>
      <c r="AU89" s="31">
        <f t="shared" si="15"/>
        <v>0</v>
      </c>
      <c r="AV89" s="39">
        <f t="shared" si="15"/>
        <v>0</v>
      </c>
      <c r="AW89" s="31">
        <f t="shared" si="15"/>
        <v>0</v>
      </c>
      <c r="AX89" s="39">
        <f t="shared" si="15"/>
        <v>0</v>
      </c>
      <c r="AY89" s="31">
        <f t="shared" si="15"/>
        <v>0</v>
      </c>
      <c r="AZ89" s="39">
        <f t="shared" si="15"/>
        <v>0</v>
      </c>
      <c r="BA89" s="31">
        <f t="shared" si="15"/>
        <v>0</v>
      </c>
      <c r="BB89" s="39">
        <f t="shared" si="15"/>
        <v>0</v>
      </c>
      <c r="BC89" s="31">
        <f t="shared" si="15"/>
        <v>0</v>
      </c>
      <c r="BD89" s="39">
        <f t="shared" si="15"/>
        <v>0</v>
      </c>
      <c r="BE89" s="31">
        <f t="shared" si="15"/>
        <v>0</v>
      </c>
      <c r="BF89" s="39">
        <f t="shared" si="15"/>
        <v>0</v>
      </c>
      <c r="BG89" s="31">
        <f t="shared" si="15"/>
        <v>0</v>
      </c>
      <c r="BH89" s="39">
        <f t="shared" si="15"/>
        <v>0</v>
      </c>
      <c r="BI89" s="31">
        <f t="shared" si="15"/>
        <v>0</v>
      </c>
      <c r="BJ89" s="39">
        <f t="shared" si="15"/>
        <v>0</v>
      </c>
      <c r="BK89" s="41">
        <f t="shared" si="15"/>
        <v>0</v>
      </c>
      <c r="BL89" s="39">
        <f t="shared" si="15"/>
        <v>0</v>
      </c>
      <c r="BM89" s="41">
        <f t="shared" si="15"/>
        <v>0</v>
      </c>
      <c r="BN89" s="32">
        <f>SUM(BN80:BN88)</f>
        <v>0</v>
      </c>
      <c r="BO89" s="40">
        <f>SUM(BO80:BO88)</f>
        <v>0</v>
      </c>
      <c r="BP89" s="245">
        <f>SUM(BP80:BP88)</f>
        <v>2</v>
      </c>
      <c r="BQ89" s="246">
        <f>SUM(BQ80:BQ88)</f>
        <v>4</v>
      </c>
    </row>
    <row r="90" spans="2:69" ht="27.75" customHeight="1" thickBot="1">
      <c r="B90" s="120"/>
      <c r="AG90" s="34"/>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34"/>
      <c r="BL90" s="7"/>
      <c r="BM90" s="34"/>
      <c r="BN90" s="71"/>
      <c r="BO90" s="7"/>
      <c r="BP90" s="238"/>
      <c r="BQ90" s="239"/>
    </row>
    <row r="91" spans="2:69" ht="24.95" customHeight="1">
      <c r="B91" s="743" t="s">
        <v>82</v>
      </c>
      <c r="C91" s="749">
        <f>COUNTIF(B94:B95,"*")</f>
        <v>1</v>
      </c>
      <c r="D91" s="751">
        <v>1</v>
      </c>
      <c r="E91" s="738"/>
      <c r="F91" s="737">
        <v>2</v>
      </c>
      <c r="G91" s="738"/>
      <c r="H91" s="737">
        <v>3</v>
      </c>
      <c r="I91" s="738"/>
      <c r="J91" s="737">
        <v>4</v>
      </c>
      <c r="K91" s="738"/>
      <c r="L91" s="737">
        <v>5</v>
      </c>
      <c r="M91" s="738"/>
      <c r="N91" s="737">
        <v>6</v>
      </c>
      <c r="O91" s="738"/>
      <c r="P91" s="737">
        <v>7</v>
      </c>
      <c r="Q91" s="738"/>
      <c r="R91" s="737">
        <v>8</v>
      </c>
      <c r="S91" s="738"/>
      <c r="T91" s="737">
        <v>9</v>
      </c>
      <c r="U91" s="738"/>
      <c r="V91" s="737">
        <v>10</v>
      </c>
      <c r="W91" s="738"/>
      <c r="X91" s="737">
        <v>11</v>
      </c>
      <c r="Y91" s="738"/>
      <c r="Z91" s="737">
        <v>12</v>
      </c>
      <c r="AA91" s="738"/>
      <c r="AB91" s="737">
        <v>13</v>
      </c>
      <c r="AC91" s="738"/>
      <c r="AD91" s="737">
        <v>14</v>
      </c>
      <c r="AE91" s="738"/>
      <c r="AF91" s="737">
        <v>15</v>
      </c>
      <c r="AG91" s="784"/>
      <c r="AH91" s="741">
        <v>16</v>
      </c>
      <c r="AI91" s="741"/>
      <c r="AJ91" s="741">
        <v>17</v>
      </c>
      <c r="AK91" s="741"/>
      <c r="AL91" s="741">
        <v>18</v>
      </c>
      <c r="AM91" s="741"/>
      <c r="AN91" s="741">
        <v>19</v>
      </c>
      <c r="AO91" s="741"/>
      <c r="AP91" s="741">
        <v>20</v>
      </c>
      <c r="AQ91" s="741"/>
      <c r="AR91" s="741">
        <v>21</v>
      </c>
      <c r="AS91" s="741"/>
      <c r="AT91" s="741">
        <v>22</v>
      </c>
      <c r="AU91" s="741"/>
      <c r="AV91" s="741">
        <v>23</v>
      </c>
      <c r="AW91" s="741"/>
      <c r="AX91" s="741">
        <v>24</v>
      </c>
      <c r="AY91" s="741"/>
      <c r="AZ91" s="741">
        <v>25</v>
      </c>
      <c r="BA91" s="741"/>
      <c r="BB91" s="741">
        <v>26</v>
      </c>
      <c r="BC91" s="741"/>
      <c r="BD91" s="741">
        <v>27</v>
      </c>
      <c r="BE91" s="741"/>
      <c r="BF91" s="741">
        <v>28</v>
      </c>
      <c r="BG91" s="741"/>
      <c r="BH91" s="741">
        <v>29</v>
      </c>
      <c r="BI91" s="741"/>
      <c r="BJ91" s="741">
        <v>30</v>
      </c>
      <c r="BK91" s="741"/>
      <c r="BL91" s="741">
        <v>31</v>
      </c>
      <c r="BM91" s="741"/>
      <c r="BN91" s="738" t="s">
        <v>251</v>
      </c>
      <c r="BO91" s="760"/>
      <c r="BP91" s="771" t="s">
        <v>353</v>
      </c>
      <c r="BQ91" s="772"/>
    </row>
    <row r="92" spans="2:69" ht="24.75" customHeight="1">
      <c r="B92" s="744"/>
      <c r="C92" s="747"/>
      <c r="D92" s="752" t="str">
        <f>D2</f>
        <v>土</v>
      </c>
      <c r="E92" s="740"/>
      <c r="F92" s="739" t="str">
        <f>F2</f>
        <v>日</v>
      </c>
      <c r="G92" s="740"/>
      <c r="H92" s="739" t="str">
        <f>H2</f>
        <v>月</v>
      </c>
      <c r="I92" s="740"/>
      <c r="J92" s="739" t="str">
        <f>J2</f>
        <v>火</v>
      </c>
      <c r="K92" s="740"/>
      <c r="L92" s="739" t="str">
        <f>L2</f>
        <v>水</v>
      </c>
      <c r="M92" s="740"/>
      <c r="N92" s="739" t="str">
        <f>N2</f>
        <v>木</v>
      </c>
      <c r="O92" s="740"/>
      <c r="P92" s="739" t="str">
        <f>P2</f>
        <v>金</v>
      </c>
      <c r="Q92" s="740"/>
      <c r="R92" s="739" t="str">
        <f>R2</f>
        <v>土</v>
      </c>
      <c r="S92" s="740"/>
      <c r="T92" s="739" t="str">
        <f>T2</f>
        <v>日</v>
      </c>
      <c r="U92" s="740"/>
      <c r="V92" s="739" t="str">
        <f>V2</f>
        <v>月</v>
      </c>
      <c r="W92" s="740"/>
      <c r="X92" s="739" t="str">
        <f>X2</f>
        <v>火</v>
      </c>
      <c r="Y92" s="740"/>
      <c r="Z92" s="739" t="str">
        <f>Z2</f>
        <v>水</v>
      </c>
      <c r="AA92" s="740"/>
      <c r="AB92" s="739" t="str">
        <f>AB2</f>
        <v>木</v>
      </c>
      <c r="AC92" s="740"/>
      <c r="AD92" s="739" t="str">
        <f>AD2</f>
        <v>金</v>
      </c>
      <c r="AE92" s="740"/>
      <c r="AF92" s="739" t="str">
        <f>AF2</f>
        <v>土</v>
      </c>
      <c r="AG92" s="740"/>
      <c r="AH92" s="786" t="str">
        <f>AH2</f>
        <v>日</v>
      </c>
      <c r="AI92" s="767"/>
      <c r="AJ92" s="770" t="str">
        <f>AJ2</f>
        <v>月</v>
      </c>
      <c r="AK92" s="770"/>
      <c r="AL92" s="770" t="str">
        <f>AL2</f>
        <v>火</v>
      </c>
      <c r="AM92" s="770"/>
      <c r="AN92" s="770" t="str">
        <f>AN2</f>
        <v>水</v>
      </c>
      <c r="AO92" s="770"/>
      <c r="AP92" s="770" t="str">
        <f>AP2</f>
        <v>木</v>
      </c>
      <c r="AQ92" s="770"/>
      <c r="AR92" s="770" t="str">
        <f>AR2</f>
        <v>金</v>
      </c>
      <c r="AS92" s="770"/>
      <c r="AT92" s="770" t="str">
        <f>AT2</f>
        <v>土</v>
      </c>
      <c r="AU92" s="770"/>
      <c r="AV92" s="770" t="str">
        <f>AV2</f>
        <v>日</v>
      </c>
      <c r="AW92" s="770"/>
      <c r="AX92" s="770" t="str">
        <f>AX2</f>
        <v>月</v>
      </c>
      <c r="AY92" s="770"/>
      <c r="AZ92" s="770" t="str">
        <f>AZ2</f>
        <v>火</v>
      </c>
      <c r="BA92" s="770"/>
      <c r="BB92" s="770" t="str">
        <f>BB2</f>
        <v>水</v>
      </c>
      <c r="BC92" s="770"/>
      <c r="BD92" s="770" t="str">
        <f>BD2</f>
        <v>木</v>
      </c>
      <c r="BE92" s="770"/>
      <c r="BF92" s="770" t="str">
        <f>BF2</f>
        <v>金</v>
      </c>
      <c r="BG92" s="770"/>
      <c r="BH92" s="770" t="str">
        <f>BH2</f>
        <v>土</v>
      </c>
      <c r="BI92" s="770"/>
      <c r="BJ92" s="770" t="str">
        <f>BJ2</f>
        <v>日</v>
      </c>
      <c r="BK92" s="770"/>
      <c r="BL92" s="770" t="str">
        <f>BL2</f>
        <v>月</v>
      </c>
      <c r="BM92" s="770"/>
      <c r="BN92" s="761"/>
      <c r="BO92" s="762"/>
      <c r="BP92" s="773"/>
      <c r="BQ92" s="774"/>
    </row>
    <row r="93" spans="2:69" ht="24.95" customHeight="1" thickBot="1">
      <c r="B93" s="748"/>
      <c r="C93" s="750"/>
      <c r="D93" s="92" t="s">
        <v>72</v>
      </c>
      <c r="E93" s="93" t="s">
        <v>73</v>
      </c>
      <c r="F93" s="97" t="s">
        <v>72</v>
      </c>
      <c r="G93" s="93" t="s">
        <v>73</v>
      </c>
      <c r="H93" s="97" t="s">
        <v>72</v>
      </c>
      <c r="I93" s="93" t="s">
        <v>73</v>
      </c>
      <c r="J93" s="92" t="s">
        <v>72</v>
      </c>
      <c r="K93" s="93" t="s">
        <v>73</v>
      </c>
      <c r="L93" s="92" t="s">
        <v>72</v>
      </c>
      <c r="M93" s="93" t="s">
        <v>73</v>
      </c>
      <c r="N93" s="92" t="s">
        <v>72</v>
      </c>
      <c r="O93" s="93" t="s">
        <v>73</v>
      </c>
      <c r="P93" s="92" t="s">
        <v>72</v>
      </c>
      <c r="Q93" s="93" t="s">
        <v>73</v>
      </c>
      <c r="R93" s="92" t="s">
        <v>72</v>
      </c>
      <c r="S93" s="93" t="s">
        <v>73</v>
      </c>
      <c r="T93" s="92" t="s">
        <v>72</v>
      </c>
      <c r="U93" s="93" t="s">
        <v>73</v>
      </c>
      <c r="V93" s="92" t="s">
        <v>72</v>
      </c>
      <c r="W93" s="93" t="s">
        <v>73</v>
      </c>
      <c r="X93" s="92" t="s">
        <v>72</v>
      </c>
      <c r="Y93" s="93" t="s">
        <v>73</v>
      </c>
      <c r="Z93" s="92" t="s">
        <v>72</v>
      </c>
      <c r="AA93" s="94" t="s">
        <v>73</v>
      </c>
      <c r="AB93" s="159" t="s">
        <v>72</v>
      </c>
      <c r="AC93" s="94" t="s">
        <v>73</v>
      </c>
      <c r="AD93" s="159" t="s">
        <v>72</v>
      </c>
      <c r="AE93" s="94" t="s">
        <v>73</v>
      </c>
      <c r="AF93" s="159" t="s">
        <v>72</v>
      </c>
      <c r="AG93" s="94" t="s">
        <v>73</v>
      </c>
      <c r="AH93" s="92" t="s">
        <v>72</v>
      </c>
      <c r="AI93" s="93" t="s">
        <v>73</v>
      </c>
      <c r="AJ93" s="97" t="s">
        <v>72</v>
      </c>
      <c r="AK93" s="93" t="s">
        <v>73</v>
      </c>
      <c r="AL93" s="97" t="s">
        <v>72</v>
      </c>
      <c r="AM93" s="93" t="s">
        <v>73</v>
      </c>
      <c r="AN93" s="92" t="s">
        <v>72</v>
      </c>
      <c r="AO93" s="93" t="s">
        <v>73</v>
      </c>
      <c r="AP93" s="92" t="s">
        <v>72</v>
      </c>
      <c r="AQ93" s="93" t="s">
        <v>73</v>
      </c>
      <c r="AR93" s="92" t="s">
        <v>72</v>
      </c>
      <c r="AS93" s="93" t="s">
        <v>73</v>
      </c>
      <c r="AT93" s="92" t="s">
        <v>72</v>
      </c>
      <c r="AU93" s="93" t="s">
        <v>73</v>
      </c>
      <c r="AV93" s="92" t="s">
        <v>72</v>
      </c>
      <c r="AW93" s="93" t="s">
        <v>73</v>
      </c>
      <c r="AX93" s="92" t="s">
        <v>72</v>
      </c>
      <c r="AY93" s="93" t="s">
        <v>73</v>
      </c>
      <c r="AZ93" s="92" t="s">
        <v>72</v>
      </c>
      <c r="BA93" s="93" t="s">
        <v>73</v>
      </c>
      <c r="BB93" s="92" t="s">
        <v>72</v>
      </c>
      <c r="BC93" s="93" t="s">
        <v>73</v>
      </c>
      <c r="BD93" s="92" t="s">
        <v>72</v>
      </c>
      <c r="BE93" s="94" t="s">
        <v>73</v>
      </c>
      <c r="BF93" s="159" t="s">
        <v>72</v>
      </c>
      <c r="BG93" s="94" t="s">
        <v>73</v>
      </c>
      <c r="BH93" s="159" t="s">
        <v>72</v>
      </c>
      <c r="BI93" s="94" t="s">
        <v>73</v>
      </c>
      <c r="BJ93" s="159" t="s">
        <v>72</v>
      </c>
      <c r="BK93" s="94" t="s">
        <v>73</v>
      </c>
      <c r="BL93" s="159" t="s">
        <v>72</v>
      </c>
      <c r="BM93" s="94" t="s">
        <v>73</v>
      </c>
      <c r="BN93" s="95" t="s">
        <v>72</v>
      </c>
      <c r="BO93" s="96" t="s">
        <v>73</v>
      </c>
      <c r="BP93" s="236" t="s">
        <v>252</v>
      </c>
      <c r="BQ93" s="237" t="s">
        <v>254</v>
      </c>
    </row>
    <row r="94" spans="2:69" s="6" customFormat="1" ht="50.1" customHeight="1" thickTop="1">
      <c r="B94" s="203" t="str">
        <f>'1月'!$B$94</f>
        <v>清水　ミチ子</v>
      </c>
      <c r="C94" s="145"/>
      <c r="D94" s="37"/>
      <c r="E94" s="14"/>
      <c r="F94" s="37"/>
      <c r="G94" s="14"/>
      <c r="H94" s="37"/>
      <c r="I94" s="14"/>
      <c r="J94" s="37"/>
      <c r="K94" s="14"/>
      <c r="L94" s="37"/>
      <c r="M94" s="14"/>
      <c r="N94" s="37"/>
      <c r="O94" s="14"/>
      <c r="P94" s="37"/>
      <c r="Q94" s="14"/>
      <c r="R94" s="37"/>
      <c r="S94" s="14"/>
      <c r="T94" s="37"/>
      <c r="U94" s="14"/>
      <c r="V94" s="37"/>
      <c r="W94" s="14"/>
      <c r="X94" s="37"/>
      <c r="Y94" s="14"/>
      <c r="Z94" s="37"/>
      <c r="AA94" s="14"/>
      <c r="AB94" s="37"/>
      <c r="AC94" s="14"/>
      <c r="AD94" s="37"/>
      <c r="AE94" s="14"/>
      <c r="AF94" s="37"/>
      <c r="AG94" s="15"/>
      <c r="AH94" s="37"/>
      <c r="AI94" s="14"/>
      <c r="AJ94" s="37"/>
      <c r="AK94" s="14"/>
      <c r="AL94" s="37"/>
      <c r="AM94" s="14"/>
      <c r="AN94" s="37"/>
      <c r="AO94" s="14"/>
      <c r="AP94" s="37"/>
      <c r="AQ94" s="14"/>
      <c r="AR94" s="37"/>
      <c r="AS94" s="14"/>
      <c r="AT94" s="37"/>
      <c r="AU94" s="14"/>
      <c r="AV94" s="37"/>
      <c r="AW94" s="14"/>
      <c r="AX94" s="37"/>
      <c r="AY94" s="14"/>
      <c r="AZ94" s="37"/>
      <c r="BA94" s="14"/>
      <c r="BB94" s="37"/>
      <c r="BC94" s="14"/>
      <c r="BD94" s="37"/>
      <c r="BE94" s="14"/>
      <c r="BF94" s="37"/>
      <c r="BG94" s="14"/>
      <c r="BH94" s="37"/>
      <c r="BI94" s="14"/>
      <c r="BJ94" s="37"/>
      <c r="BK94" s="15"/>
      <c r="BL94" s="37"/>
      <c r="BM94" s="15"/>
      <c r="BN94" s="102">
        <f t="shared" ref="BN94:BO96" si="16">SUM(D94,F94,H94,J94,L94,N94,P94,R94,T94,V94,X94,Z94,AB94,AD94,AF94,AH94,AJ94,AL94,AN94,AP94,AR94,AT94,AV94,AX94,AZ94,BB94,BD94,BF94,BH94,BJ94,BL94)</f>
        <v>0</v>
      </c>
      <c r="BO94" s="47">
        <f t="shared" si="16"/>
        <v>0</v>
      </c>
      <c r="BP94" s="631">
        <f>INDEX('2月'!$B$4:$BQ$375,MATCH('3月'!B94,'2月'!$B$4:$B$375,0),67)+BN94</f>
        <v>1</v>
      </c>
      <c r="BQ94" s="702">
        <f>INDEX('2月'!$B$4:$BQ$375,MATCH('3月'!B94,'2月'!$B$4:$B$375,0),68)+BO94</f>
        <v>1</v>
      </c>
    </row>
    <row r="95" spans="2:69" s="6" customFormat="1" ht="50.1" customHeight="1">
      <c r="B95" s="201">
        <f>'1月'!$B$95</f>
        <v>0</v>
      </c>
      <c r="C95" s="146"/>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si="16"/>
        <v>0</v>
      </c>
      <c r="BO95" s="47">
        <f t="shared" si="16"/>
        <v>0</v>
      </c>
      <c r="BP95" s="631"/>
      <c r="BQ95" s="559"/>
    </row>
    <row r="96" spans="2:69" ht="45" customHeight="1" thickBot="1">
      <c r="B96" s="113">
        <f>'1月'!$B$96</f>
        <v>0</v>
      </c>
      <c r="C96" s="148"/>
      <c r="D96" s="38"/>
      <c r="E96" s="20"/>
      <c r="F96" s="38"/>
      <c r="G96" s="20"/>
      <c r="H96" s="38"/>
      <c r="I96" s="20"/>
      <c r="J96" s="38"/>
      <c r="K96" s="20"/>
      <c r="L96" s="38"/>
      <c r="M96" s="20"/>
      <c r="N96" s="38"/>
      <c r="O96" s="20"/>
      <c r="P96" s="38"/>
      <c r="Q96" s="20"/>
      <c r="R96" s="38"/>
      <c r="S96" s="20"/>
      <c r="T96" s="38"/>
      <c r="U96" s="20"/>
      <c r="V96" s="38"/>
      <c r="W96" s="20"/>
      <c r="X96" s="38"/>
      <c r="Y96" s="20"/>
      <c r="Z96" s="38"/>
      <c r="AA96" s="20"/>
      <c r="AB96" s="38"/>
      <c r="AC96" s="20"/>
      <c r="AD96" s="38"/>
      <c r="AE96" s="20"/>
      <c r="AF96" s="38"/>
      <c r="AG96" s="21"/>
      <c r="AH96" s="38"/>
      <c r="AI96" s="20"/>
      <c r="AJ96" s="38"/>
      <c r="AK96" s="20"/>
      <c r="AL96" s="38"/>
      <c r="AM96" s="20"/>
      <c r="AN96" s="38"/>
      <c r="AO96" s="20"/>
      <c r="AP96" s="38"/>
      <c r="AQ96" s="20"/>
      <c r="AR96" s="38"/>
      <c r="AS96" s="20"/>
      <c r="AT96" s="38"/>
      <c r="AU96" s="20"/>
      <c r="AV96" s="38"/>
      <c r="AW96" s="20"/>
      <c r="AX96" s="38"/>
      <c r="AY96" s="20"/>
      <c r="AZ96" s="38"/>
      <c r="BA96" s="20"/>
      <c r="BB96" s="38"/>
      <c r="BC96" s="20"/>
      <c r="BD96" s="38"/>
      <c r="BE96" s="20"/>
      <c r="BF96" s="38"/>
      <c r="BG96" s="20"/>
      <c r="BH96" s="38"/>
      <c r="BI96" s="20"/>
      <c r="BJ96" s="38"/>
      <c r="BK96" s="21"/>
      <c r="BL96" s="38"/>
      <c r="BM96" s="21"/>
      <c r="BN96" s="102">
        <f t="shared" si="16"/>
        <v>0</v>
      </c>
      <c r="BO96" s="47">
        <f t="shared" si="16"/>
        <v>0</v>
      </c>
      <c r="BP96" s="631"/>
      <c r="BQ96" s="559"/>
    </row>
    <row r="97" spans="2:69" ht="36" customHeight="1" thickBot="1">
      <c r="B97" s="119" t="s">
        <v>101</v>
      </c>
      <c r="C97" s="149"/>
      <c r="D97" s="39">
        <f t="shared" ref="D97:BK97" si="17">SUM(D94:D95)</f>
        <v>0</v>
      </c>
      <c r="E97" s="31">
        <f t="shared" si="17"/>
        <v>0</v>
      </c>
      <c r="F97" s="39">
        <f t="shared" si="17"/>
        <v>0</v>
      </c>
      <c r="G97" s="31">
        <f t="shared" si="17"/>
        <v>0</v>
      </c>
      <c r="H97" s="39">
        <f>SUM(H94:H95)</f>
        <v>0</v>
      </c>
      <c r="I97" s="31">
        <f t="shared" si="17"/>
        <v>0</v>
      </c>
      <c r="J97" s="39">
        <f t="shared" si="17"/>
        <v>0</v>
      </c>
      <c r="K97" s="31">
        <f t="shared" si="17"/>
        <v>0</v>
      </c>
      <c r="L97" s="39">
        <f t="shared" si="17"/>
        <v>0</v>
      </c>
      <c r="M97" s="31">
        <f t="shared" si="17"/>
        <v>0</v>
      </c>
      <c r="N97" s="39">
        <f t="shared" si="17"/>
        <v>0</v>
      </c>
      <c r="O97" s="31">
        <f t="shared" si="17"/>
        <v>0</v>
      </c>
      <c r="P97" s="39">
        <f t="shared" si="17"/>
        <v>0</v>
      </c>
      <c r="Q97" s="31">
        <f t="shared" si="17"/>
        <v>0</v>
      </c>
      <c r="R97" s="39">
        <f t="shared" si="17"/>
        <v>0</v>
      </c>
      <c r="S97" s="31">
        <f t="shared" si="17"/>
        <v>0</v>
      </c>
      <c r="T97" s="39">
        <f t="shared" si="17"/>
        <v>0</v>
      </c>
      <c r="U97" s="31">
        <f t="shared" si="17"/>
        <v>0</v>
      </c>
      <c r="V97" s="39">
        <f t="shared" si="17"/>
        <v>0</v>
      </c>
      <c r="W97" s="31">
        <f t="shared" si="17"/>
        <v>0</v>
      </c>
      <c r="X97" s="39">
        <f t="shared" si="17"/>
        <v>0</v>
      </c>
      <c r="Y97" s="31">
        <f t="shared" si="17"/>
        <v>0</v>
      </c>
      <c r="Z97" s="39">
        <f t="shared" si="17"/>
        <v>0</v>
      </c>
      <c r="AA97" s="31">
        <f t="shared" si="17"/>
        <v>0</v>
      </c>
      <c r="AB97" s="39">
        <f t="shared" si="17"/>
        <v>0</v>
      </c>
      <c r="AC97" s="31">
        <f t="shared" si="17"/>
        <v>0</v>
      </c>
      <c r="AD97" s="39">
        <f t="shared" si="17"/>
        <v>0</v>
      </c>
      <c r="AE97" s="31">
        <f t="shared" si="17"/>
        <v>0</v>
      </c>
      <c r="AF97" s="39">
        <f t="shared" si="17"/>
        <v>0</v>
      </c>
      <c r="AG97" s="41">
        <f t="shared" si="17"/>
        <v>0</v>
      </c>
      <c r="AH97" s="39">
        <f t="shared" si="17"/>
        <v>0</v>
      </c>
      <c r="AI97" s="31">
        <f t="shared" si="17"/>
        <v>0</v>
      </c>
      <c r="AJ97" s="39">
        <f t="shared" si="17"/>
        <v>0</v>
      </c>
      <c r="AK97" s="31">
        <f t="shared" si="17"/>
        <v>0</v>
      </c>
      <c r="AL97" s="39">
        <f>SUM(AL94:AL95)</f>
        <v>0</v>
      </c>
      <c r="AM97" s="31">
        <f t="shared" si="17"/>
        <v>0</v>
      </c>
      <c r="AN97" s="39">
        <f t="shared" si="17"/>
        <v>0</v>
      </c>
      <c r="AO97" s="31">
        <f t="shared" si="17"/>
        <v>0</v>
      </c>
      <c r="AP97" s="39">
        <f t="shared" si="17"/>
        <v>0</v>
      </c>
      <c r="AQ97" s="31">
        <f t="shared" si="17"/>
        <v>0</v>
      </c>
      <c r="AR97" s="39">
        <f t="shared" si="17"/>
        <v>0</v>
      </c>
      <c r="AS97" s="31">
        <f t="shared" si="17"/>
        <v>0</v>
      </c>
      <c r="AT97" s="39">
        <f t="shared" si="17"/>
        <v>0</v>
      </c>
      <c r="AU97" s="31">
        <f t="shared" si="17"/>
        <v>0</v>
      </c>
      <c r="AV97" s="39">
        <f t="shared" si="17"/>
        <v>0</v>
      </c>
      <c r="AW97" s="31">
        <f t="shared" si="17"/>
        <v>0</v>
      </c>
      <c r="AX97" s="39">
        <f t="shared" si="17"/>
        <v>0</v>
      </c>
      <c r="AY97" s="31">
        <f t="shared" si="17"/>
        <v>0</v>
      </c>
      <c r="AZ97" s="39">
        <f>SUM(AZ94:AZ95)</f>
        <v>0</v>
      </c>
      <c r="BA97" s="31">
        <f t="shared" si="17"/>
        <v>0</v>
      </c>
      <c r="BB97" s="39">
        <f t="shared" si="17"/>
        <v>0</v>
      </c>
      <c r="BC97" s="31">
        <f t="shared" si="17"/>
        <v>0</v>
      </c>
      <c r="BD97" s="39">
        <f t="shared" si="17"/>
        <v>0</v>
      </c>
      <c r="BE97" s="31">
        <f t="shared" si="17"/>
        <v>0</v>
      </c>
      <c r="BF97" s="39">
        <f t="shared" si="17"/>
        <v>0</v>
      </c>
      <c r="BG97" s="31">
        <f t="shared" si="17"/>
        <v>0</v>
      </c>
      <c r="BH97" s="39">
        <f t="shared" si="17"/>
        <v>0</v>
      </c>
      <c r="BI97" s="31">
        <f t="shared" si="17"/>
        <v>0</v>
      </c>
      <c r="BJ97" s="39">
        <f t="shared" si="17"/>
        <v>0</v>
      </c>
      <c r="BK97" s="41">
        <f t="shared" si="17"/>
        <v>0</v>
      </c>
      <c r="BL97" s="39">
        <f>SUM(BL94:BL95)</f>
        <v>0</v>
      </c>
      <c r="BM97" s="41">
        <f>SUM(BM94:BM95)</f>
        <v>0</v>
      </c>
      <c r="BN97" s="43">
        <f>SUM(BN94:BN96)</f>
        <v>0</v>
      </c>
      <c r="BO97" s="40">
        <f>SUM(BO94:BO96)</f>
        <v>0</v>
      </c>
      <c r="BP97" s="245">
        <f>SUM(BP94:BP96)</f>
        <v>1</v>
      </c>
      <c r="BQ97" s="246">
        <f>SUM(BQ94:BQ96)</f>
        <v>1</v>
      </c>
    </row>
    <row r="98" spans="2:69" ht="24.95" customHeight="1">
      <c r="B98" s="120"/>
      <c r="AG98" s="34"/>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34"/>
      <c r="BL98" s="7"/>
      <c r="BM98" s="34"/>
      <c r="BN98" s="7"/>
      <c r="BO98" s="7"/>
      <c r="BP98" s="238"/>
      <c r="BQ98" s="239"/>
    </row>
    <row r="99" spans="2:69" ht="24.75" customHeight="1" thickBot="1">
      <c r="B99" s="120"/>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238"/>
      <c r="BQ99" s="239"/>
    </row>
    <row r="100" spans="2:69" ht="24.95" customHeight="1">
      <c r="B100" s="743" t="s">
        <v>83</v>
      </c>
      <c r="C100" s="749">
        <f>COUNTIF(B103:B107,"*")</f>
        <v>4</v>
      </c>
      <c r="D100" s="751">
        <v>1</v>
      </c>
      <c r="E100" s="738"/>
      <c r="F100" s="737">
        <v>2</v>
      </c>
      <c r="G100" s="738"/>
      <c r="H100" s="737">
        <v>3</v>
      </c>
      <c r="I100" s="738"/>
      <c r="J100" s="737">
        <v>4</v>
      </c>
      <c r="K100" s="738"/>
      <c r="L100" s="737">
        <v>5</v>
      </c>
      <c r="M100" s="738"/>
      <c r="N100" s="737">
        <v>6</v>
      </c>
      <c r="O100" s="738"/>
      <c r="P100" s="737">
        <v>7</v>
      </c>
      <c r="Q100" s="738"/>
      <c r="R100" s="737">
        <v>8</v>
      </c>
      <c r="S100" s="738"/>
      <c r="T100" s="737">
        <v>9</v>
      </c>
      <c r="U100" s="738"/>
      <c r="V100" s="737">
        <v>10</v>
      </c>
      <c r="W100" s="738"/>
      <c r="X100" s="737">
        <v>11</v>
      </c>
      <c r="Y100" s="738"/>
      <c r="Z100" s="737">
        <v>12</v>
      </c>
      <c r="AA100" s="738"/>
      <c r="AB100" s="737">
        <v>13</v>
      </c>
      <c r="AC100" s="738"/>
      <c r="AD100" s="737">
        <v>14</v>
      </c>
      <c r="AE100" s="738"/>
      <c r="AF100" s="737">
        <v>15</v>
      </c>
      <c r="AG100" s="784"/>
      <c r="AH100" s="741">
        <v>16</v>
      </c>
      <c r="AI100" s="741"/>
      <c r="AJ100" s="741">
        <v>17</v>
      </c>
      <c r="AK100" s="741"/>
      <c r="AL100" s="741">
        <v>18</v>
      </c>
      <c r="AM100" s="741"/>
      <c r="AN100" s="741">
        <v>19</v>
      </c>
      <c r="AO100" s="741"/>
      <c r="AP100" s="741">
        <v>20</v>
      </c>
      <c r="AQ100" s="741"/>
      <c r="AR100" s="741">
        <v>21</v>
      </c>
      <c r="AS100" s="741"/>
      <c r="AT100" s="741">
        <v>22</v>
      </c>
      <c r="AU100" s="741"/>
      <c r="AV100" s="741">
        <v>23</v>
      </c>
      <c r="AW100" s="741"/>
      <c r="AX100" s="741">
        <v>24</v>
      </c>
      <c r="AY100" s="741"/>
      <c r="AZ100" s="741">
        <v>25</v>
      </c>
      <c r="BA100" s="741"/>
      <c r="BB100" s="741">
        <v>26</v>
      </c>
      <c r="BC100" s="741"/>
      <c r="BD100" s="741">
        <v>27</v>
      </c>
      <c r="BE100" s="741"/>
      <c r="BF100" s="741">
        <v>28</v>
      </c>
      <c r="BG100" s="741"/>
      <c r="BH100" s="741">
        <v>29</v>
      </c>
      <c r="BI100" s="741"/>
      <c r="BJ100" s="741">
        <v>30</v>
      </c>
      <c r="BK100" s="741"/>
      <c r="BL100" s="741">
        <v>31</v>
      </c>
      <c r="BM100" s="741"/>
      <c r="BN100" s="738" t="s">
        <v>251</v>
      </c>
      <c r="BO100" s="760"/>
      <c r="BP100" s="771" t="s">
        <v>353</v>
      </c>
      <c r="BQ100" s="772"/>
    </row>
    <row r="101" spans="2:69" ht="24.95" customHeight="1">
      <c r="B101" s="744"/>
      <c r="C101" s="747"/>
      <c r="D101" s="752" t="str">
        <f>D2</f>
        <v>土</v>
      </c>
      <c r="E101" s="740"/>
      <c r="F101" s="739" t="str">
        <f>F2</f>
        <v>日</v>
      </c>
      <c r="G101" s="740"/>
      <c r="H101" s="739" t="str">
        <f>H2</f>
        <v>月</v>
      </c>
      <c r="I101" s="740"/>
      <c r="J101" s="739" t="str">
        <f>J2</f>
        <v>火</v>
      </c>
      <c r="K101" s="740"/>
      <c r="L101" s="739" t="str">
        <f>L2</f>
        <v>水</v>
      </c>
      <c r="M101" s="740"/>
      <c r="N101" s="739" t="str">
        <f>N2</f>
        <v>木</v>
      </c>
      <c r="O101" s="740"/>
      <c r="P101" s="739" t="str">
        <f>P2</f>
        <v>金</v>
      </c>
      <c r="Q101" s="740"/>
      <c r="R101" s="739" t="str">
        <f>R2</f>
        <v>土</v>
      </c>
      <c r="S101" s="740"/>
      <c r="T101" s="739" t="str">
        <f>T2</f>
        <v>日</v>
      </c>
      <c r="U101" s="740"/>
      <c r="V101" s="739" t="str">
        <f>V2</f>
        <v>月</v>
      </c>
      <c r="W101" s="740"/>
      <c r="X101" s="739" t="str">
        <f>X2</f>
        <v>火</v>
      </c>
      <c r="Y101" s="740"/>
      <c r="Z101" s="739" t="str">
        <f>Z2</f>
        <v>水</v>
      </c>
      <c r="AA101" s="740"/>
      <c r="AB101" s="739" t="str">
        <f>AB2</f>
        <v>木</v>
      </c>
      <c r="AC101" s="740"/>
      <c r="AD101" s="739" t="str">
        <f>AD2</f>
        <v>金</v>
      </c>
      <c r="AE101" s="740"/>
      <c r="AF101" s="739" t="str">
        <f>AF2</f>
        <v>土</v>
      </c>
      <c r="AG101" s="740"/>
      <c r="AH101" s="786" t="str">
        <f>AH2</f>
        <v>日</v>
      </c>
      <c r="AI101" s="767"/>
      <c r="AJ101" s="770" t="str">
        <f>AJ2</f>
        <v>月</v>
      </c>
      <c r="AK101" s="770"/>
      <c r="AL101" s="770" t="str">
        <f>AL2</f>
        <v>火</v>
      </c>
      <c r="AM101" s="770"/>
      <c r="AN101" s="770" t="str">
        <f>AN2</f>
        <v>水</v>
      </c>
      <c r="AO101" s="770"/>
      <c r="AP101" s="770" t="str">
        <f>AP2</f>
        <v>木</v>
      </c>
      <c r="AQ101" s="770"/>
      <c r="AR101" s="770" t="str">
        <f>AR2</f>
        <v>金</v>
      </c>
      <c r="AS101" s="770"/>
      <c r="AT101" s="770" t="str">
        <f>AT2</f>
        <v>土</v>
      </c>
      <c r="AU101" s="770"/>
      <c r="AV101" s="770" t="str">
        <f>AV2</f>
        <v>日</v>
      </c>
      <c r="AW101" s="770"/>
      <c r="AX101" s="770" t="str">
        <f>AX2</f>
        <v>月</v>
      </c>
      <c r="AY101" s="770"/>
      <c r="AZ101" s="770" t="str">
        <f>AZ2</f>
        <v>火</v>
      </c>
      <c r="BA101" s="770"/>
      <c r="BB101" s="770" t="str">
        <f>BB2</f>
        <v>水</v>
      </c>
      <c r="BC101" s="770"/>
      <c r="BD101" s="770" t="str">
        <f>BD2</f>
        <v>木</v>
      </c>
      <c r="BE101" s="770"/>
      <c r="BF101" s="770" t="str">
        <f>BF2</f>
        <v>金</v>
      </c>
      <c r="BG101" s="770"/>
      <c r="BH101" s="770" t="str">
        <f>BH2</f>
        <v>土</v>
      </c>
      <c r="BI101" s="770"/>
      <c r="BJ101" s="770" t="str">
        <f>BJ2</f>
        <v>日</v>
      </c>
      <c r="BK101" s="770"/>
      <c r="BL101" s="770" t="str">
        <f>BL2</f>
        <v>月</v>
      </c>
      <c r="BM101" s="770"/>
      <c r="BN101" s="761"/>
      <c r="BO101" s="762"/>
      <c r="BP101" s="773"/>
      <c r="BQ101" s="774"/>
    </row>
    <row r="102" spans="2:69" ht="24.95" customHeight="1" thickBot="1">
      <c r="B102" s="748"/>
      <c r="C102" s="750"/>
      <c r="D102" s="92" t="s">
        <v>72</v>
      </c>
      <c r="E102" s="93" t="s">
        <v>73</v>
      </c>
      <c r="F102" s="97" t="s">
        <v>72</v>
      </c>
      <c r="G102" s="93" t="s">
        <v>73</v>
      </c>
      <c r="H102" s="97" t="s">
        <v>72</v>
      </c>
      <c r="I102" s="93" t="s">
        <v>73</v>
      </c>
      <c r="J102" s="92" t="s">
        <v>72</v>
      </c>
      <c r="K102" s="93" t="s">
        <v>73</v>
      </c>
      <c r="L102" s="92" t="s">
        <v>72</v>
      </c>
      <c r="M102" s="93" t="s">
        <v>73</v>
      </c>
      <c r="N102" s="92" t="s">
        <v>72</v>
      </c>
      <c r="O102" s="93" t="s">
        <v>73</v>
      </c>
      <c r="P102" s="92" t="s">
        <v>72</v>
      </c>
      <c r="Q102" s="93" t="s">
        <v>73</v>
      </c>
      <c r="R102" s="92" t="s">
        <v>72</v>
      </c>
      <c r="S102" s="93" t="s">
        <v>73</v>
      </c>
      <c r="T102" s="92" t="s">
        <v>72</v>
      </c>
      <c r="U102" s="93" t="s">
        <v>73</v>
      </c>
      <c r="V102" s="92" t="s">
        <v>72</v>
      </c>
      <c r="W102" s="93" t="s">
        <v>73</v>
      </c>
      <c r="X102" s="92" t="s">
        <v>72</v>
      </c>
      <c r="Y102" s="93" t="s">
        <v>73</v>
      </c>
      <c r="Z102" s="92" t="s">
        <v>72</v>
      </c>
      <c r="AA102" s="94" t="s">
        <v>73</v>
      </c>
      <c r="AB102" s="159" t="s">
        <v>72</v>
      </c>
      <c r="AC102" s="94" t="s">
        <v>73</v>
      </c>
      <c r="AD102" s="159" t="s">
        <v>72</v>
      </c>
      <c r="AE102" s="94" t="s">
        <v>73</v>
      </c>
      <c r="AF102" s="159" t="s">
        <v>72</v>
      </c>
      <c r="AG102" s="94" t="s">
        <v>73</v>
      </c>
      <c r="AH102" s="92" t="s">
        <v>72</v>
      </c>
      <c r="AI102" s="93" t="s">
        <v>73</v>
      </c>
      <c r="AJ102" s="97" t="s">
        <v>72</v>
      </c>
      <c r="AK102" s="93" t="s">
        <v>73</v>
      </c>
      <c r="AL102" s="97" t="s">
        <v>72</v>
      </c>
      <c r="AM102" s="93" t="s">
        <v>73</v>
      </c>
      <c r="AN102" s="92" t="s">
        <v>72</v>
      </c>
      <c r="AO102" s="93" t="s">
        <v>73</v>
      </c>
      <c r="AP102" s="92" t="s">
        <v>72</v>
      </c>
      <c r="AQ102" s="93" t="s">
        <v>73</v>
      </c>
      <c r="AR102" s="92" t="s">
        <v>72</v>
      </c>
      <c r="AS102" s="93" t="s">
        <v>73</v>
      </c>
      <c r="AT102" s="92" t="s">
        <v>72</v>
      </c>
      <c r="AU102" s="93" t="s">
        <v>73</v>
      </c>
      <c r="AV102" s="92" t="s">
        <v>72</v>
      </c>
      <c r="AW102" s="93" t="s">
        <v>73</v>
      </c>
      <c r="AX102" s="92" t="s">
        <v>72</v>
      </c>
      <c r="AY102" s="93" t="s">
        <v>73</v>
      </c>
      <c r="AZ102" s="92" t="s">
        <v>72</v>
      </c>
      <c r="BA102" s="93" t="s">
        <v>73</v>
      </c>
      <c r="BB102" s="92" t="s">
        <v>72</v>
      </c>
      <c r="BC102" s="93" t="s">
        <v>73</v>
      </c>
      <c r="BD102" s="92" t="s">
        <v>72</v>
      </c>
      <c r="BE102" s="94" t="s">
        <v>73</v>
      </c>
      <c r="BF102" s="159" t="s">
        <v>72</v>
      </c>
      <c r="BG102" s="94" t="s">
        <v>73</v>
      </c>
      <c r="BH102" s="159" t="s">
        <v>72</v>
      </c>
      <c r="BI102" s="94" t="s">
        <v>73</v>
      </c>
      <c r="BJ102" s="159" t="s">
        <v>72</v>
      </c>
      <c r="BK102" s="94" t="s">
        <v>73</v>
      </c>
      <c r="BL102" s="159" t="s">
        <v>72</v>
      </c>
      <c r="BM102" s="94" t="s">
        <v>73</v>
      </c>
      <c r="BN102" s="95" t="s">
        <v>72</v>
      </c>
      <c r="BO102" s="96" t="s">
        <v>73</v>
      </c>
      <c r="BP102" s="236" t="s">
        <v>252</v>
      </c>
      <c r="BQ102" s="237" t="s">
        <v>254</v>
      </c>
    </row>
    <row r="103" spans="2:69" s="6" customFormat="1" ht="51" customHeight="1" thickTop="1">
      <c r="B103" s="205" t="str">
        <f>'1月'!$B$103</f>
        <v>木村　貴子</v>
      </c>
      <c r="C103" s="152"/>
      <c r="D103" s="46"/>
      <c r="E103" s="9"/>
      <c r="F103" s="46"/>
      <c r="G103" s="9"/>
      <c r="H103" s="46"/>
      <c r="I103" s="9"/>
      <c r="J103" s="46"/>
      <c r="K103" s="9"/>
      <c r="L103" s="46"/>
      <c r="M103" s="9"/>
      <c r="N103" s="46"/>
      <c r="O103" s="9"/>
      <c r="P103" s="46"/>
      <c r="Q103" s="9"/>
      <c r="R103" s="46"/>
      <c r="S103" s="9"/>
      <c r="T103" s="46"/>
      <c r="U103" s="9"/>
      <c r="V103" s="46"/>
      <c r="W103" s="9"/>
      <c r="X103" s="46"/>
      <c r="Y103" s="9"/>
      <c r="Z103" s="46"/>
      <c r="AA103" s="9"/>
      <c r="AB103" s="46"/>
      <c r="AC103" s="9"/>
      <c r="AD103" s="46"/>
      <c r="AE103" s="9"/>
      <c r="AF103" s="46"/>
      <c r="AG103" s="10"/>
      <c r="AH103" s="46"/>
      <c r="AI103" s="9"/>
      <c r="AJ103" s="46"/>
      <c r="AK103" s="9"/>
      <c r="AL103" s="46"/>
      <c r="AM103" s="9"/>
      <c r="AN103" s="46"/>
      <c r="AO103" s="9"/>
      <c r="AP103" s="46"/>
      <c r="AQ103" s="9"/>
      <c r="AR103" s="46"/>
      <c r="AS103" s="9"/>
      <c r="AT103" s="46"/>
      <c r="AU103" s="9"/>
      <c r="AV103" s="46"/>
      <c r="AW103" s="9"/>
      <c r="AX103" s="46"/>
      <c r="AY103" s="9"/>
      <c r="AZ103" s="46"/>
      <c r="BA103" s="9"/>
      <c r="BB103" s="46"/>
      <c r="BC103" s="9"/>
      <c r="BD103" s="46"/>
      <c r="BE103" s="9"/>
      <c r="BF103" s="46"/>
      <c r="BG103" s="9"/>
      <c r="BH103" s="46"/>
      <c r="BI103" s="9"/>
      <c r="BJ103" s="46"/>
      <c r="BK103" s="10"/>
      <c r="BL103" s="11"/>
      <c r="BM103" s="10"/>
      <c r="BN103" s="102">
        <f t="shared" ref="BN103:BO107" si="18">SUM(D103,F103,H103,J103,L103,N103,P103,R103,T103,V103,X103,Z103,AB103,AD103,AF103,AH103,AJ103,AL103,AN103,AP103,AR103,AT103,AV103,AX103,AZ103,BB103,BD103,BF103,BH103,BJ103,BL103)</f>
        <v>0</v>
      </c>
      <c r="BO103" s="47">
        <f t="shared" si="18"/>
        <v>0</v>
      </c>
      <c r="BP103" s="631">
        <f>INDEX('2月'!$B$4:$BQ$375,MATCH('3月'!B103,'2月'!$B$4:$B$375,0),67)+BN103</f>
        <v>0</v>
      </c>
      <c r="BQ103" s="702">
        <f>INDEX('2月'!$B$4:$BQ$375,MATCH('3月'!B103,'2月'!$B$4:$B$375,0),68)+BO103</f>
        <v>0</v>
      </c>
    </row>
    <row r="104" spans="2:69" s="6" customFormat="1" ht="51" customHeight="1">
      <c r="B104" s="201" t="str">
        <f>'1月'!$B$104</f>
        <v>澤田　敏秋</v>
      </c>
      <c r="C104" s="146"/>
      <c r="D104" s="18"/>
      <c r="E104" s="14"/>
      <c r="F104" s="18"/>
      <c r="G104" s="14"/>
      <c r="H104" s="18"/>
      <c r="I104" s="14"/>
      <c r="J104" s="18"/>
      <c r="K104" s="14"/>
      <c r="L104" s="18"/>
      <c r="M104" s="14"/>
      <c r="N104" s="18"/>
      <c r="O104" s="14"/>
      <c r="P104" s="18"/>
      <c r="Q104" s="14"/>
      <c r="R104" s="18"/>
      <c r="S104" s="14"/>
      <c r="T104" s="18"/>
      <c r="U104" s="14"/>
      <c r="V104" s="18"/>
      <c r="W104" s="14"/>
      <c r="X104" s="18"/>
      <c r="Y104" s="14"/>
      <c r="Z104" s="18"/>
      <c r="AA104" s="14"/>
      <c r="AB104" s="18"/>
      <c r="AC104" s="14"/>
      <c r="AD104" s="18"/>
      <c r="AE104" s="14"/>
      <c r="AF104" s="18"/>
      <c r="AG104" s="15"/>
      <c r="AH104" s="18"/>
      <c r="AI104" s="14"/>
      <c r="AJ104" s="18"/>
      <c r="AK104" s="14"/>
      <c r="AL104" s="18"/>
      <c r="AM104" s="14"/>
      <c r="AN104" s="18"/>
      <c r="AO104" s="14"/>
      <c r="AP104" s="18"/>
      <c r="AQ104" s="14"/>
      <c r="AR104" s="18"/>
      <c r="AS104" s="14"/>
      <c r="AT104" s="18"/>
      <c r="AU104" s="14"/>
      <c r="AV104" s="18"/>
      <c r="AW104" s="14"/>
      <c r="AX104" s="18"/>
      <c r="AY104" s="14"/>
      <c r="AZ104" s="18"/>
      <c r="BA104" s="14"/>
      <c r="BB104" s="18"/>
      <c r="BC104" s="14"/>
      <c r="BD104" s="18"/>
      <c r="BE104" s="14"/>
      <c r="BF104" s="18"/>
      <c r="BG104" s="14"/>
      <c r="BH104" s="18"/>
      <c r="BI104" s="14"/>
      <c r="BJ104" s="18"/>
      <c r="BK104" s="15"/>
      <c r="BL104" s="16"/>
      <c r="BM104" s="15"/>
      <c r="BN104" s="102">
        <f t="shared" si="18"/>
        <v>0</v>
      </c>
      <c r="BO104" s="47">
        <f t="shared" si="18"/>
        <v>0</v>
      </c>
      <c r="BP104" s="631">
        <f>INDEX('2月'!$B$4:$BQ$375,MATCH('3月'!B104,'2月'!$B$4:$B$375,0),67)+BN104</f>
        <v>2</v>
      </c>
      <c r="BQ104" s="702">
        <f>INDEX('2月'!$B$4:$BQ$375,MATCH('3月'!B104,'2月'!$B$4:$B$375,0),68)+BO104</f>
        <v>2</v>
      </c>
    </row>
    <row r="105" spans="2:69" s="6" customFormat="1" ht="51" customHeight="1">
      <c r="B105" s="201" t="str">
        <f>'1月'!$B$105</f>
        <v>畠山　真美</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102">
        <f t="shared" si="18"/>
        <v>0</v>
      </c>
      <c r="BO105" s="47">
        <f t="shared" si="18"/>
        <v>0</v>
      </c>
      <c r="BP105" s="631">
        <f>INDEX('2月'!$B$4:$BQ$375,MATCH('3月'!B105,'2月'!$B$4:$B$375,0),67)+BN105</f>
        <v>0</v>
      </c>
      <c r="BQ105" s="702">
        <f>INDEX('2月'!$B$4:$BQ$375,MATCH('3月'!B105,'2月'!$B$4:$B$375,0),68)+BO105</f>
        <v>0</v>
      </c>
    </row>
    <row r="106" spans="2:69" s="6" customFormat="1" ht="45" customHeight="1">
      <c r="B106" s="201" t="str">
        <f>'1月'!$B$106</f>
        <v>山下　三鶴</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102">
        <f t="shared" si="18"/>
        <v>0</v>
      </c>
      <c r="BO106" s="47">
        <f t="shared" si="18"/>
        <v>0</v>
      </c>
      <c r="BP106" s="631">
        <f>INDEX('2月'!$B$4:$BQ$375,MATCH('3月'!B106,'2月'!$B$4:$B$375,0),67)+BN106</f>
        <v>0</v>
      </c>
      <c r="BQ106" s="702">
        <f>INDEX('2月'!$B$4:$BQ$375,MATCH('3月'!B106,'2月'!$B$4:$B$375,0),68)+BO106</f>
        <v>0</v>
      </c>
    </row>
    <row r="107" spans="2:69" s="4" customFormat="1" ht="45" customHeight="1" thickBot="1">
      <c r="B107" s="156">
        <f>'1月'!$B$107</f>
        <v>0</v>
      </c>
      <c r="C107" s="148"/>
      <c r="D107" s="48"/>
      <c r="E107" s="24"/>
      <c r="F107" s="48"/>
      <c r="G107" s="24"/>
      <c r="H107" s="48"/>
      <c r="I107" s="24"/>
      <c r="J107" s="48"/>
      <c r="K107" s="24"/>
      <c r="L107" s="48"/>
      <c r="M107" s="24"/>
      <c r="N107" s="48"/>
      <c r="O107" s="24"/>
      <c r="P107" s="48"/>
      <c r="Q107" s="24"/>
      <c r="R107" s="48"/>
      <c r="S107" s="24"/>
      <c r="T107" s="48"/>
      <c r="U107" s="24"/>
      <c r="V107" s="48"/>
      <c r="W107" s="24"/>
      <c r="X107" s="48"/>
      <c r="Y107" s="24"/>
      <c r="Z107" s="48"/>
      <c r="AA107" s="24"/>
      <c r="AB107" s="48"/>
      <c r="AC107" s="24"/>
      <c r="AD107" s="48"/>
      <c r="AE107" s="24"/>
      <c r="AF107" s="48"/>
      <c r="AG107" s="25"/>
      <c r="AH107" s="48"/>
      <c r="AI107" s="24"/>
      <c r="AJ107" s="48"/>
      <c r="AK107" s="24"/>
      <c r="AL107" s="48"/>
      <c r="AM107" s="24"/>
      <c r="AN107" s="48"/>
      <c r="AO107" s="24"/>
      <c r="AP107" s="48"/>
      <c r="AQ107" s="24"/>
      <c r="AR107" s="48"/>
      <c r="AS107" s="24"/>
      <c r="AT107" s="48"/>
      <c r="AU107" s="24"/>
      <c r="AV107" s="48"/>
      <c r="AW107" s="24"/>
      <c r="AX107" s="48"/>
      <c r="AY107" s="24"/>
      <c r="AZ107" s="48"/>
      <c r="BA107" s="24"/>
      <c r="BB107" s="48"/>
      <c r="BC107" s="24"/>
      <c r="BD107" s="48"/>
      <c r="BE107" s="24"/>
      <c r="BF107" s="48"/>
      <c r="BG107" s="24"/>
      <c r="BH107" s="48"/>
      <c r="BI107" s="24"/>
      <c r="BJ107" s="48"/>
      <c r="BK107" s="25"/>
      <c r="BL107" s="26"/>
      <c r="BM107" s="25"/>
      <c r="BN107" s="102">
        <f t="shared" si="18"/>
        <v>0</v>
      </c>
      <c r="BO107" s="47">
        <f t="shared" si="18"/>
        <v>0</v>
      </c>
      <c r="BP107" s="631"/>
      <c r="BQ107" s="559"/>
    </row>
    <row r="108" spans="2:69" s="6" customFormat="1" ht="45" customHeight="1" thickBot="1">
      <c r="B108" s="119" t="s">
        <v>101</v>
      </c>
      <c r="C108" s="149"/>
      <c r="D108" s="29">
        <f t="shared" ref="D108:AE108" si="19">SUM(D103:D107)</f>
        <v>0</v>
      </c>
      <c r="E108" s="31">
        <f t="shared" si="19"/>
        <v>0</v>
      </c>
      <c r="F108" s="29">
        <f t="shared" si="19"/>
        <v>0</v>
      </c>
      <c r="G108" s="31">
        <f t="shared" si="19"/>
        <v>0</v>
      </c>
      <c r="H108" s="29">
        <f t="shared" si="19"/>
        <v>0</v>
      </c>
      <c r="I108" s="31">
        <f t="shared" si="19"/>
        <v>0</v>
      </c>
      <c r="J108" s="29">
        <f t="shared" si="19"/>
        <v>0</v>
      </c>
      <c r="K108" s="31">
        <f t="shared" si="19"/>
        <v>0</v>
      </c>
      <c r="L108" s="29">
        <f t="shared" si="19"/>
        <v>0</v>
      </c>
      <c r="M108" s="31">
        <f t="shared" si="19"/>
        <v>0</v>
      </c>
      <c r="N108" s="29">
        <f t="shared" si="19"/>
        <v>0</v>
      </c>
      <c r="O108" s="31">
        <f t="shared" si="19"/>
        <v>0</v>
      </c>
      <c r="P108" s="29">
        <f t="shared" si="19"/>
        <v>0</v>
      </c>
      <c r="Q108" s="31">
        <f t="shared" si="19"/>
        <v>0</v>
      </c>
      <c r="R108" s="29">
        <f t="shared" si="19"/>
        <v>0</v>
      </c>
      <c r="S108" s="31">
        <f t="shared" si="19"/>
        <v>0</v>
      </c>
      <c r="T108" s="29">
        <f t="shared" si="19"/>
        <v>0</v>
      </c>
      <c r="U108" s="31">
        <f t="shared" si="19"/>
        <v>0</v>
      </c>
      <c r="V108" s="29">
        <f t="shared" si="19"/>
        <v>0</v>
      </c>
      <c r="W108" s="31">
        <f t="shared" si="19"/>
        <v>0</v>
      </c>
      <c r="X108" s="29">
        <f t="shared" si="19"/>
        <v>0</v>
      </c>
      <c r="Y108" s="31">
        <f t="shared" si="19"/>
        <v>0</v>
      </c>
      <c r="Z108" s="29">
        <f t="shared" si="19"/>
        <v>0</v>
      </c>
      <c r="AA108" s="31">
        <f t="shared" si="19"/>
        <v>0</v>
      </c>
      <c r="AB108" s="29">
        <f t="shared" si="19"/>
        <v>0</v>
      </c>
      <c r="AC108" s="31">
        <f t="shared" si="19"/>
        <v>0</v>
      </c>
      <c r="AD108" s="29">
        <f t="shared" si="19"/>
        <v>0</v>
      </c>
      <c r="AE108" s="31">
        <f t="shared" si="19"/>
        <v>0</v>
      </c>
      <c r="AF108" s="39">
        <f>SUM(AF103:AF107)</f>
        <v>0</v>
      </c>
      <c r="AG108" s="41">
        <f>SUM(AG103:AG107)</f>
        <v>0</v>
      </c>
      <c r="AH108" s="29">
        <f t="shared" ref="AH108:BL108" si="20">SUM(AH103:AH107)</f>
        <v>0</v>
      </c>
      <c r="AI108" s="31">
        <f t="shared" si="20"/>
        <v>0</v>
      </c>
      <c r="AJ108" s="29">
        <f t="shared" si="20"/>
        <v>0</v>
      </c>
      <c r="AK108" s="31">
        <f t="shared" si="20"/>
        <v>0</v>
      </c>
      <c r="AL108" s="29">
        <f t="shared" si="20"/>
        <v>0</v>
      </c>
      <c r="AM108" s="31">
        <f t="shared" si="20"/>
        <v>0</v>
      </c>
      <c r="AN108" s="29">
        <f t="shared" si="20"/>
        <v>0</v>
      </c>
      <c r="AO108" s="31">
        <f t="shared" si="20"/>
        <v>0</v>
      </c>
      <c r="AP108" s="29">
        <f t="shared" si="20"/>
        <v>0</v>
      </c>
      <c r="AQ108" s="31">
        <f t="shared" si="20"/>
        <v>0</v>
      </c>
      <c r="AR108" s="29">
        <f t="shared" si="20"/>
        <v>0</v>
      </c>
      <c r="AS108" s="31">
        <f t="shared" si="20"/>
        <v>0</v>
      </c>
      <c r="AT108" s="29">
        <f t="shared" si="20"/>
        <v>0</v>
      </c>
      <c r="AU108" s="31">
        <f t="shared" si="20"/>
        <v>0</v>
      </c>
      <c r="AV108" s="29">
        <f t="shared" si="20"/>
        <v>0</v>
      </c>
      <c r="AW108" s="31">
        <f t="shared" si="20"/>
        <v>0</v>
      </c>
      <c r="AX108" s="29">
        <f t="shared" si="20"/>
        <v>0</v>
      </c>
      <c r="AY108" s="31">
        <f t="shared" si="20"/>
        <v>0</v>
      </c>
      <c r="AZ108" s="29">
        <f t="shared" si="20"/>
        <v>0</v>
      </c>
      <c r="BA108" s="31">
        <f t="shared" si="20"/>
        <v>0</v>
      </c>
      <c r="BB108" s="29">
        <f t="shared" si="20"/>
        <v>0</v>
      </c>
      <c r="BC108" s="31">
        <f t="shared" si="20"/>
        <v>0</v>
      </c>
      <c r="BD108" s="29">
        <f t="shared" si="20"/>
        <v>0</v>
      </c>
      <c r="BE108" s="31">
        <f t="shared" si="20"/>
        <v>0</v>
      </c>
      <c r="BF108" s="29">
        <f t="shared" si="20"/>
        <v>0</v>
      </c>
      <c r="BG108" s="31">
        <f t="shared" si="20"/>
        <v>0</v>
      </c>
      <c r="BH108" s="29">
        <f t="shared" si="20"/>
        <v>0</v>
      </c>
      <c r="BI108" s="31">
        <f t="shared" si="20"/>
        <v>0</v>
      </c>
      <c r="BJ108" s="41">
        <f t="shared" si="20"/>
        <v>0</v>
      </c>
      <c r="BK108" s="31">
        <f t="shared" si="20"/>
        <v>0</v>
      </c>
      <c r="BL108" s="41">
        <f t="shared" si="20"/>
        <v>0</v>
      </c>
      <c r="BM108" s="31">
        <f>SUM(BM103:BM107)</f>
        <v>0</v>
      </c>
      <c r="BN108" s="32">
        <f>SUM(BN103:BN107)</f>
        <v>0</v>
      </c>
      <c r="BO108" s="40">
        <f>SUM(BO103:BO107)</f>
        <v>0</v>
      </c>
      <c r="BP108" s="245">
        <f>SUM(BP103:BP107)</f>
        <v>2</v>
      </c>
      <c r="BQ108" s="246">
        <f>SUM(BQ103:BQ107)</f>
        <v>2</v>
      </c>
    </row>
    <row r="109" spans="2:69" s="6" customFormat="1" ht="15" customHeight="1">
      <c r="B109" s="123"/>
      <c r="C109" s="150"/>
      <c r="D109" s="71"/>
      <c r="E109" s="71"/>
      <c r="F109" s="71"/>
      <c r="G109" s="71"/>
      <c r="H109" s="71"/>
      <c r="I109" s="71"/>
      <c r="J109" s="71"/>
      <c r="K109" s="71"/>
      <c r="L109" s="71"/>
      <c r="M109" s="71"/>
      <c r="N109" s="71"/>
      <c r="O109" s="71"/>
      <c r="P109" s="71"/>
      <c r="Q109" s="71"/>
      <c r="R109" s="71"/>
      <c r="S109" s="71"/>
      <c r="T109" s="71"/>
      <c r="U109" s="71"/>
      <c r="V109" s="71"/>
      <c r="W109" s="71"/>
      <c r="X109" s="71"/>
      <c r="Y109" s="71"/>
      <c r="Z109" s="71"/>
      <c r="AA109" s="71"/>
      <c r="AB109" s="71"/>
      <c r="AC109" s="71"/>
      <c r="AD109" s="71"/>
      <c r="AE109" s="71"/>
      <c r="AF109" s="71"/>
      <c r="AG109" s="71"/>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34"/>
      <c r="BL109" s="7"/>
      <c r="BM109" s="34"/>
      <c r="BN109" s="7"/>
      <c r="BO109" s="7"/>
      <c r="BP109" s="238"/>
      <c r="BQ109" s="239"/>
    </row>
    <row r="110" spans="2:69" ht="24.95" customHeight="1" thickBot="1">
      <c r="B110" s="120"/>
      <c r="AG110" s="8"/>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8"/>
      <c r="BL110" s="7"/>
      <c r="BM110" s="8"/>
      <c r="BN110" s="7"/>
      <c r="BO110" s="7"/>
      <c r="BP110" s="238"/>
      <c r="BQ110" s="239"/>
    </row>
    <row r="111" spans="2:69" ht="24.95" customHeight="1">
      <c r="B111" s="743" t="s">
        <v>84</v>
      </c>
      <c r="C111" s="749">
        <f>COUNTIF(B114:B124,"*")</f>
        <v>11</v>
      </c>
      <c r="D111" s="751">
        <v>1</v>
      </c>
      <c r="E111" s="738"/>
      <c r="F111" s="737">
        <v>2</v>
      </c>
      <c r="G111" s="738"/>
      <c r="H111" s="737">
        <v>3</v>
      </c>
      <c r="I111" s="738"/>
      <c r="J111" s="737">
        <v>4</v>
      </c>
      <c r="K111" s="738"/>
      <c r="L111" s="737">
        <v>5</v>
      </c>
      <c r="M111" s="738"/>
      <c r="N111" s="737">
        <v>6</v>
      </c>
      <c r="O111" s="738"/>
      <c r="P111" s="737">
        <v>7</v>
      </c>
      <c r="Q111" s="738"/>
      <c r="R111" s="737">
        <v>8</v>
      </c>
      <c r="S111" s="738"/>
      <c r="T111" s="737">
        <v>9</v>
      </c>
      <c r="U111" s="738"/>
      <c r="V111" s="737">
        <v>10</v>
      </c>
      <c r="W111" s="738"/>
      <c r="X111" s="737">
        <v>11</v>
      </c>
      <c r="Y111" s="738"/>
      <c r="Z111" s="737">
        <v>12</v>
      </c>
      <c r="AA111" s="738"/>
      <c r="AB111" s="737">
        <v>13</v>
      </c>
      <c r="AC111" s="738"/>
      <c r="AD111" s="737">
        <v>14</v>
      </c>
      <c r="AE111" s="738"/>
      <c r="AF111" s="737">
        <v>15</v>
      </c>
      <c r="AG111" s="784"/>
      <c r="AH111" s="741">
        <v>16</v>
      </c>
      <c r="AI111" s="741"/>
      <c r="AJ111" s="741">
        <v>17</v>
      </c>
      <c r="AK111" s="741"/>
      <c r="AL111" s="741">
        <v>18</v>
      </c>
      <c r="AM111" s="741"/>
      <c r="AN111" s="741">
        <v>19</v>
      </c>
      <c r="AO111" s="741"/>
      <c r="AP111" s="741">
        <v>20</v>
      </c>
      <c r="AQ111" s="741"/>
      <c r="AR111" s="741">
        <v>21</v>
      </c>
      <c r="AS111" s="741"/>
      <c r="AT111" s="741">
        <v>22</v>
      </c>
      <c r="AU111" s="741"/>
      <c r="AV111" s="741">
        <v>23</v>
      </c>
      <c r="AW111" s="741"/>
      <c r="AX111" s="741">
        <v>24</v>
      </c>
      <c r="AY111" s="741"/>
      <c r="AZ111" s="741">
        <v>25</v>
      </c>
      <c r="BA111" s="741"/>
      <c r="BB111" s="741">
        <v>26</v>
      </c>
      <c r="BC111" s="741"/>
      <c r="BD111" s="741">
        <v>27</v>
      </c>
      <c r="BE111" s="741"/>
      <c r="BF111" s="741">
        <v>28</v>
      </c>
      <c r="BG111" s="741"/>
      <c r="BH111" s="741">
        <v>29</v>
      </c>
      <c r="BI111" s="741"/>
      <c r="BJ111" s="741">
        <v>30</v>
      </c>
      <c r="BK111" s="741"/>
      <c r="BL111" s="741">
        <v>31</v>
      </c>
      <c r="BM111" s="741"/>
      <c r="BN111" s="738" t="s">
        <v>251</v>
      </c>
      <c r="BO111" s="760"/>
      <c r="BP111" s="771" t="s">
        <v>353</v>
      </c>
      <c r="BQ111" s="772"/>
    </row>
    <row r="112" spans="2:69" ht="24.95" customHeight="1">
      <c r="B112" s="744"/>
      <c r="C112" s="747"/>
      <c r="D112" s="752" t="str">
        <f>D2</f>
        <v>土</v>
      </c>
      <c r="E112" s="740"/>
      <c r="F112" s="739" t="str">
        <f>F2</f>
        <v>日</v>
      </c>
      <c r="G112" s="740"/>
      <c r="H112" s="739" t="str">
        <f>H2</f>
        <v>月</v>
      </c>
      <c r="I112" s="740"/>
      <c r="J112" s="739" t="str">
        <f>J2</f>
        <v>火</v>
      </c>
      <c r="K112" s="740"/>
      <c r="L112" s="739" t="str">
        <f>L2</f>
        <v>水</v>
      </c>
      <c r="M112" s="740"/>
      <c r="N112" s="739" t="str">
        <f>N2</f>
        <v>木</v>
      </c>
      <c r="O112" s="740"/>
      <c r="P112" s="739" t="str">
        <f>P2</f>
        <v>金</v>
      </c>
      <c r="Q112" s="740"/>
      <c r="R112" s="739" t="str">
        <f>R2</f>
        <v>土</v>
      </c>
      <c r="S112" s="740"/>
      <c r="T112" s="739" t="str">
        <f>T2</f>
        <v>日</v>
      </c>
      <c r="U112" s="740"/>
      <c r="V112" s="739" t="str">
        <f>V2</f>
        <v>月</v>
      </c>
      <c r="W112" s="740"/>
      <c r="X112" s="739" t="str">
        <f>X2</f>
        <v>火</v>
      </c>
      <c r="Y112" s="740"/>
      <c r="Z112" s="739" t="str">
        <f>Z2</f>
        <v>水</v>
      </c>
      <c r="AA112" s="740"/>
      <c r="AB112" s="739" t="str">
        <f>AB2</f>
        <v>木</v>
      </c>
      <c r="AC112" s="740"/>
      <c r="AD112" s="739" t="str">
        <f>AD2</f>
        <v>金</v>
      </c>
      <c r="AE112" s="740"/>
      <c r="AF112" s="739" t="str">
        <f>AF2</f>
        <v>土</v>
      </c>
      <c r="AG112" s="740"/>
      <c r="AH112" s="786" t="str">
        <f>AH2</f>
        <v>日</v>
      </c>
      <c r="AI112" s="767"/>
      <c r="AJ112" s="770" t="str">
        <f>AJ2</f>
        <v>月</v>
      </c>
      <c r="AK112" s="770"/>
      <c r="AL112" s="770" t="str">
        <f>AL2</f>
        <v>火</v>
      </c>
      <c r="AM112" s="770"/>
      <c r="AN112" s="770" t="str">
        <f>AN2</f>
        <v>水</v>
      </c>
      <c r="AO112" s="770"/>
      <c r="AP112" s="770" t="str">
        <f>AP2</f>
        <v>木</v>
      </c>
      <c r="AQ112" s="770"/>
      <c r="AR112" s="770" t="str">
        <f>AR2</f>
        <v>金</v>
      </c>
      <c r="AS112" s="770"/>
      <c r="AT112" s="770" t="str">
        <f>AT2</f>
        <v>土</v>
      </c>
      <c r="AU112" s="770"/>
      <c r="AV112" s="770" t="str">
        <f>AV2</f>
        <v>日</v>
      </c>
      <c r="AW112" s="770"/>
      <c r="AX112" s="770" t="str">
        <f>AX2</f>
        <v>月</v>
      </c>
      <c r="AY112" s="770"/>
      <c r="AZ112" s="770" t="str">
        <f>AZ2</f>
        <v>火</v>
      </c>
      <c r="BA112" s="770"/>
      <c r="BB112" s="770" t="str">
        <f>BB2</f>
        <v>水</v>
      </c>
      <c r="BC112" s="770"/>
      <c r="BD112" s="770" t="str">
        <f>BD2</f>
        <v>木</v>
      </c>
      <c r="BE112" s="770"/>
      <c r="BF112" s="770" t="str">
        <f>BF2</f>
        <v>金</v>
      </c>
      <c r="BG112" s="770"/>
      <c r="BH112" s="770" t="str">
        <f>BH2</f>
        <v>土</v>
      </c>
      <c r="BI112" s="770"/>
      <c r="BJ112" s="770" t="str">
        <f>BJ2</f>
        <v>日</v>
      </c>
      <c r="BK112" s="770"/>
      <c r="BL112" s="770" t="str">
        <f>BL2</f>
        <v>月</v>
      </c>
      <c r="BM112" s="770"/>
      <c r="BN112" s="761"/>
      <c r="BO112" s="762"/>
      <c r="BP112" s="773"/>
      <c r="BQ112" s="774"/>
    </row>
    <row r="113" spans="2:69" ht="24.95" customHeight="1" thickBot="1">
      <c r="B113" s="748"/>
      <c r="C113" s="750"/>
      <c r="D113" s="92" t="s">
        <v>72</v>
      </c>
      <c r="E113" s="93" t="s">
        <v>73</v>
      </c>
      <c r="F113" s="97" t="s">
        <v>72</v>
      </c>
      <c r="G113" s="93" t="s">
        <v>73</v>
      </c>
      <c r="H113" s="97" t="s">
        <v>72</v>
      </c>
      <c r="I113" s="93" t="s">
        <v>73</v>
      </c>
      <c r="J113" s="92" t="s">
        <v>72</v>
      </c>
      <c r="K113" s="93" t="s">
        <v>73</v>
      </c>
      <c r="L113" s="92" t="s">
        <v>72</v>
      </c>
      <c r="M113" s="93" t="s">
        <v>73</v>
      </c>
      <c r="N113" s="92" t="s">
        <v>72</v>
      </c>
      <c r="O113" s="93" t="s">
        <v>73</v>
      </c>
      <c r="P113" s="92" t="s">
        <v>72</v>
      </c>
      <c r="Q113" s="93" t="s">
        <v>73</v>
      </c>
      <c r="R113" s="92" t="s">
        <v>72</v>
      </c>
      <c r="S113" s="93" t="s">
        <v>73</v>
      </c>
      <c r="T113" s="92" t="s">
        <v>72</v>
      </c>
      <c r="U113" s="93" t="s">
        <v>73</v>
      </c>
      <c r="V113" s="92" t="s">
        <v>72</v>
      </c>
      <c r="W113" s="93" t="s">
        <v>73</v>
      </c>
      <c r="X113" s="92" t="s">
        <v>72</v>
      </c>
      <c r="Y113" s="93" t="s">
        <v>73</v>
      </c>
      <c r="Z113" s="92" t="s">
        <v>72</v>
      </c>
      <c r="AA113" s="94" t="s">
        <v>73</v>
      </c>
      <c r="AB113" s="159" t="s">
        <v>72</v>
      </c>
      <c r="AC113" s="94" t="s">
        <v>73</v>
      </c>
      <c r="AD113" s="159" t="s">
        <v>72</v>
      </c>
      <c r="AE113" s="94" t="s">
        <v>73</v>
      </c>
      <c r="AF113" s="159" t="s">
        <v>72</v>
      </c>
      <c r="AG113" s="94" t="s">
        <v>73</v>
      </c>
      <c r="AH113" s="92" t="s">
        <v>72</v>
      </c>
      <c r="AI113" s="93" t="s">
        <v>73</v>
      </c>
      <c r="AJ113" s="97" t="s">
        <v>72</v>
      </c>
      <c r="AK113" s="93" t="s">
        <v>73</v>
      </c>
      <c r="AL113" s="97" t="s">
        <v>72</v>
      </c>
      <c r="AM113" s="93" t="s">
        <v>73</v>
      </c>
      <c r="AN113" s="92" t="s">
        <v>72</v>
      </c>
      <c r="AO113" s="93" t="s">
        <v>73</v>
      </c>
      <c r="AP113" s="92" t="s">
        <v>72</v>
      </c>
      <c r="AQ113" s="93" t="s">
        <v>73</v>
      </c>
      <c r="AR113" s="92" t="s">
        <v>72</v>
      </c>
      <c r="AS113" s="93" t="s">
        <v>73</v>
      </c>
      <c r="AT113" s="92" t="s">
        <v>72</v>
      </c>
      <c r="AU113" s="93" t="s">
        <v>73</v>
      </c>
      <c r="AV113" s="92" t="s">
        <v>72</v>
      </c>
      <c r="AW113" s="93" t="s">
        <v>73</v>
      </c>
      <c r="AX113" s="92" t="s">
        <v>72</v>
      </c>
      <c r="AY113" s="93" t="s">
        <v>73</v>
      </c>
      <c r="AZ113" s="92" t="s">
        <v>72</v>
      </c>
      <c r="BA113" s="93" t="s">
        <v>73</v>
      </c>
      <c r="BB113" s="92" t="s">
        <v>72</v>
      </c>
      <c r="BC113" s="93" t="s">
        <v>73</v>
      </c>
      <c r="BD113" s="92" t="s">
        <v>72</v>
      </c>
      <c r="BE113" s="94" t="s">
        <v>73</v>
      </c>
      <c r="BF113" s="159" t="s">
        <v>72</v>
      </c>
      <c r="BG113" s="94" t="s">
        <v>73</v>
      </c>
      <c r="BH113" s="159" t="s">
        <v>72</v>
      </c>
      <c r="BI113" s="94" t="s">
        <v>73</v>
      </c>
      <c r="BJ113" s="159" t="s">
        <v>72</v>
      </c>
      <c r="BK113" s="94" t="s">
        <v>73</v>
      </c>
      <c r="BL113" s="159" t="s">
        <v>72</v>
      </c>
      <c r="BM113" s="94" t="s">
        <v>73</v>
      </c>
      <c r="BN113" s="95" t="s">
        <v>72</v>
      </c>
      <c r="BO113" s="96" t="s">
        <v>73</v>
      </c>
      <c r="BP113" s="236" t="s">
        <v>252</v>
      </c>
      <c r="BQ113" s="237" t="s">
        <v>254</v>
      </c>
    </row>
    <row r="114" spans="2:69" s="6" customFormat="1" ht="50.1" customHeight="1" thickTop="1">
      <c r="B114" s="205" t="str">
        <f>'1月'!$B$114</f>
        <v>梅津　昭勝</v>
      </c>
      <c r="C114" s="152"/>
      <c r="D114" s="46"/>
      <c r="E114" s="9"/>
      <c r="F114" s="46"/>
      <c r="G114" s="9"/>
      <c r="H114" s="46"/>
      <c r="I114" s="9"/>
      <c r="J114" s="46"/>
      <c r="K114" s="9"/>
      <c r="L114" s="46"/>
      <c r="M114" s="9"/>
      <c r="N114" s="46"/>
      <c r="O114" s="9"/>
      <c r="P114" s="46"/>
      <c r="Q114" s="9"/>
      <c r="R114" s="46"/>
      <c r="S114" s="9"/>
      <c r="T114" s="46"/>
      <c r="U114" s="9"/>
      <c r="V114" s="46"/>
      <c r="W114" s="9"/>
      <c r="X114" s="46"/>
      <c r="Y114" s="9"/>
      <c r="Z114" s="46"/>
      <c r="AA114" s="9"/>
      <c r="AB114" s="46"/>
      <c r="AC114" s="9"/>
      <c r="AD114" s="46"/>
      <c r="AE114" s="9"/>
      <c r="AF114" s="46"/>
      <c r="AG114" s="10"/>
      <c r="AH114" s="46"/>
      <c r="AI114" s="9"/>
      <c r="AJ114" s="46"/>
      <c r="AK114" s="9"/>
      <c r="AL114" s="46"/>
      <c r="AM114" s="9"/>
      <c r="AN114" s="46"/>
      <c r="AO114" s="9"/>
      <c r="AP114" s="46"/>
      <c r="AQ114" s="9"/>
      <c r="AR114" s="46"/>
      <c r="AS114" s="9"/>
      <c r="AT114" s="46"/>
      <c r="AU114" s="9"/>
      <c r="AV114" s="46"/>
      <c r="AW114" s="9"/>
      <c r="AX114" s="46"/>
      <c r="AY114" s="9"/>
      <c r="AZ114" s="46"/>
      <c r="BA114" s="9"/>
      <c r="BB114" s="46"/>
      <c r="BC114" s="9"/>
      <c r="BD114" s="46"/>
      <c r="BE114" s="9"/>
      <c r="BF114" s="46"/>
      <c r="BG114" s="9"/>
      <c r="BH114" s="46"/>
      <c r="BI114" s="9"/>
      <c r="BJ114" s="46"/>
      <c r="BK114" s="10"/>
      <c r="BL114" s="179"/>
      <c r="BM114" s="9"/>
      <c r="BN114" s="102">
        <f>SUM(D114,F114,H114,J114,L114,N114,P114,R114,T114,V114,X114,Z114,AB114,AD114,AF114,AH114,AJ114,AL114,AN114,AP114,AR114,AT114,AV114,AX114,AZ114,BB114,BD114,BF114,BH114,BJ114,BL114)</f>
        <v>0</v>
      </c>
      <c r="BO114" s="47">
        <f>SUM(E114,G114,I114,K114,M114,O114,Q114,S114,U114,W114,Y114,AA114,AC114,AE114,AG114,AI114,AK114,AM114,AO114,AQ114,AS114,AU114,AW114,AY114,BA114,BC114,BE114,BG114,BI114,BK114,BM114)</f>
        <v>0</v>
      </c>
      <c r="BP114" s="631">
        <f>INDEX('2月'!$B$4:$BQ$375,MATCH('3月'!B114,'2月'!$B$4:$B$375,0),67)+BN114</f>
        <v>0</v>
      </c>
      <c r="BQ114" s="702">
        <f>INDEX('2月'!$B$4:$BQ$375,MATCH('3月'!B114,'2月'!$B$4:$B$375,0),68)+BO114</f>
        <v>0</v>
      </c>
    </row>
    <row r="115" spans="2:69" s="6" customFormat="1" ht="50.1" customHeight="1">
      <c r="B115" s="201" t="str">
        <f>'1月'!$B$115</f>
        <v>石橋　直子</v>
      </c>
      <c r="C115" s="146"/>
      <c r="D115" s="18"/>
      <c r="E115" s="14"/>
      <c r="F115" s="18"/>
      <c r="G115" s="14"/>
      <c r="H115" s="18"/>
      <c r="I115" s="14"/>
      <c r="J115" s="18"/>
      <c r="K115" s="14"/>
      <c r="L115" s="18"/>
      <c r="M115" s="14"/>
      <c r="N115" s="18"/>
      <c r="O115" s="14"/>
      <c r="P115" s="18"/>
      <c r="Q115" s="14"/>
      <c r="R115" s="18"/>
      <c r="S115" s="14"/>
      <c r="T115" s="18"/>
      <c r="U115" s="14"/>
      <c r="V115" s="18"/>
      <c r="W115" s="14"/>
      <c r="X115" s="18"/>
      <c r="Y115" s="14"/>
      <c r="Z115" s="18"/>
      <c r="AA115" s="14"/>
      <c r="AB115" s="18"/>
      <c r="AC115" s="14"/>
      <c r="AD115" s="18"/>
      <c r="AE115" s="14"/>
      <c r="AF115" s="18"/>
      <c r="AG115" s="15"/>
      <c r="AH115" s="18"/>
      <c r="AI115" s="14"/>
      <c r="AJ115" s="18"/>
      <c r="AK115" s="14"/>
      <c r="AL115" s="18"/>
      <c r="AM115" s="14"/>
      <c r="AN115" s="18"/>
      <c r="AO115" s="14"/>
      <c r="AP115" s="18"/>
      <c r="AQ115" s="14"/>
      <c r="AR115" s="18"/>
      <c r="AS115" s="14"/>
      <c r="AT115" s="18"/>
      <c r="AU115" s="14"/>
      <c r="AV115" s="18"/>
      <c r="AW115" s="14"/>
      <c r="AX115" s="18"/>
      <c r="AY115" s="14"/>
      <c r="AZ115" s="18"/>
      <c r="BA115" s="14"/>
      <c r="BB115" s="18"/>
      <c r="BC115" s="14"/>
      <c r="BD115" s="18"/>
      <c r="BE115" s="14"/>
      <c r="BF115" s="18"/>
      <c r="BG115" s="14"/>
      <c r="BH115" s="18"/>
      <c r="BI115" s="14"/>
      <c r="BJ115" s="18"/>
      <c r="BK115" s="15"/>
      <c r="BL115" s="37"/>
      <c r="BM115" s="14"/>
      <c r="BN115" s="102">
        <f t="shared" ref="BN115:BN125" si="21">SUM(D115,F115,H115,J115,L115,N115,P115,R115,T115,V115,X115,Z115,AB115,AD115,AF115,AH115,AJ115,AL115,AN115,AP115,AR115,AT115,AV115,AX115,AZ115,BB115,BD115,BF115,BH115,BJ115,BL115)</f>
        <v>0</v>
      </c>
      <c r="BO115" s="47">
        <f t="shared" ref="BO115:BO125" si="22">SUM(E115,G115,I115,K115,M115,O115,Q115,S115,U115,W115,Y115,AA115,AC115,AE115,AG115,AI115,AK115,AM115,AO115,AQ115,AS115,AU115,AW115,AY115,BA115,BC115,BE115,BG115,BI115,BK115,BM115)</f>
        <v>0</v>
      </c>
      <c r="BP115" s="631">
        <f>INDEX('2月'!$B$4:$BQ$375,MATCH('3月'!B115,'2月'!$B$4:$B$375,0),67)+BN115</f>
        <v>0</v>
      </c>
      <c r="BQ115" s="702">
        <f>INDEX('2月'!$B$4:$BQ$375,MATCH('3月'!B115,'2月'!$B$4:$B$375,0),68)+BO115</f>
        <v>0</v>
      </c>
    </row>
    <row r="116" spans="2:69" s="6" customFormat="1" ht="50.1" customHeight="1">
      <c r="B116" s="201" t="str">
        <f>'1月'!$B$116</f>
        <v>熊谷　剛</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102">
        <f t="shared" si="21"/>
        <v>0</v>
      </c>
      <c r="BO116" s="47">
        <f t="shared" si="22"/>
        <v>0</v>
      </c>
      <c r="BP116" s="631">
        <f>INDEX('2月'!$B$4:$BQ$375,MATCH('3月'!B116,'2月'!$B$4:$B$375,0),67)+BN116</f>
        <v>0</v>
      </c>
      <c r="BQ116" s="702">
        <f>INDEX('2月'!$B$4:$BQ$375,MATCH('3月'!B116,'2月'!$B$4:$B$375,0),68)+BO116</f>
        <v>0</v>
      </c>
    </row>
    <row r="117" spans="2:69" s="6" customFormat="1" ht="50.1" customHeight="1">
      <c r="B117" s="201" t="str">
        <f>'1月'!$B$117</f>
        <v>小西　裕子</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102">
        <f t="shared" si="21"/>
        <v>0</v>
      </c>
      <c r="BO117" s="47">
        <f t="shared" si="22"/>
        <v>0</v>
      </c>
      <c r="BP117" s="631">
        <f>INDEX('2月'!$B$4:$BQ$375,MATCH('3月'!B117,'2月'!$B$4:$B$375,0),67)+BN117</f>
        <v>0</v>
      </c>
      <c r="BQ117" s="702">
        <f>INDEX('2月'!$B$4:$BQ$375,MATCH('3月'!B117,'2月'!$B$4:$B$375,0),68)+BO117</f>
        <v>0</v>
      </c>
    </row>
    <row r="118" spans="2:69" s="6" customFormat="1" ht="50.1" customHeight="1">
      <c r="B118" s="201" t="str">
        <f>'1月'!$B$118</f>
        <v>豊川　真紀</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102">
        <f t="shared" si="21"/>
        <v>0</v>
      </c>
      <c r="BO118" s="47">
        <f t="shared" si="22"/>
        <v>0</v>
      </c>
      <c r="BP118" s="631">
        <f>INDEX('2月'!$B$4:$BQ$375,MATCH('3月'!B118,'2月'!$B$4:$B$375,0),67)+BN118</f>
        <v>0</v>
      </c>
      <c r="BQ118" s="702">
        <f>INDEX('2月'!$B$4:$BQ$375,MATCH('3月'!B118,'2月'!$B$4:$B$375,0),68)+BO118</f>
        <v>0</v>
      </c>
    </row>
    <row r="119" spans="2:69" s="6" customFormat="1" ht="50.1" customHeight="1">
      <c r="B119" s="202" t="str">
        <f>'1月'!$B$119</f>
        <v>野辺地　佳代子</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102">
        <f t="shared" si="21"/>
        <v>0</v>
      </c>
      <c r="BO119" s="47">
        <f t="shared" si="22"/>
        <v>0</v>
      </c>
      <c r="BP119" s="631">
        <f>INDEX('2月'!$B$4:$BQ$375,MATCH('3月'!B119,'2月'!$B$4:$B$375,0),67)+BN119</f>
        <v>0</v>
      </c>
      <c r="BQ119" s="702">
        <f>INDEX('2月'!$B$4:$BQ$375,MATCH('3月'!B119,'2月'!$B$4:$B$375,0),68)+BO119</f>
        <v>0</v>
      </c>
    </row>
    <row r="120" spans="2:69" s="6" customFormat="1" ht="50.1" customHeight="1">
      <c r="B120" s="201" t="str">
        <f>'1月'!$B$120</f>
        <v>渡辺　真由美</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102">
        <f t="shared" si="21"/>
        <v>0</v>
      </c>
      <c r="BO120" s="47">
        <f t="shared" si="22"/>
        <v>0</v>
      </c>
      <c r="BP120" s="631">
        <f>INDEX('2月'!$B$4:$BQ$375,MATCH('3月'!B120,'2月'!$B$4:$B$375,0),67)+BN120</f>
        <v>0</v>
      </c>
      <c r="BQ120" s="702">
        <f>INDEX('2月'!$B$4:$BQ$375,MATCH('3月'!B120,'2月'!$B$4:$B$375,0),68)+BO120</f>
        <v>0</v>
      </c>
    </row>
    <row r="121" spans="2:69" s="6" customFormat="1" ht="50.1" customHeight="1">
      <c r="B121" s="201" t="str">
        <f>'1月'!$B$121</f>
        <v>中山　知佳</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102">
        <f t="shared" si="21"/>
        <v>0</v>
      </c>
      <c r="BO121" s="47">
        <f t="shared" si="22"/>
        <v>0</v>
      </c>
      <c r="BP121" s="631">
        <f>INDEX('2月'!$B$4:$BQ$375,MATCH('3月'!B121,'2月'!$B$4:$B$375,0),67)+BN121</f>
        <v>0</v>
      </c>
      <c r="BQ121" s="702">
        <f>INDEX('2月'!$B$4:$BQ$375,MATCH('3月'!B121,'2月'!$B$4:$B$375,0),68)+BO121</f>
        <v>0</v>
      </c>
    </row>
    <row r="122" spans="2:69" s="4" customFormat="1" ht="50.1" customHeight="1">
      <c r="B122" s="201" t="str">
        <f>'1月'!$B$122</f>
        <v>庭田　留美子</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102">
        <f t="shared" si="21"/>
        <v>0</v>
      </c>
      <c r="BO122" s="47">
        <f t="shared" si="22"/>
        <v>0</v>
      </c>
      <c r="BP122" s="631">
        <f>INDEX('2月'!$B$4:$BQ$375,MATCH('3月'!B122,'2月'!$B$4:$B$375,0),67)+BN122</f>
        <v>2</v>
      </c>
      <c r="BQ122" s="702">
        <f>INDEX('2月'!$B$4:$BQ$375,MATCH('3月'!B122,'2月'!$B$4:$B$375,0),68)+BO122</f>
        <v>4</v>
      </c>
    </row>
    <row r="123" spans="2:69" s="4" customFormat="1" ht="50.1" customHeight="1">
      <c r="B123" s="201" t="str">
        <f>'1月'!$B$123</f>
        <v>古里　剛</v>
      </c>
      <c r="C123" s="147"/>
      <c r="D123" s="18"/>
      <c r="E123" s="14"/>
      <c r="F123" s="50"/>
      <c r="G123" s="20"/>
      <c r="H123" s="50"/>
      <c r="I123" s="20"/>
      <c r="J123" s="50"/>
      <c r="K123" s="20"/>
      <c r="L123" s="50"/>
      <c r="M123" s="20"/>
      <c r="N123" s="50"/>
      <c r="O123" s="20"/>
      <c r="P123" s="50"/>
      <c r="Q123" s="20"/>
      <c r="R123" s="50"/>
      <c r="S123" s="20"/>
      <c r="T123" s="50"/>
      <c r="U123" s="20"/>
      <c r="V123" s="50"/>
      <c r="W123" s="20"/>
      <c r="X123" s="50"/>
      <c r="Y123" s="20"/>
      <c r="Z123" s="50"/>
      <c r="AA123" s="20"/>
      <c r="AB123" s="50"/>
      <c r="AC123" s="20"/>
      <c r="AD123" s="50"/>
      <c r="AE123" s="20"/>
      <c r="AF123" s="50"/>
      <c r="AG123" s="21"/>
      <c r="AH123" s="50"/>
      <c r="AI123" s="20"/>
      <c r="AJ123" s="50"/>
      <c r="AK123" s="20"/>
      <c r="AL123" s="50"/>
      <c r="AM123" s="20"/>
      <c r="AN123" s="50"/>
      <c r="AO123" s="20"/>
      <c r="AP123" s="50"/>
      <c r="AQ123" s="20"/>
      <c r="AR123" s="50"/>
      <c r="AS123" s="20"/>
      <c r="AT123" s="50"/>
      <c r="AU123" s="20"/>
      <c r="AV123" s="50"/>
      <c r="AW123" s="20"/>
      <c r="AX123" s="50"/>
      <c r="AY123" s="20"/>
      <c r="AZ123" s="50"/>
      <c r="BA123" s="20"/>
      <c r="BB123" s="50"/>
      <c r="BC123" s="20"/>
      <c r="BD123" s="50"/>
      <c r="BE123" s="20"/>
      <c r="BF123" s="50"/>
      <c r="BG123" s="20"/>
      <c r="BH123" s="50"/>
      <c r="BI123" s="20"/>
      <c r="BJ123" s="50"/>
      <c r="BK123" s="21"/>
      <c r="BL123" s="38"/>
      <c r="BM123" s="20"/>
      <c r="BN123" s="102">
        <f t="shared" si="21"/>
        <v>0</v>
      </c>
      <c r="BO123" s="47">
        <f t="shared" si="22"/>
        <v>0</v>
      </c>
      <c r="BP123" s="631">
        <f>INDEX('2月'!$B$4:$BQ$375,MATCH('3月'!B123,'2月'!$B$4:$B$375,0),67)+BN123</f>
        <v>4</v>
      </c>
      <c r="BQ123" s="702">
        <f>INDEX('2月'!$B$4:$BQ$375,MATCH('3月'!B123,'2月'!$B$4:$B$375,0),68)+BO123</f>
        <v>4</v>
      </c>
    </row>
    <row r="124" spans="2:69" s="4" customFormat="1" ht="50.1" customHeight="1">
      <c r="B124" s="201" t="str">
        <f>'1月'!$B$124</f>
        <v>橋本　薫</v>
      </c>
      <c r="C124" s="147"/>
      <c r="D124" s="50"/>
      <c r="E124" s="20"/>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102">
        <f t="shared" si="21"/>
        <v>0</v>
      </c>
      <c r="BO124" s="47">
        <f t="shared" si="22"/>
        <v>0</v>
      </c>
      <c r="BP124" s="631">
        <f>INDEX('2月'!$B$4:$BQ$375,MATCH('3月'!B124,'2月'!$B$4:$B$375,0),67)+BN124</f>
        <v>0</v>
      </c>
      <c r="BQ124" s="702">
        <f>INDEX('2月'!$B$4:$BQ$375,MATCH('3月'!B124,'2月'!$B$4:$B$375,0),68)+BO124</f>
        <v>0</v>
      </c>
    </row>
    <row r="125" spans="2:69" s="4" customFormat="1" ht="50.1" customHeight="1" thickBot="1">
      <c r="B125" s="201" t="str">
        <f>'1月'!$B$125</f>
        <v>近藤　綾乃</v>
      </c>
      <c r="C125" s="148"/>
      <c r="D125" s="48"/>
      <c r="E125" s="24"/>
      <c r="F125" s="48"/>
      <c r="G125" s="24"/>
      <c r="H125" s="48"/>
      <c r="I125" s="24"/>
      <c r="J125" s="48"/>
      <c r="K125" s="24"/>
      <c r="L125" s="48"/>
      <c r="M125" s="24"/>
      <c r="N125" s="48"/>
      <c r="O125" s="24"/>
      <c r="P125" s="48"/>
      <c r="Q125" s="24"/>
      <c r="R125" s="48"/>
      <c r="S125" s="24"/>
      <c r="T125" s="48"/>
      <c r="U125" s="24"/>
      <c r="V125" s="48"/>
      <c r="W125" s="24"/>
      <c r="X125" s="48"/>
      <c r="Y125" s="24"/>
      <c r="Z125" s="48"/>
      <c r="AA125" s="24"/>
      <c r="AB125" s="48"/>
      <c r="AC125" s="24"/>
      <c r="AD125" s="48"/>
      <c r="AE125" s="24"/>
      <c r="AF125" s="48"/>
      <c r="AG125" s="25"/>
      <c r="AH125" s="48"/>
      <c r="AI125" s="24"/>
      <c r="AJ125" s="48"/>
      <c r="AK125" s="24"/>
      <c r="AL125" s="48"/>
      <c r="AM125" s="24"/>
      <c r="AN125" s="48"/>
      <c r="AO125" s="24"/>
      <c r="AP125" s="48"/>
      <c r="AQ125" s="24"/>
      <c r="AR125" s="48"/>
      <c r="AS125" s="24"/>
      <c r="AT125" s="48"/>
      <c r="AU125" s="24"/>
      <c r="AV125" s="48"/>
      <c r="AW125" s="24"/>
      <c r="AX125" s="48"/>
      <c r="AY125" s="24"/>
      <c r="AZ125" s="48"/>
      <c r="BA125" s="24"/>
      <c r="BB125" s="48"/>
      <c r="BC125" s="24"/>
      <c r="BD125" s="48"/>
      <c r="BE125" s="24"/>
      <c r="BF125" s="48"/>
      <c r="BG125" s="24"/>
      <c r="BH125" s="48"/>
      <c r="BI125" s="24"/>
      <c r="BJ125" s="48"/>
      <c r="BK125" s="25"/>
      <c r="BL125" s="193"/>
      <c r="BM125" s="24"/>
      <c r="BN125" s="102">
        <f t="shared" si="21"/>
        <v>0</v>
      </c>
      <c r="BO125" s="47">
        <f t="shared" si="22"/>
        <v>0</v>
      </c>
      <c r="BP125" s="631">
        <f>INDEX('2月'!$B$4:$BQ$375,MATCH('3月'!B125,'2月'!$B$4:$B$375,0),67)+BN125</f>
        <v>0</v>
      </c>
      <c r="BQ125" s="702">
        <f>INDEX('2月'!$B$4:$BQ$375,MATCH('3月'!B125,'2月'!$B$4:$B$375,0),68)+BO125</f>
        <v>0</v>
      </c>
    </row>
    <row r="126" spans="2:69" s="6" customFormat="1" ht="45" customHeight="1" thickBot="1">
      <c r="B126" s="119" t="s">
        <v>101</v>
      </c>
      <c r="C126" s="149"/>
      <c r="D126" s="29">
        <f t="shared" ref="D126:AG126" si="23">SUM(D114:D125)</f>
        <v>0</v>
      </c>
      <c r="E126" s="31">
        <f t="shared" si="23"/>
        <v>0</v>
      </c>
      <c r="F126" s="29">
        <f t="shared" si="23"/>
        <v>0</v>
      </c>
      <c r="G126" s="31">
        <f t="shared" si="23"/>
        <v>0</v>
      </c>
      <c r="H126" s="29">
        <f t="shared" si="23"/>
        <v>0</v>
      </c>
      <c r="I126" s="31">
        <f t="shared" si="23"/>
        <v>0</v>
      </c>
      <c r="J126" s="29">
        <f t="shared" si="23"/>
        <v>0</v>
      </c>
      <c r="K126" s="31">
        <f t="shared" si="23"/>
        <v>0</v>
      </c>
      <c r="L126" s="29">
        <f t="shared" si="23"/>
        <v>0</v>
      </c>
      <c r="M126" s="31">
        <f t="shared" si="23"/>
        <v>0</v>
      </c>
      <c r="N126" s="29">
        <f t="shared" si="23"/>
        <v>0</v>
      </c>
      <c r="O126" s="31">
        <f t="shared" si="23"/>
        <v>0</v>
      </c>
      <c r="P126" s="29">
        <f t="shared" si="23"/>
        <v>0</v>
      </c>
      <c r="Q126" s="31">
        <f t="shared" si="23"/>
        <v>0</v>
      </c>
      <c r="R126" s="29">
        <f t="shared" si="23"/>
        <v>0</v>
      </c>
      <c r="S126" s="31">
        <f t="shared" si="23"/>
        <v>0</v>
      </c>
      <c r="T126" s="29">
        <f t="shared" si="23"/>
        <v>0</v>
      </c>
      <c r="U126" s="31">
        <f t="shared" si="23"/>
        <v>0</v>
      </c>
      <c r="V126" s="29">
        <f t="shared" si="23"/>
        <v>0</v>
      </c>
      <c r="W126" s="31">
        <f t="shared" si="23"/>
        <v>0</v>
      </c>
      <c r="X126" s="29">
        <f t="shared" si="23"/>
        <v>0</v>
      </c>
      <c r="Y126" s="31">
        <f t="shared" si="23"/>
        <v>0</v>
      </c>
      <c r="Z126" s="29">
        <f t="shared" si="23"/>
        <v>0</v>
      </c>
      <c r="AA126" s="31">
        <f t="shared" si="23"/>
        <v>0</v>
      </c>
      <c r="AB126" s="29">
        <f t="shared" si="23"/>
        <v>0</v>
      </c>
      <c r="AC126" s="31">
        <f t="shared" si="23"/>
        <v>0</v>
      </c>
      <c r="AD126" s="29">
        <f t="shared" si="23"/>
        <v>0</v>
      </c>
      <c r="AE126" s="31">
        <f t="shared" si="23"/>
        <v>0</v>
      </c>
      <c r="AF126" s="29">
        <f t="shared" si="23"/>
        <v>0</v>
      </c>
      <c r="AG126" s="41">
        <f t="shared" si="23"/>
        <v>0</v>
      </c>
      <c r="AH126" s="29">
        <f>SUM(AH114:AH123)</f>
        <v>0</v>
      </c>
      <c r="AI126" s="31">
        <f>SUM(AI114:AI123)</f>
        <v>0</v>
      </c>
      <c r="AJ126" s="29">
        <f t="shared" ref="AJ126:BQ126" si="24">SUM(AJ114:AJ125)</f>
        <v>0</v>
      </c>
      <c r="AK126" s="31">
        <f t="shared" si="24"/>
        <v>0</v>
      </c>
      <c r="AL126" s="29">
        <f t="shared" si="24"/>
        <v>0</v>
      </c>
      <c r="AM126" s="31">
        <f t="shared" si="24"/>
        <v>0</v>
      </c>
      <c r="AN126" s="29">
        <f t="shared" si="24"/>
        <v>0</v>
      </c>
      <c r="AO126" s="31">
        <f t="shared" si="24"/>
        <v>0</v>
      </c>
      <c r="AP126" s="29">
        <f t="shared" si="24"/>
        <v>0</v>
      </c>
      <c r="AQ126" s="31">
        <f t="shared" si="24"/>
        <v>0</v>
      </c>
      <c r="AR126" s="29">
        <f t="shared" si="24"/>
        <v>0</v>
      </c>
      <c r="AS126" s="31">
        <f t="shared" si="24"/>
        <v>0</v>
      </c>
      <c r="AT126" s="29">
        <f t="shared" si="24"/>
        <v>0</v>
      </c>
      <c r="AU126" s="31">
        <f t="shared" si="24"/>
        <v>0</v>
      </c>
      <c r="AV126" s="29">
        <f t="shared" si="24"/>
        <v>0</v>
      </c>
      <c r="AW126" s="31">
        <f t="shared" si="24"/>
        <v>0</v>
      </c>
      <c r="AX126" s="29">
        <f t="shared" si="24"/>
        <v>0</v>
      </c>
      <c r="AY126" s="31">
        <f t="shared" si="24"/>
        <v>0</v>
      </c>
      <c r="AZ126" s="29">
        <f t="shared" si="24"/>
        <v>0</v>
      </c>
      <c r="BA126" s="31">
        <f t="shared" si="24"/>
        <v>0</v>
      </c>
      <c r="BB126" s="29">
        <f t="shared" si="24"/>
        <v>0</v>
      </c>
      <c r="BC126" s="31">
        <f t="shared" si="24"/>
        <v>0</v>
      </c>
      <c r="BD126" s="29">
        <f t="shared" si="24"/>
        <v>0</v>
      </c>
      <c r="BE126" s="31">
        <f t="shared" si="24"/>
        <v>0</v>
      </c>
      <c r="BF126" s="29">
        <f t="shared" si="24"/>
        <v>0</v>
      </c>
      <c r="BG126" s="31">
        <f t="shared" si="24"/>
        <v>0</v>
      </c>
      <c r="BH126" s="29">
        <f t="shared" si="24"/>
        <v>0</v>
      </c>
      <c r="BI126" s="31">
        <f t="shared" si="24"/>
        <v>0</v>
      </c>
      <c r="BJ126" s="29">
        <f t="shared" si="24"/>
        <v>0</v>
      </c>
      <c r="BK126" s="41">
        <f t="shared" si="24"/>
        <v>0</v>
      </c>
      <c r="BL126" s="39">
        <f t="shared" si="24"/>
        <v>0</v>
      </c>
      <c r="BM126" s="31">
        <f t="shared" si="24"/>
        <v>0</v>
      </c>
      <c r="BN126" s="32">
        <f t="shared" si="24"/>
        <v>0</v>
      </c>
      <c r="BO126" s="40">
        <f t="shared" si="24"/>
        <v>0</v>
      </c>
      <c r="BP126" s="245">
        <f t="shared" si="24"/>
        <v>6</v>
      </c>
      <c r="BQ126" s="246">
        <f t="shared" si="24"/>
        <v>8</v>
      </c>
    </row>
    <row r="127" spans="2:69" ht="24.95" customHeight="1">
      <c r="B127" s="120"/>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34"/>
      <c r="BL127" s="7"/>
      <c r="BM127" s="34"/>
      <c r="BN127" s="7"/>
      <c r="BO127" s="7"/>
      <c r="BP127" s="238"/>
      <c r="BQ127" s="239"/>
    </row>
    <row r="128" spans="2:69" ht="24.95" customHeight="1" thickBo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8"/>
      <c r="BL128" s="7"/>
      <c r="BM128" s="8"/>
      <c r="BN128" s="7"/>
      <c r="BO128" s="7"/>
      <c r="BP128" s="238"/>
      <c r="BQ128" s="239"/>
    </row>
    <row r="129" spans="2:69" ht="24.95" customHeight="1">
      <c r="B129" s="743" t="s">
        <v>85</v>
      </c>
      <c r="C129" s="749">
        <f>COUNTIF(B132:B141,"*")</f>
        <v>9</v>
      </c>
      <c r="D129" s="751">
        <v>1</v>
      </c>
      <c r="E129" s="738"/>
      <c r="F129" s="737">
        <v>2</v>
      </c>
      <c r="G129" s="738"/>
      <c r="H129" s="737">
        <v>3</v>
      </c>
      <c r="I129" s="738"/>
      <c r="J129" s="737">
        <v>4</v>
      </c>
      <c r="K129" s="738"/>
      <c r="L129" s="737">
        <v>5</v>
      </c>
      <c r="M129" s="738"/>
      <c r="N129" s="737">
        <v>6</v>
      </c>
      <c r="O129" s="738"/>
      <c r="P129" s="737">
        <v>7</v>
      </c>
      <c r="Q129" s="738"/>
      <c r="R129" s="737">
        <v>8</v>
      </c>
      <c r="S129" s="738"/>
      <c r="T129" s="737">
        <v>9</v>
      </c>
      <c r="U129" s="738"/>
      <c r="V129" s="737">
        <v>10</v>
      </c>
      <c r="W129" s="738"/>
      <c r="X129" s="737">
        <v>11</v>
      </c>
      <c r="Y129" s="738"/>
      <c r="Z129" s="737">
        <v>12</v>
      </c>
      <c r="AA129" s="738"/>
      <c r="AB129" s="737">
        <v>13</v>
      </c>
      <c r="AC129" s="738"/>
      <c r="AD129" s="737">
        <v>14</v>
      </c>
      <c r="AE129" s="738"/>
      <c r="AF129" s="737">
        <v>15</v>
      </c>
      <c r="AG129" s="784"/>
      <c r="AH129" s="741">
        <v>16</v>
      </c>
      <c r="AI129" s="741"/>
      <c r="AJ129" s="741">
        <v>17</v>
      </c>
      <c r="AK129" s="741"/>
      <c r="AL129" s="741">
        <v>18</v>
      </c>
      <c r="AM129" s="741"/>
      <c r="AN129" s="741">
        <v>19</v>
      </c>
      <c r="AO129" s="741"/>
      <c r="AP129" s="741">
        <v>20</v>
      </c>
      <c r="AQ129" s="741"/>
      <c r="AR129" s="741">
        <v>21</v>
      </c>
      <c r="AS129" s="741"/>
      <c r="AT129" s="741">
        <v>22</v>
      </c>
      <c r="AU129" s="741"/>
      <c r="AV129" s="741">
        <v>23</v>
      </c>
      <c r="AW129" s="741"/>
      <c r="AX129" s="741">
        <v>24</v>
      </c>
      <c r="AY129" s="741"/>
      <c r="AZ129" s="741">
        <v>25</v>
      </c>
      <c r="BA129" s="741"/>
      <c r="BB129" s="741">
        <v>26</v>
      </c>
      <c r="BC129" s="741"/>
      <c r="BD129" s="741">
        <v>27</v>
      </c>
      <c r="BE129" s="741"/>
      <c r="BF129" s="741">
        <v>28</v>
      </c>
      <c r="BG129" s="741"/>
      <c r="BH129" s="741">
        <v>29</v>
      </c>
      <c r="BI129" s="741"/>
      <c r="BJ129" s="741">
        <v>30</v>
      </c>
      <c r="BK129" s="741"/>
      <c r="BL129" s="741">
        <v>31</v>
      </c>
      <c r="BM129" s="741"/>
      <c r="BN129" s="738" t="s">
        <v>251</v>
      </c>
      <c r="BO129" s="760"/>
      <c r="BP129" s="771" t="s">
        <v>353</v>
      </c>
      <c r="BQ129" s="772"/>
    </row>
    <row r="130" spans="2:69" ht="24.95" customHeight="1">
      <c r="B130" s="744"/>
      <c r="C130" s="747"/>
      <c r="D130" s="752" t="str">
        <f>D2</f>
        <v>土</v>
      </c>
      <c r="E130" s="740"/>
      <c r="F130" s="739" t="str">
        <f>F2</f>
        <v>日</v>
      </c>
      <c r="G130" s="740"/>
      <c r="H130" s="739" t="str">
        <f>H2</f>
        <v>月</v>
      </c>
      <c r="I130" s="740"/>
      <c r="J130" s="739" t="str">
        <f>J2</f>
        <v>火</v>
      </c>
      <c r="K130" s="740"/>
      <c r="L130" s="739" t="str">
        <f>L2</f>
        <v>水</v>
      </c>
      <c r="M130" s="740"/>
      <c r="N130" s="739" t="str">
        <f>N2</f>
        <v>木</v>
      </c>
      <c r="O130" s="740"/>
      <c r="P130" s="739" t="str">
        <f>P2</f>
        <v>金</v>
      </c>
      <c r="Q130" s="740"/>
      <c r="R130" s="739" t="str">
        <f>R2</f>
        <v>土</v>
      </c>
      <c r="S130" s="740"/>
      <c r="T130" s="739" t="str">
        <f>T2</f>
        <v>日</v>
      </c>
      <c r="U130" s="740"/>
      <c r="V130" s="739" t="str">
        <f>V2</f>
        <v>月</v>
      </c>
      <c r="W130" s="740"/>
      <c r="X130" s="739" t="str">
        <f>X2</f>
        <v>火</v>
      </c>
      <c r="Y130" s="740"/>
      <c r="Z130" s="739" t="str">
        <f>Z2</f>
        <v>水</v>
      </c>
      <c r="AA130" s="740"/>
      <c r="AB130" s="739" t="str">
        <f>AB2</f>
        <v>木</v>
      </c>
      <c r="AC130" s="740"/>
      <c r="AD130" s="739" t="str">
        <f>AD2</f>
        <v>金</v>
      </c>
      <c r="AE130" s="740"/>
      <c r="AF130" s="739" t="str">
        <f>AF2</f>
        <v>土</v>
      </c>
      <c r="AG130" s="740"/>
      <c r="AH130" s="786" t="str">
        <f>AH2</f>
        <v>日</v>
      </c>
      <c r="AI130" s="767"/>
      <c r="AJ130" s="770" t="str">
        <f>AJ2</f>
        <v>月</v>
      </c>
      <c r="AK130" s="770"/>
      <c r="AL130" s="770" t="str">
        <f>AL2</f>
        <v>火</v>
      </c>
      <c r="AM130" s="770"/>
      <c r="AN130" s="770" t="str">
        <f>AN2</f>
        <v>水</v>
      </c>
      <c r="AO130" s="770"/>
      <c r="AP130" s="770" t="str">
        <f>AP2</f>
        <v>木</v>
      </c>
      <c r="AQ130" s="770"/>
      <c r="AR130" s="770" t="str">
        <f>AR2</f>
        <v>金</v>
      </c>
      <c r="AS130" s="770"/>
      <c r="AT130" s="770" t="str">
        <f>AT2</f>
        <v>土</v>
      </c>
      <c r="AU130" s="770"/>
      <c r="AV130" s="770" t="str">
        <f>AV2</f>
        <v>日</v>
      </c>
      <c r="AW130" s="770"/>
      <c r="AX130" s="770" t="str">
        <f>AX2</f>
        <v>月</v>
      </c>
      <c r="AY130" s="770"/>
      <c r="AZ130" s="770" t="str">
        <f>AZ2</f>
        <v>火</v>
      </c>
      <c r="BA130" s="770"/>
      <c r="BB130" s="770" t="str">
        <f>BB2</f>
        <v>水</v>
      </c>
      <c r="BC130" s="770"/>
      <c r="BD130" s="770" t="str">
        <f>BD2</f>
        <v>木</v>
      </c>
      <c r="BE130" s="770"/>
      <c r="BF130" s="770" t="str">
        <f>BF2</f>
        <v>金</v>
      </c>
      <c r="BG130" s="770"/>
      <c r="BH130" s="770" t="str">
        <f>BH2</f>
        <v>土</v>
      </c>
      <c r="BI130" s="770"/>
      <c r="BJ130" s="770" t="str">
        <f>BJ2</f>
        <v>日</v>
      </c>
      <c r="BK130" s="770"/>
      <c r="BL130" s="770" t="str">
        <f>BL2</f>
        <v>月</v>
      </c>
      <c r="BM130" s="770"/>
      <c r="BN130" s="761"/>
      <c r="BO130" s="762"/>
      <c r="BP130" s="773"/>
      <c r="BQ130" s="774"/>
    </row>
    <row r="131" spans="2:69" ht="24.95" customHeight="1" thickBot="1">
      <c r="B131" s="744"/>
      <c r="C131" s="747"/>
      <c r="D131" s="482" t="s">
        <v>72</v>
      </c>
      <c r="E131" s="583" t="s">
        <v>73</v>
      </c>
      <c r="F131" s="582" t="s">
        <v>72</v>
      </c>
      <c r="G131" s="583" t="s">
        <v>73</v>
      </c>
      <c r="H131" s="582" t="s">
        <v>72</v>
      </c>
      <c r="I131" s="583" t="s">
        <v>73</v>
      </c>
      <c r="J131" s="482" t="s">
        <v>72</v>
      </c>
      <c r="K131" s="583" t="s">
        <v>73</v>
      </c>
      <c r="L131" s="482" t="s">
        <v>72</v>
      </c>
      <c r="M131" s="583" t="s">
        <v>73</v>
      </c>
      <c r="N131" s="482" t="s">
        <v>72</v>
      </c>
      <c r="O131" s="583" t="s">
        <v>73</v>
      </c>
      <c r="P131" s="482" t="s">
        <v>72</v>
      </c>
      <c r="Q131" s="583" t="s">
        <v>73</v>
      </c>
      <c r="R131" s="482" t="s">
        <v>72</v>
      </c>
      <c r="S131" s="583" t="s">
        <v>73</v>
      </c>
      <c r="T131" s="482" t="s">
        <v>72</v>
      </c>
      <c r="U131" s="583" t="s">
        <v>73</v>
      </c>
      <c r="V131" s="482" t="s">
        <v>72</v>
      </c>
      <c r="W131" s="583" t="s">
        <v>73</v>
      </c>
      <c r="X131" s="482" t="s">
        <v>72</v>
      </c>
      <c r="Y131" s="583" t="s">
        <v>73</v>
      </c>
      <c r="Z131" s="482" t="s">
        <v>72</v>
      </c>
      <c r="AA131" s="584" t="s">
        <v>73</v>
      </c>
      <c r="AB131" s="552" t="s">
        <v>72</v>
      </c>
      <c r="AC131" s="584" t="s">
        <v>73</v>
      </c>
      <c r="AD131" s="552" t="s">
        <v>72</v>
      </c>
      <c r="AE131" s="584" t="s">
        <v>73</v>
      </c>
      <c r="AF131" s="552" t="s">
        <v>72</v>
      </c>
      <c r="AG131" s="584" t="s">
        <v>73</v>
      </c>
      <c r="AH131" s="482" t="s">
        <v>72</v>
      </c>
      <c r="AI131" s="583" t="s">
        <v>73</v>
      </c>
      <c r="AJ131" s="582" t="s">
        <v>72</v>
      </c>
      <c r="AK131" s="583" t="s">
        <v>73</v>
      </c>
      <c r="AL131" s="582" t="s">
        <v>72</v>
      </c>
      <c r="AM131" s="583" t="s">
        <v>73</v>
      </c>
      <c r="AN131" s="482" t="s">
        <v>72</v>
      </c>
      <c r="AO131" s="583" t="s">
        <v>73</v>
      </c>
      <c r="AP131" s="482" t="s">
        <v>72</v>
      </c>
      <c r="AQ131" s="583" t="s">
        <v>73</v>
      </c>
      <c r="AR131" s="482" t="s">
        <v>72</v>
      </c>
      <c r="AS131" s="583" t="s">
        <v>73</v>
      </c>
      <c r="AT131" s="92" t="s">
        <v>72</v>
      </c>
      <c r="AU131" s="93" t="s">
        <v>73</v>
      </c>
      <c r="AV131" s="92" t="s">
        <v>72</v>
      </c>
      <c r="AW131" s="93" t="s">
        <v>73</v>
      </c>
      <c r="AX131" s="92" t="s">
        <v>72</v>
      </c>
      <c r="AY131" s="93" t="s">
        <v>73</v>
      </c>
      <c r="AZ131" s="92" t="s">
        <v>72</v>
      </c>
      <c r="BA131" s="93" t="s">
        <v>73</v>
      </c>
      <c r="BB131" s="92" t="s">
        <v>72</v>
      </c>
      <c r="BC131" s="93" t="s">
        <v>73</v>
      </c>
      <c r="BD131" s="92" t="s">
        <v>72</v>
      </c>
      <c r="BE131" s="94" t="s">
        <v>73</v>
      </c>
      <c r="BF131" s="159" t="s">
        <v>72</v>
      </c>
      <c r="BG131" s="94" t="s">
        <v>73</v>
      </c>
      <c r="BH131" s="159" t="s">
        <v>72</v>
      </c>
      <c r="BI131" s="94" t="s">
        <v>73</v>
      </c>
      <c r="BJ131" s="159" t="s">
        <v>72</v>
      </c>
      <c r="BK131" s="94" t="s">
        <v>73</v>
      </c>
      <c r="BL131" s="159" t="s">
        <v>72</v>
      </c>
      <c r="BM131" s="94" t="s">
        <v>73</v>
      </c>
      <c r="BN131" s="95" t="s">
        <v>72</v>
      </c>
      <c r="BO131" s="96" t="s">
        <v>73</v>
      </c>
      <c r="BP131" s="236" t="s">
        <v>252</v>
      </c>
      <c r="BQ131" s="237" t="s">
        <v>254</v>
      </c>
    </row>
    <row r="132" spans="2:69" ht="45" customHeight="1" thickTop="1" thickBot="1">
      <c r="B132" s="661" t="str">
        <f>'1月'!$B$132</f>
        <v>工藤　虹都</v>
      </c>
      <c r="C132" s="662"/>
      <c r="D132" s="663"/>
      <c r="E132" s="664"/>
      <c r="F132" s="663"/>
      <c r="G132" s="664"/>
      <c r="H132" s="663"/>
      <c r="I132" s="664"/>
      <c r="J132" s="663"/>
      <c r="K132" s="664"/>
      <c r="L132" s="663"/>
      <c r="M132" s="664"/>
      <c r="N132" s="663"/>
      <c r="O132" s="664"/>
      <c r="P132" s="663"/>
      <c r="Q132" s="664"/>
      <c r="R132" s="663"/>
      <c r="S132" s="664"/>
      <c r="T132" s="663"/>
      <c r="U132" s="664"/>
      <c r="V132" s="663"/>
      <c r="W132" s="664"/>
      <c r="X132" s="663"/>
      <c r="Y132" s="664"/>
      <c r="Z132" s="663"/>
      <c r="AA132" s="665"/>
      <c r="AB132" s="663"/>
      <c r="AC132" s="665"/>
      <c r="AD132" s="663"/>
      <c r="AE132" s="665"/>
      <c r="AF132" s="663"/>
      <c r="AG132" s="665"/>
      <c r="AH132" s="663"/>
      <c r="AI132" s="664"/>
      <c r="AJ132" s="663"/>
      <c r="AK132" s="664"/>
      <c r="AL132" s="663"/>
      <c r="AM132" s="664"/>
      <c r="AN132" s="663"/>
      <c r="AO132" s="664"/>
      <c r="AP132" s="663"/>
      <c r="AQ132" s="664"/>
      <c r="AR132" s="663"/>
      <c r="AS132" s="664"/>
      <c r="AT132" s="483"/>
      <c r="AU132" s="527"/>
      <c r="AV132" s="483"/>
      <c r="AW132" s="527"/>
      <c r="AX132" s="483"/>
      <c r="AY132" s="527"/>
      <c r="AZ132" s="483"/>
      <c r="BA132" s="527"/>
      <c r="BB132" s="483"/>
      <c r="BC132" s="527"/>
      <c r="BD132" s="483"/>
      <c r="BE132" s="528"/>
      <c r="BF132" s="483"/>
      <c r="BG132" s="528"/>
      <c r="BH132" s="483"/>
      <c r="BI132" s="528"/>
      <c r="BJ132" s="483"/>
      <c r="BK132" s="528"/>
      <c r="BL132" s="659"/>
      <c r="BM132" s="528"/>
      <c r="BN132" s="660"/>
      <c r="BO132" s="585"/>
      <c r="BP132" s="631">
        <f>INDEX('2月'!$B$4:$BQ$375,MATCH('3月'!B132,'2月'!$B$4:$B$375,0),67)+BN132</f>
        <v>0</v>
      </c>
      <c r="BQ132" s="702">
        <f>INDEX('2月'!$B$4:$BQ$375,MATCH('3月'!B132,'2月'!$B$4:$B$375,0),68)+BO132</f>
        <v>0</v>
      </c>
    </row>
    <row r="133" spans="2:69" s="6" customFormat="1" ht="50.1" customHeight="1" thickTop="1">
      <c r="B133" s="205" t="str">
        <f>'1月'!$B$133</f>
        <v>大久保　理恵</v>
      </c>
      <c r="C133" s="152"/>
      <c r="D133" s="46"/>
      <c r="E133" s="9"/>
      <c r="F133" s="46"/>
      <c r="G133" s="9"/>
      <c r="H133" s="46"/>
      <c r="I133" s="9"/>
      <c r="J133" s="46"/>
      <c r="K133" s="9"/>
      <c r="L133" s="46"/>
      <c r="M133" s="9"/>
      <c r="N133" s="46"/>
      <c r="O133" s="9"/>
      <c r="P133" s="46"/>
      <c r="Q133" s="9"/>
      <c r="R133" s="46"/>
      <c r="S133" s="9"/>
      <c r="T133" s="46"/>
      <c r="U133" s="9"/>
      <c r="V133" s="46"/>
      <c r="W133" s="9"/>
      <c r="X133" s="46"/>
      <c r="Y133" s="9"/>
      <c r="Z133" s="46"/>
      <c r="AA133" s="9"/>
      <c r="AB133" s="46"/>
      <c r="AC133" s="9"/>
      <c r="AD133" s="46"/>
      <c r="AE133" s="9"/>
      <c r="AF133" s="46"/>
      <c r="AG133" s="10"/>
      <c r="AH133" s="46"/>
      <c r="AI133" s="9"/>
      <c r="AJ133" s="46"/>
      <c r="AK133" s="9"/>
      <c r="AL133" s="46"/>
      <c r="AM133" s="9"/>
      <c r="AN133" s="46"/>
      <c r="AO133" s="9"/>
      <c r="AP133" s="46"/>
      <c r="AQ133" s="9"/>
      <c r="AR133" s="46"/>
      <c r="AS133" s="9"/>
      <c r="AT133" s="46"/>
      <c r="AU133" s="9"/>
      <c r="AV133" s="46"/>
      <c r="AW133" s="9"/>
      <c r="AX133" s="46"/>
      <c r="AY133" s="9"/>
      <c r="AZ133" s="46"/>
      <c r="BA133" s="9"/>
      <c r="BB133" s="46"/>
      <c r="BC133" s="9"/>
      <c r="BD133" s="46"/>
      <c r="BE133" s="9"/>
      <c r="BF133" s="46"/>
      <c r="BG133" s="9"/>
      <c r="BH133" s="46"/>
      <c r="BI133" s="9"/>
      <c r="BJ133" s="46"/>
      <c r="BK133" s="10"/>
      <c r="BL133" s="179"/>
      <c r="BM133" s="9"/>
      <c r="BN133" s="102">
        <f>SUM(D133,F133,H133,J133,L133,N133,P133,R133,T133,V133,X133,Z133,AB133,AD133,AF133,AH133,AJ133,AL133,AN133,AP133,AR133,AT133,AV133,AX133,AZ133,BB133,BD133,BF133,BH133,BJ133,BL133)</f>
        <v>0</v>
      </c>
      <c r="BO133" s="47">
        <f>SUM(E133,G133,I133,K133,M133,O133,Q133,S133,U133,W133,Y133,AA133,AC133,AE133,AG133,AI133,AK133,AM133,AO133,AQ133,AS133,AU133,AW133,AY133,BA133,BC133,BE133,BG133,BI133,BK133,BM133)</f>
        <v>0</v>
      </c>
      <c r="BP133" s="631">
        <f>INDEX('2月'!$B$4:$BQ$375,MATCH('3月'!B133,'2月'!$B$4:$B$375,0),67)+BN133</f>
        <v>0</v>
      </c>
      <c r="BQ133" s="702">
        <f>INDEX('2月'!$B$4:$BQ$375,MATCH('3月'!B133,'2月'!$B$4:$B$375,0),68)+BO133</f>
        <v>0</v>
      </c>
    </row>
    <row r="134" spans="2:69" s="6" customFormat="1" ht="50.1" customHeight="1">
      <c r="B134" s="201" t="str">
        <f>'1月'!$B$134</f>
        <v>大坂　真知子</v>
      </c>
      <c r="C134" s="146"/>
      <c r="D134" s="18"/>
      <c r="E134" s="14"/>
      <c r="F134" s="18"/>
      <c r="G134" s="14"/>
      <c r="H134" s="18"/>
      <c r="I134" s="14"/>
      <c r="J134" s="18"/>
      <c r="K134" s="14"/>
      <c r="L134" s="18"/>
      <c r="M134" s="14"/>
      <c r="N134" s="18"/>
      <c r="O134" s="14"/>
      <c r="P134" s="18"/>
      <c r="Q134" s="14"/>
      <c r="R134" s="18"/>
      <c r="S134" s="14"/>
      <c r="T134" s="18"/>
      <c r="U134" s="14"/>
      <c r="V134" s="18"/>
      <c r="W134" s="14"/>
      <c r="X134" s="18"/>
      <c r="Y134" s="14"/>
      <c r="Z134" s="18"/>
      <c r="AA134" s="14"/>
      <c r="AB134" s="18"/>
      <c r="AC134" s="14"/>
      <c r="AD134" s="18"/>
      <c r="AE134" s="14"/>
      <c r="AF134" s="18"/>
      <c r="AG134" s="15"/>
      <c r="AH134" s="18"/>
      <c r="AI134" s="14"/>
      <c r="AJ134" s="18"/>
      <c r="AK134" s="14"/>
      <c r="AL134" s="18"/>
      <c r="AM134" s="14"/>
      <c r="AN134" s="18"/>
      <c r="AO134" s="14"/>
      <c r="AP134" s="18"/>
      <c r="AQ134" s="14"/>
      <c r="AR134" s="18"/>
      <c r="AS134" s="14"/>
      <c r="AT134" s="18"/>
      <c r="AU134" s="14"/>
      <c r="AV134" s="18"/>
      <c r="AW134" s="14"/>
      <c r="AX134" s="18"/>
      <c r="AY134" s="14"/>
      <c r="AZ134" s="18"/>
      <c r="BA134" s="14"/>
      <c r="BB134" s="18"/>
      <c r="BC134" s="14"/>
      <c r="BD134" s="18"/>
      <c r="BE134" s="14"/>
      <c r="BF134" s="18"/>
      <c r="BG134" s="14"/>
      <c r="BH134" s="18"/>
      <c r="BI134" s="14"/>
      <c r="BJ134" s="18"/>
      <c r="BK134" s="15"/>
      <c r="BL134" s="37"/>
      <c r="BM134" s="14"/>
      <c r="BN134" s="102">
        <f t="shared" ref="BN134:BN141" si="25">SUM(D134,F134,H134,J134,L134,N134,P134,R134,T134,V134,X134,Z134,AB134,AD134,AF134,AH134,AJ134,AL134,AN134,AP134,AR134,AT134,AV134,AX134,AZ134,BB134,BD134,BF134,BH134,BJ134,BL134)</f>
        <v>0</v>
      </c>
      <c r="BO134" s="47">
        <f t="shared" ref="BO134:BO141" si="26">SUM(E134,G134,I134,K134,M134,O134,Q134,S134,U134,W134,Y134,AA134,AC134,AE134,AG134,AI134,AK134,AM134,AO134,AQ134,AS134,AU134,AW134,AY134,BA134,BC134,BE134,BG134,BI134,BK134,BM134)</f>
        <v>0</v>
      </c>
      <c r="BP134" s="631">
        <f>INDEX('2月'!$B$4:$BQ$375,MATCH('3月'!B134,'2月'!$B$4:$B$375,0),67)+BN134</f>
        <v>0</v>
      </c>
      <c r="BQ134" s="702">
        <f>INDEX('2月'!$B$4:$BQ$375,MATCH('3月'!B134,'2月'!$B$4:$B$375,0),68)+BO134</f>
        <v>0</v>
      </c>
    </row>
    <row r="135" spans="2:69" s="6" customFormat="1" ht="50.1" customHeight="1">
      <c r="B135" s="201" t="str">
        <f>'1月'!$B$135</f>
        <v>川井　博和</v>
      </c>
      <c r="C135" s="146"/>
      <c r="D135" s="18"/>
      <c r="E135" s="14"/>
      <c r="F135" s="50"/>
      <c r="G135" s="20"/>
      <c r="H135" s="50"/>
      <c r="I135" s="20"/>
      <c r="J135" s="50"/>
      <c r="K135" s="20"/>
      <c r="L135" s="50"/>
      <c r="M135" s="20"/>
      <c r="N135" s="50"/>
      <c r="O135" s="20"/>
      <c r="P135" s="50"/>
      <c r="Q135" s="20"/>
      <c r="R135" s="50"/>
      <c r="S135" s="20"/>
      <c r="T135" s="50"/>
      <c r="U135" s="20"/>
      <c r="V135" s="50"/>
      <c r="W135" s="20"/>
      <c r="X135" s="50"/>
      <c r="Y135" s="20"/>
      <c r="Z135" s="50"/>
      <c r="AA135" s="20"/>
      <c r="AB135" s="50"/>
      <c r="AC135" s="20"/>
      <c r="AD135" s="50"/>
      <c r="AE135" s="20"/>
      <c r="AF135" s="18"/>
      <c r="AG135" s="21"/>
      <c r="AH135" s="50"/>
      <c r="AI135" s="20"/>
      <c r="AJ135" s="50"/>
      <c r="AK135" s="20"/>
      <c r="AL135" s="50"/>
      <c r="AM135" s="20"/>
      <c r="AN135" s="50"/>
      <c r="AO135" s="20"/>
      <c r="AP135" s="50"/>
      <c r="AQ135" s="20"/>
      <c r="AR135" s="50"/>
      <c r="AS135" s="20"/>
      <c r="AT135" s="50"/>
      <c r="AU135" s="20"/>
      <c r="AV135" s="50"/>
      <c r="AW135" s="20"/>
      <c r="AX135" s="50"/>
      <c r="AY135" s="20"/>
      <c r="AZ135" s="50"/>
      <c r="BA135" s="20"/>
      <c r="BB135" s="50"/>
      <c r="BC135" s="20"/>
      <c r="BD135" s="50"/>
      <c r="BE135" s="20"/>
      <c r="BF135" s="50"/>
      <c r="BG135" s="20"/>
      <c r="BH135" s="50"/>
      <c r="BI135" s="20"/>
      <c r="BJ135" s="50"/>
      <c r="BK135" s="21"/>
      <c r="BL135" s="38"/>
      <c r="BM135" s="20"/>
      <c r="BN135" s="102">
        <f t="shared" si="25"/>
        <v>0</v>
      </c>
      <c r="BO135" s="47">
        <f t="shared" si="26"/>
        <v>0</v>
      </c>
      <c r="BP135" s="631">
        <f>INDEX('2月'!$B$4:$BQ$375,MATCH('3月'!B135,'2月'!$B$4:$B$375,0),67)+BN135</f>
        <v>0</v>
      </c>
      <c r="BQ135" s="702">
        <f>INDEX('2月'!$B$4:$BQ$375,MATCH('3月'!B135,'2月'!$B$4:$B$375,0),68)+BO135</f>
        <v>0</v>
      </c>
    </row>
    <row r="136" spans="2:69" s="6" customFormat="1" ht="50.1" customHeight="1">
      <c r="B136" s="201" t="str">
        <f>'1月'!$B$136</f>
        <v>中村　盛宥</v>
      </c>
      <c r="C136" s="146"/>
      <c r="D136" s="18"/>
      <c r="E136" s="14"/>
      <c r="F136" s="18"/>
      <c r="G136" s="14"/>
      <c r="H136" s="18"/>
      <c r="I136" s="14"/>
      <c r="J136" s="18"/>
      <c r="K136" s="14"/>
      <c r="L136" s="18"/>
      <c r="M136" s="14"/>
      <c r="N136" s="18"/>
      <c r="O136" s="14"/>
      <c r="P136" s="18"/>
      <c r="Q136" s="14"/>
      <c r="R136" s="18"/>
      <c r="S136" s="14"/>
      <c r="T136" s="18"/>
      <c r="U136" s="14"/>
      <c r="V136" s="18"/>
      <c r="W136" s="14"/>
      <c r="X136" s="18"/>
      <c r="Y136" s="14"/>
      <c r="Z136" s="18"/>
      <c r="AA136" s="14"/>
      <c r="AB136" s="18"/>
      <c r="AC136" s="14"/>
      <c r="AD136" s="18"/>
      <c r="AE136" s="14"/>
      <c r="AF136" s="18"/>
      <c r="AG136" s="15"/>
      <c r="AH136" s="18"/>
      <c r="AI136" s="14"/>
      <c r="AJ136" s="18"/>
      <c r="AK136" s="14"/>
      <c r="AL136" s="18"/>
      <c r="AM136" s="14"/>
      <c r="AN136" s="18"/>
      <c r="AO136" s="14"/>
      <c r="AP136" s="18"/>
      <c r="AQ136" s="14"/>
      <c r="AR136" s="18"/>
      <c r="AS136" s="14"/>
      <c r="AT136" s="18"/>
      <c r="AU136" s="14"/>
      <c r="AV136" s="18"/>
      <c r="AW136" s="14"/>
      <c r="AX136" s="18"/>
      <c r="AY136" s="14"/>
      <c r="AZ136" s="18"/>
      <c r="BA136" s="14"/>
      <c r="BB136" s="18"/>
      <c r="BC136" s="14"/>
      <c r="BD136" s="18"/>
      <c r="BE136" s="14"/>
      <c r="BF136" s="18"/>
      <c r="BG136" s="14"/>
      <c r="BH136" s="18"/>
      <c r="BI136" s="14"/>
      <c r="BJ136" s="18"/>
      <c r="BK136" s="15"/>
      <c r="BL136" s="37"/>
      <c r="BM136" s="14"/>
      <c r="BN136" s="102">
        <f t="shared" si="25"/>
        <v>0</v>
      </c>
      <c r="BO136" s="47">
        <f t="shared" si="26"/>
        <v>0</v>
      </c>
      <c r="BP136" s="631">
        <f>INDEX('2月'!$B$4:$BQ$375,MATCH('3月'!B136,'2月'!$B$4:$B$375,0),67)+BN136</f>
        <v>0</v>
      </c>
      <c r="BQ136" s="702">
        <f>INDEX('2月'!$B$4:$BQ$375,MATCH('3月'!B136,'2月'!$B$4:$B$375,0),68)+BO136</f>
        <v>0</v>
      </c>
    </row>
    <row r="137" spans="2:69" s="6" customFormat="1" ht="50.1" customHeight="1">
      <c r="B137" s="201" t="str">
        <f>'1月'!$B$137</f>
        <v>平野　元基</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57"/>
      <c r="BM137" s="51"/>
      <c r="BN137" s="102">
        <f t="shared" si="25"/>
        <v>0</v>
      </c>
      <c r="BO137" s="47">
        <f t="shared" si="26"/>
        <v>0</v>
      </c>
      <c r="BP137" s="631">
        <f>INDEX('2月'!$B$4:$BQ$375,MATCH('3月'!B137,'2月'!$B$4:$B$375,0),67)+BN137</f>
        <v>0</v>
      </c>
      <c r="BQ137" s="702">
        <f>INDEX('2月'!$B$4:$BQ$375,MATCH('3月'!B137,'2月'!$B$4:$B$375,0),68)+BO137</f>
        <v>0</v>
      </c>
    </row>
    <row r="138" spans="2:69" s="6" customFormat="1" ht="50.1" customHeight="1">
      <c r="B138" s="202" t="str">
        <f>'1月'!$B$138</f>
        <v>古谷　裕美</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78"/>
      <c r="BM138" s="51"/>
      <c r="BN138" s="102">
        <f t="shared" si="25"/>
        <v>0</v>
      </c>
      <c r="BO138" s="47">
        <f t="shared" si="26"/>
        <v>0</v>
      </c>
      <c r="BP138" s="631">
        <f>INDEX('2月'!$B$4:$BQ$375,MATCH('3月'!B138,'2月'!$B$4:$B$375,0),67)+BN138</f>
        <v>0</v>
      </c>
      <c r="BQ138" s="702">
        <f>INDEX('2月'!$B$4:$BQ$375,MATCH('3月'!B138,'2月'!$B$4:$B$375,0),68)+BO138</f>
        <v>0</v>
      </c>
    </row>
    <row r="139" spans="2:69" s="6" customFormat="1" ht="50.1" customHeight="1">
      <c r="B139" s="202" t="str">
        <f>'1月'!$B$139</f>
        <v>松橋　明日香</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102">
        <f t="shared" si="25"/>
        <v>0</v>
      </c>
      <c r="BO139" s="47">
        <f t="shared" si="26"/>
        <v>0</v>
      </c>
      <c r="BP139" s="631">
        <f>INDEX('2月'!$B$4:$BQ$375,MATCH('3月'!B139,'2月'!$B$4:$B$375,0),67)+BN139</f>
        <v>0</v>
      </c>
      <c r="BQ139" s="702">
        <f>INDEX('2月'!$B$4:$BQ$375,MATCH('3月'!B139,'2月'!$B$4:$B$375,0),68)+BO139</f>
        <v>0</v>
      </c>
    </row>
    <row r="140" spans="2:69" s="6" customFormat="1" ht="50.1" customHeight="1">
      <c r="B140" s="201" t="str">
        <f>'1月'!$B$140</f>
        <v>八木田　那幸</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102">
        <f t="shared" si="25"/>
        <v>0</v>
      </c>
      <c r="BO140" s="47">
        <f t="shared" si="26"/>
        <v>0</v>
      </c>
      <c r="BP140" s="631">
        <f>INDEX('2月'!$B$4:$BQ$375,MATCH('3月'!B140,'2月'!$B$4:$B$375,0),67)+BN140</f>
        <v>0</v>
      </c>
      <c r="BQ140" s="702">
        <f>INDEX('2月'!$B$4:$BQ$375,MATCH('3月'!B140,'2月'!$B$4:$B$375,0),68)+BO140</f>
        <v>0</v>
      </c>
    </row>
    <row r="141" spans="2:69" s="6" customFormat="1" ht="30" customHeight="1" thickBot="1">
      <c r="B141" s="201">
        <f>'1月'!$B$141</f>
        <v>0</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37"/>
      <c r="BM141" s="14"/>
      <c r="BN141" s="102">
        <f t="shared" si="25"/>
        <v>0</v>
      </c>
      <c r="BO141" s="47">
        <f t="shared" si="26"/>
        <v>0</v>
      </c>
      <c r="BP141" s="631"/>
      <c r="BQ141" s="559"/>
    </row>
    <row r="142" spans="2:69" s="6" customFormat="1" ht="45" customHeight="1" thickBot="1">
      <c r="B142" s="119" t="s">
        <v>101</v>
      </c>
      <c r="C142" s="149"/>
      <c r="D142" s="29">
        <f>SUM(D132:D141)</f>
        <v>0</v>
      </c>
      <c r="E142" s="31">
        <f t="shared" ref="E142:AS142" si="27">SUM(E132:E141)</f>
        <v>0</v>
      </c>
      <c r="F142" s="29">
        <f t="shared" si="27"/>
        <v>0</v>
      </c>
      <c r="G142" s="31">
        <f t="shared" si="27"/>
        <v>0</v>
      </c>
      <c r="H142" s="29">
        <f t="shared" si="27"/>
        <v>0</v>
      </c>
      <c r="I142" s="31">
        <f t="shared" si="27"/>
        <v>0</v>
      </c>
      <c r="J142" s="29">
        <f t="shared" si="27"/>
        <v>0</v>
      </c>
      <c r="K142" s="31">
        <f t="shared" si="27"/>
        <v>0</v>
      </c>
      <c r="L142" s="29">
        <f t="shared" si="27"/>
        <v>0</v>
      </c>
      <c r="M142" s="31">
        <f t="shared" si="27"/>
        <v>0</v>
      </c>
      <c r="N142" s="29">
        <f t="shared" si="27"/>
        <v>0</v>
      </c>
      <c r="O142" s="31">
        <f t="shared" si="27"/>
        <v>0</v>
      </c>
      <c r="P142" s="29">
        <f t="shared" si="27"/>
        <v>0</v>
      </c>
      <c r="Q142" s="31">
        <f t="shared" si="27"/>
        <v>0</v>
      </c>
      <c r="R142" s="29">
        <f t="shared" si="27"/>
        <v>0</v>
      </c>
      <c r="S142" s="31">
        <f t="shared" si="27"/>
        <v>0</v>
      </c>
      <c r="T142" s="29">
        <f t="shared" si="27"/>
        <v>0</v>
      </c>
      <c r="U142" s="31">
        <f t="shared" si="27"/>
        <v>0</v>
      </c>
      <c r="V142" s="29">
        <f t="shared" si="27"/>
        <v>0</v>
      </c>
      <c r="W142" s="31">
        <f t="shared" si="27"/>
        <v>0</v>
      </c>
      <c r="X142" s="29">
        <f t="shared" si="27"/>
        <v>0</v>
      </c>
      <c r="Y142" s="31">
        <f t="shared" si="27"/>
        <v>0</v>
      </c>
      <c r="Z142" s="29">
        <f t="shared" si="27"/>
        <v>0</v>
      </c>
      <c r="AA142" s="31">
        <f t="shared" si="27"/>
        <v>0</v>
      </c>
      <c r="AB142" s="29">
        <f t="shared" si="27"/>
        <v>0</v>
      </c>
      <c r="AC142" s="31">
        <f t="shared" si="27"/>
        <v>0</v>
      </c>
      <c r="AD142" s="29">
        <f t="shared" si="27"/>
        <v>0</v>
      </c>
      <c r="AE142" s="31">
        <f t="shared" si="27"/>
        <v>0</v>
      </c>
      <c r="AF142" s="29">
        <f t="shared" si="27"/>
        <v>0</v>
      </c>
      <c r="AG142" s="40">
        <f t="shared" si="27"/>
        <v>0</v>
      </c>
      <c r="AH142" s="29">
        <f t="shared" si="27"/>
        <v>0</v>
      </c>
      <c r="AI142" s="31">
        <f t="shared" si="27"/>
        <v>0</v>
      </c>
      <c r="AJ142" s="29">
        <f t="shared" si="27"/>
        <v>0</v>
      </c>
      <c r="AK142" s="31">
        <f t="shared" si="27"/>
        <v>0</v>
      </c>
      <c r="AL142" s="29">
        <f t="shared" si="27"/>
        <v>0</v>
      </c>
      <c r="AM142" s="31">
        <f t="shared" si="27"/>
        <v>0</v>
      </c>
      <c r="AN142" s="29">
        <f t="shared" si="27"/>
        <v>0</v>
      </c>
      <c r="AO142" s="31">
        <f t="shared" si="27"/>
        <v>0</v>
      </c>
      <c r="AP142" s="29">
        <f t="shared" si="27"/>
        <v>0</v>
      </c>
      <c r="AQ142" s="31">
        <f t="shared" si="27"/>
        <v>0</v>
      </c>
      <c r="AR142" s="29">
        <f t="shared" si="27"/>
        <v>0</v>
      </c>
      <c r="AS142" s="31">
        <f t="shared" si="27"/>
        <v>0</v>
      </c>
      <c r="AT142" s="29">
        <f>SUM(AT133:AT141)</f>
        <v>0</v>
      </c>
      <c r="AU142" s="31">
        <f t="shared" ref="AU142:BK142" si="28">SUM(AU133:AU141)</f>
        <v>0</v>
      </c>
      <c r="AV142" s="29">
        <f t="shared" si="28"/>
        <v>0</v>
      </c>
      <c r="AW142" s="31">
        <f t="shared" si="28"/>
        <v>0</v>
      </c>
      <c r="AX142" s="29">
        <f t="shared" si="28"/>
        <v>0</v>
      </c>
      <c r="AY142" s="31">
        <f t="shared" si="28"/>
        <v>0</v>
      </c>
      <c r="AZ142" s="29">
        <f t="shared" si="28"/>
        <v>0</v>
      </c>
      <c r="BA142" s="31">
        <f t="shared" si="28"/>
        <v>0</v>
      </c>
      <c r="BB142" s="29">
        <f t="shared" si="28"/>
        <v>0</v>
      </c>
      <c r="BC142" s="31">
        <f t="shared" si="28"/>
        <v>0</v>
      </c>
      <c r="BD142" s="29">
        <f t="shared" si="28"/>
        <v>0</v>
      </c>
      <c r="BE142" s="31">
        <f t="shared" si="28"/>
        <v>0</v>
      </c>
      <c r="BF142" s="29">
        <f t="shared" si="28"/>
        <v>0</v>
      </c>
      <c r="BG142" s="31">
        <f t="shared" si="28"/>
        <v>0</v>
      </c>
      <c r="BH142" s="29">
        <f t="shared" si="28"/>
        <v>0</v>
      </c>
      <c r="BI142" s="31">
        <f t="shared" si="28"/>
        <v>0</v>
      </c>
      <c r="BJ142" s="39">
        <f t="shared" si="28"/>
        <v>0</v>
      </c>
      <c r="BK142" s="41">
        <f t="shared" si="28"/>
        <v>0</v>
      </c>
      <c r="BL142" s="39">
        <f t="shared" ref="BL142:BQ142" si="29">SUM(BL133:BL141)</f>
        <v>0</v>
      </c>
      <c r="BM142" s="31">
        <f t="shared" si="29"/>
        <v>0</v>
      </c>
      <c r="BN142" s="32">
        <f t="shared" si="29"/>
        <v>0</v>
      </c>
      <c r="BO142" s="40">
        <f t="shared" si="29"/>
        <v>0</v>
      </c>
      <c r="BP142" s="245">
        <f t="shared" si="29"/>
        <v>0</v>
      </c>
      <c r="BQ142" s="240">
        <f t="shared" si="29"/>
        <v>0</v>
      </c>
    </row>
    <row r="143" spans="2:69" s="6" customFormat="1" ht="45" customHeight="1">
      <c r="B143" s="123"/>
      <c r="C143" s="150"/>
      <c r="D143" s="71"/>
      <c r="E143" s="71"/>
      <c r="F143" s="71"/>
      <c r="G143" s="71"/>
      <c r="H143" s="71"/>
      <c r="I143" s="71"/>
      <c r="J143" s="71"/>
      <c r="K143" s="71"/>
      <c r="L143" s="71"/>
      <c r="M143" s="71"/>
      <c r="N143" s="71"/>
      <c r="O143" s="71"/>
      <c r="P143" s="71"/>
      <c r="Q143" s="71"/>
      <c r="R143" s="71"/>
      <c r="S143" s="71"/>
      <c r="T143" s="71"/>
      <c r="U143" s="71"/>
      <c r="V143" s="71"/>
      <c r="W143" s="71"/>
      <c r="X143" s="71"/>
      <c r="Y143" s="71"/>
      <c r="Z143" s="71"/>
      <c r="AA143" s="71"/>
      <c r="AB143" s="71"/>
      <c r="AC143" s="71"/>
      <c r="AD143" s="71"/>
      <c r="AE143" s="71"/>
      <c r="AF143" s="71"/>
      <c r="AG143" s="71"/>
      <c r="AH143" s="71"/>
      <c r="AI143" s="71"/>
      <c r="AJ143" s="71"/>
      <c r="AK143" s="71"/>
      <c r="AL143" s="71"/>
      <c r="AM143" s="71"/>
      <c r="AN143" s="71"/>
      <c r="AO143" s="71"/>
      <c r="AP143" s="71"/>
      <c r="AQ143" s="71"/>
      <c r="AR143" s="71"/>
      <c r="AS143" s="71"/>
      <c r="AT143" s="71"/>
      <c r="AU143" s="71"/>
      <c r="AV143" s="71"/>
      <c r="AW143" s="71"/>
      <c r="AX143" s="71"/>
      <c r="AY143" s="71"/>
      <c r="AZ143" s="71"/>
      <c r="BA143" s="71"/>
      <c r="BB143" s="71"/>
      <c r="BC143" s="71"/>
      <c r="BD143" s="71"/>
      <c r="BE143" s="71"/>
      <c r="BF143" s="71"/>
      <c r="BG143" s="71"/>
      <c r="BH143" s="71"/>
      <c r="BI143" s="71"/>
      <c r="BJ143" s="71"/>
      <c r="BK143" s="71"/>
      <c r="BL143" s="71"/>
      <c r="BM143" s="71"/>
      <c r="BN143" s="71"/>
      <c r="BO143" s="71"/>
      <c r="BP143" s="238"/>
      <c r="BQ143" s="239"/>
    </row>
    <row r="144" spans="2:69" ht="24.95" customHeight="1" thickBot="1">
      <c r="B144" s="120"/>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238"/>
      <c r="BQ144" s="239"/>
    </row>
    <row r="145" spans="2:69" ht="24.95" customHeight="1">
      <c r="B145" s="743" t="s">
        <v>87</v>
      </c>
      <c r="C145" s="749">
        <f>COUNTIF(B148:B159,"*")</f>
        <v>12</v>
      </c>
      <c r="D145" s="751">
        <v>1</v>
      </c>
      <c r="E145" s="738"/>
      <c r="F145" s="737">
        <v>2</v>
      </c>
      <c r="G145" s="738"/>
      <c r="H145" s="737">
        <v>3</v>
      </c>
      <c r="I145" s="738"/>
      <c r="J145" s="737">
        <v>4</v>
      </c>
      <c r="K145" s="738"/>
      <c r="L145" s="737">
        <v>5</v>
      </c>
      <c r="M145" s="738"/>
      <c r="N145" s="737">
        <v>6</v>
      </c>
      <c r="O145" s="738"/>
      <c r="P145" s="737">
        <v>7</v>
      </c>
      <c r="Q145" s="738"/>
      <c r="R145" s="737">
        <v>8</v>
      </c>
      <c r="S145" s="738"/>
      <c r="T145" s="737">
        <v>9</v>
      </c>
      <c r="U145" s="738"/>
      <c r="V145" s="737">
        <v>10</v>
      </c>
      <c r="W145" s="738"/>
      <c r="X145" s="737">
        <v>11</v>
      </c>
      <c r="Y145" s="738"/>
      <c r="Z145" s="737">
        <v>12</v>
      </c>
      <c r="AA145" s="738"/>
      <c r="AB145" s="737">
        <v>13</v>
      </c>
      <c r="AC145" s="738"/>
      <c r="AD145" s="737">
        <v>14</v>
      </c>
      <c r="AE145" s="738"/>
      <c r="AF145" s="737">
        <v>15</v>
      </c>
      <c r="AG145" s="784"/>
      <c r="AH145" s="741">
        <v>16</v>
      </c>
      <c r="AI145" s="741"/>
      <c r="AJ145" s="741">
        <v>17</v>
      </c>
      <c r="AK145" s="741"/>
      <c r="AL145" s="741">
        <v>18</v>
      </c>
      <c r="AM145" s="741"/>
      <c r="AN145" s="741">
        <v>19</v>
      </c>
      <c r="AO145" s="741"/>
      <c r="AP145" s="741">
        <v>20</v>
      </c>
      <c r="AQ145" s="741"/>
      <c r="AR145" s="741">
        <v>21</v>
      </c>
      <c r="AS145" s="741"/>
      <c r="AT145" s="741">
        <v>22</v>
      </c>
      <c r="AU145" s="741"/>
      <c r="AV145" s="741">
        <v>23</v>
      </c>
      <c r="AW145" s="741"/>
      <c r="AX145" s="741">
        <v>24</v>
      </c>
      <c r="AY145" s="741"/>
      <c r="AZ145" s="741">
        <v>25</v>
      </c>
      <c r="BA145" s="741"/>
      <c r="BB145" s="741">
        <v>26</v>
      </c>
      <c r="BC145" s="741"/>
      <c r="BD145" s="741">
        <v>27</v>
      </c>
      <c r="BE145" s="741"/>
      <c r="BF145" s="741">
        <v>28</v>
      </c>
      <c r="BG145" s="741"/>
      <c r="BH145" s="741">
        <v>29</v>
      </c>
      <c r="BI145" s="741"/>
      <c r="BJ145" s="741">
        <v>30</v>
      </c>
      <c r="BK145" s="741"/>
      <c r="BL145" s="741">
        <v>31</v>
      </c>
      <c r="BM145" s="741"/>
      <c r="BN145" s="738" t="s">
        <v>251</v>
      </c>
      <c r="BO145" s="760"/>
      <c r="BP145" s="771" t="s">
        <v>353</v>
      </c>
      <c r="BQ145" s="772"/>
    </row>
    <row r="146" spans="2:69" ht="24.95" customHeight="1">
      <c r="B146" s="744"/>
      <c r="C146" s="747"/>
      <c r="D146" s="752" t="str">
        <f>D2</f>
        <v>土</v>
      </c>
      <c r="E146" s="740"/>
      <c r="F146" s="739" t="str">
        <f>F2</f>
        <v>日</v>
      </c>
      <c r="G146" s="740"/>
      <c r="H146" s="739" t="str">
        <f>H2</f>
        <v>月</v>
      </c>
      <c r="I146" s="740"/>
      <c r="J146" s="739" t="str">
        <f>J2</f>
        <v>火</v>
      </c>
      <c r="K146" s="740"/>
      <c r="L146" s="739" t="str">
        <f>L2</f>
        <v>水</v>
      </c>
      <c r="M146" s="740"/>
      <c r="N146" s="739" t="str">
        <f>N2</f>
        <v>木</v>
      </c>
      <c r="O146" s="740"/>
      <c r="P146" s="739" t="str">
        <f>P2</f>
        <v>金</v>
      </c>
      <c r="Q146" s="740"/>
      <c r="R146" s="739" t="str">
        <f>R2</f>
        <v>土</v>
      </c>
      <c r="S146" s="740"/>
      <c r="T146" s="739" t="str">
        <f>T2</f>
        <v>日</v>
      </c>
      <c r="U146" s="740"/>
      <c r="V146" s="739" t="str">
        <f>V2</f>
        <v>月</v>
      </c>
      <c r="W146" s="740"/>
      <c r="X146" s="739" t="str">
        <f>X2</f>
        <v>火</v>
      </c>
      <c r="Y146" s="740"/>
      <c r="Z146" s="739" t="str">
        <f>Z2</f>
        <v>水</v>
      </c>
      <c r="AA146" s="740"/>
      <c r="AB146" s="739" t="str">
        <f>AB2</f>
        <v>木</v>
      </c>
      <c r="AC146" s="740"/>
      <c r="AD146" s="739" t="str">
        <f>AD2</f>
        <v>金</v>
      </c>
      <c r="AE146" s="740"/>
      <c r="AF146" s="739" t="str">
        <f>AF2</f>
        <v>土</v>
      </c>
      <c r="AG146" s="740"/>
      <c r="AH146" s="786" t="str">
        <f>AH2</f>
        <v>日</v>
      </c>
      <c r="AI146" s="767"/>
      <c r="AJ146" s="770" t="str">
        <f>AJ2</f>
        <v>月</v>
      </c>
      <c r="AK146" s="770"/>
      <c r="AL146" s="770" t="str">
        <f>AL2</f>
        <v>火</v>
      </c>
      <c r="AM146" s="770"/>
      <c r="AN146" s="770" t="str">
        <f>AN2</f>
        <v>水</v>
      </c>
      <c r="AO146" s="770"/>
      <c r="AP146" s="770" t="str">
        <f>AP2</f>
        <v>木</v>
      </c>
      <c r="AQ146" s="770"/>
      <c r="AR146" s="770" t="str">
        <f>AR2</f>
        <v>金</v>
      </c>
      <c r="AS146" s="770"/>
      <c r="AT146" s="770" t="str">
        <f>AT2</f>
        <v>土</v>
      </c>
      <c r="AU146" s="770"/>
      <c r="AV146" s="770" t="str">
        <f>AV2</f>
        <v>日</v>
      </c>
      <c r="AW146" s="770"/>
      <c r="AX146" s="770" t="str">
        <f>AX2</f>
        <v>月</v>
      </c>
      <c r="AY146" s="770"/>
      <c r="AZ146" s="770" t="str">
        <f>AZ2</f>
        <v>火</v>
      </c>
      <c r="BA146" s="770"/>
      <c r="BB146" s="770" t="str">
        <f>BB2</f>
        <v>水</v>
      </c>
      <c r="BC146" s="770"/>
      <c r="BD146" s="770" t="str">
        <f>BD2</f>
        <v>木</v>
      </c>
      <c r="BE146" s="770"/>
      <c r="BF146" s="770" t="str">
        <f>BF2</f>
        <v>金</v>
      </c>
      <c r="BG146" s="770"/>
      <c r="BH146" s="770" t="str">
        <f>BH2</f>
        <v>土</v>
      </c>
      <c r="BI146" s="770"/>
      <c r="BJ146" s="770" t="str">
        <f>BJ2</f>
        <v>日</v>
      </c>
      <c r="BK146" s="770"/>
      <c r="BL146" s="770" t="str">
        <f>BL2</f>
        <v>月</v>
      </c>
      <c r="BM146" s="770"/>
      <c r="BN146" s="761"/>
      <c r="BO146" s="762"/>
      <c r="BP146" s="773"/>
      <c r="BQ146" s="774"/>
    </row>
    <row r="147" spans="2:69" ht="24.95" customHeight="1" thickBot="1">
      <c r="B147" s="748"/>
      <c r="C147" s="750"/>
      <c r="D147" s="92" t="s">
        <v>72</v>
      </c>
      <c r="E147" s="93" t="s">
        <v>73</v>
      </c>
      <c r="F147" s="97" t="s">
        <v>72</v>
      </c>
      <c r="G147" s="93" t="s">
        <v>73</v>
      </c>
      <c r="H147" s="97" t="s">
        <v>72</v>
      </c>
      <c r="I147" s="93" t="s">
        <v>73</v>
      </c>
      <c r="J147" s="92" t="s">
        <v>72</v>
      </c>
      <c r="K147" s="93" t="s">
        <v>73</v>
      </c>
      <c r="L147" s="92" t="s">
        <v>72</v>
      </c>
      <c r="M147" s="93" t="s">
        <v>73</v>
      </c>
      <c r="N147" s="92" t="s">
        <v>72</v>
      </c>
      <c r="O147" s="93" t="s">
        <v>73</v>
      </c>
      <c r="P147" s="92" t="s">
        <v>72</v>
      </c>
      <c r="Q147" s="93" t="s">
        <v>73</v>
      </c>
      <c r="R147" s="92" t="s">
        <v>72</v>
      </c>
      <c r="S147" s="93" t="s">
        <v>73</v>
      </c>
      <c r="T147" s="92" t="s">
        <v>72</v>
      </c>
      <c r="U147" s="93" t="s">
        <v>73</v>
      </c>
      <c r="V147" s="92" t="s">
        <v>72</v>
      </c>
      <c r="W147" s="93" t="s">
        <v>73</v>
      </c>
      <c r="X147" s="92" t="s">
        <v>72</v>
      </c>
      <c r="Y147" s="93" t="s">
        <v>73</v>
      </c>
      <c r="Z147" s="92" t="s">
        <v>72</v>
      </c>
      <c r="AA147" s="94" t="s">
        <v>73</v>
      </c>
      <c r="AB147" s="159" t="s">
        <v>72</v>
      </c>
      <c r="AC147" s="94" t="s">
        <v>73</v>
      </c>
      <c r="AD147" s="159" t="s">
        <v>72</v>
      </c>
      <c r="AE147" s="94" t="s">
        <v>73</v>
      </c>
      <c r="AF147" s="159" t="s">
        <v>72</v>
      </c>
      <c r="AG147" s="94" t="s">
        <v>73</v>
      </c>
      <c r="AH147" s="92" t="s">
        <v>72</v>
      </c>
      <c r="AI147" s="93" t="s">
        <v>73</v>
      </c>
      <c r="AJ147" s="97" t="s">
        <v>72</v>
      </c>
      <c r="AK147" s="93" t="s">
        <v>73</v>
      </c>
      <c r="AL147" s="97" t="s">
        <v>72</v>
      </c>
      <c r="AM147" s="93" t="s">
        <v>73</v>
      </c>
      <c r="AN147" s="92" t="s">
        <v>72</v>
      </c>
      <c r="AO147" s="93" t="s">
        <v>73</v>
      </c>
      <c r="AP147" s="92" t="s">
        <v>72</v>
      </c>
      <c r="AQ147" s="93" t="s">
        <v>73</v>
      </c>
      <c r="AR147" s="92" t="s">
        <v>72</v>
      </c>
      <c r="AS147" s="93" t="s">
        <v>73</v>
      </c>
      <c r="AT147" s="92" t="s">
        <v>72</v>
      </c>
      <c r="AU147" s="93" t="s">
        <v>73</v>
      </c>
      <c r="AV147" s="92" t="s">
        <v>72</v>
      </c>
      <c r="AW147" s="93" t="s">
        <v>73</v>
      </c>
      <c r="AX147" s="92" t="s">
        <v>72</v>
      </c>
      <c r="AY147" s="93" t="s">
        <v>73</v>
      </c>
      <c r="AZ147" s="92" t="s">
        <v>72</v>
      </c>
      <c r="BA147" s="93" t="s">
        <v>73</v>
      </c>
      <c r="BB147" s="92" t="s">
        <v>72</v>
      </c>
      <c r="BC147" s="93" t="s">
        <v>73</v>
      </c>
      <c r="BD147" s="92" t="s">
        <v>72</v>
      </c>
      <c r="BE147" s="94" t="s">
        <v>73</v>
      </c>
      <c r="BF147" s="159" t="s">
        <v>72</v>
      </c>
      <c r="BG147" s="94" t="s">
        <v>73</v>
      </c>
      <c r="BH147" s="159" t="s">
        <v>72</v>
      </c>
      <c r="BI147" s="94" t="s">
        <v>73</v>
      </c>
      <c r="BJ147" s="159" t="s">
        <v>72</v>
      </c>
      <c r="BK147" s="94" t="s">
        <v>73</v>
      </c>
      <c r="BL147" s="159" t="s">
        <v>72</v>
      </c>
      <c r="BM147" s="94" t="s">
        <v>73</v>
      </c>
      <c r="BN147" s="95" t="s">
        <v>72</v>
      </c>
      <c r="BO147" s="96" t="s">
        <v>73</v>
      </c>
      <c r="BP147" s="236" t="s">
        <v>252</v>
      </c>
      <c r="BQ147" s="237" t="s">
        <v>254</v>
      </c>
    </row>
    <row r="148" spans="2:69" s="6" customFormat="1" ht="50.1" customHeight="1" thickTop="1">
      <c r="B148" s="201" t="str">
        <f>'1月'!$B$148</f>
        <v>赤坂　友輔</v>
      </c>
      <c r="C148" s="146"/>
      <c r="D148" s="18"/>
      <c r="E148" s="14"/>
      <c r="F148" s="18"/>
      <c r="G148" s="14"/>
      <c r="H148" s="18"/>
      <c r="I148" s="14"/>
      <c r="J148" s="18"/>
      <c r="K148" s="14"/>
      <c r="L148" s="18"/>
      <c r="M148" s="14"/>
      <c r="N148" s="18"/>
      <c r="O148" s="14"/>
      <c r="P148" s="18"/>
      <c r="Q148" s="14"/>
      <c r="R148" s="18"/>
      <c r="S148" s="14"/>
      <c r="T148" s="18"/>
      <c r="U148" s="14"/>
      <c r="V148" s="18"/>
      <c r="W148" s="14"/>
      <c r="X148" s="18"/>
      <c r="Y148" s="14"/>
      <c r="Z148" s="18"/>
      <c r="AA148" s="14"/>
      <c r="AB148" s="18"/>
      <c r="AC148" s="14"/>
      <c r="AD148" s="18"/>
      <c r="AE148" s="14"/>
      <c r="AF148" s="18"/>
      <c r="AG148" s="15"/>
      <c r="AH148" s="18"/>
      <c r="AI148" s="14"/>
      <c r="AJ148" s="18"/>
      <c r="AK148" s="14"/>
      <c r="AL148" s="18"/>
      <c r="AM148" s="14"/>
      <c r="AN148" s="18"/>
      <c r="AO148" s="14"/>
      <c r="AP148" s="18"/>
      <c r="AQ148" s="14"/>
      <c r="AR148" s="18"/>
      <c r="AS148" s="14"/>
      <c r="AT148" s="18"/>
      <c r="AU148" s="14"/>
      <c r="AV148" s="18"/>
      <c r="AW148" s="14"/>
      <c r="AX148" s="18"/>
      <c r="AY148" s="14"/>
      <c r="AZ148" s="18"/>
      <c r="BA148" s="14"/>
      <c r="BB148" s="18"/>
      <c r="BC148" s="14"/>
      <c r="BD148" s="18"/>
      <c r="BE148" s="14"/>
      <c r="BF148" s="18"/>
      <c r="BG148" s="14"/>
      <c r="BH148" s="18"/>
      <c r="BI148" s="14"/>
      <c r="BJ148" s="18"/>
      <c r="BK148" s="15"/>
      <c r="BL148" s="179"/>
      <c r="BM148" s="9"/>
      <c r="BN148" s="102">
        <f>SUM(D148,F148,H148,J148,L148,N148,P148,R148,T148,V148,X148,Z148,AB148,AD148,AF148,AH148,AJ148,AL148,AN148,AP148,AR148,AT148,AV148,AX148,AZ148,BB148,BD148,BF148,BH148,BJ148,BL148)</f>
        <v>0</v>
      </c>
      <c r="BO148" s="47">
        <f>SUM(E148,G148,I148,K148,M148,O148,Q148,S148,U148,W148,Y148,AA148,AC148,AE148,AG148,AI148,AK148,AM148,AO148,AQ148,AS148,AU148,AW148,AY148,BA148,BC148,BE148,BG148,BI148,BK148,BM148)</f>
        <v>0</v>
      </c>
      <c r="BP148" s="631">
        <f>INDEX('2月'!$B$4:$BQ$375,MATCH('3月'!B148,'2月'!$B$4:$B$375,0),67)+BN148</f>
        <v>0</v>
      </c>
      <c r="BQ148" s="702">
        <f>INDEX('2月'!$B$4:$BQ$375,MATCH('3月'!B148,'2月'!$B$4:$B$375,0),68)+BO148</f>
        <v>0</v>
      </c>
    </row>
    <row r="149" spans="2:69" s="6" customFormat="1" ht="50.1" customHeight="1">
      <c r="B149" s="201" t="str">
        <f>'1月'!$B$149</f>
        <v>大下　孝志</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37"/>
      <c r="BM149" s="14"/>
      <c r="BN149" s="102">
        <f t="shared" ref="BN149:BN159" si="30">SUM(D149,F149,H149,J149,L149,N149,P149,R149,T149,V149,X149,Z149,AB149,AD149,AF149,AH149,AJ149,AL149,AN149,AP149,AR149,AT149,AV149,AX149,AZ149,BB149,BD149,BF149,BH149,BJ149,BL149)</f>
        <v>0</v>
      </c>
      <c r="BO149" s="47">
        <f t="shared" ref="BO149:BO159" si="31">SUM(E149,G149,I149,K149,M149,O149,Q149,S149,U149,W149,Y149,AA149,AC149,AE149,AG149,AI149,AK149,AM149,AO149,AQ149,AS149,AU149,AW149,AY149,BA149,BC149,BE149,BG149,BI149,BK149,BM149)</f>
        <v>0</v>
      </c>
      <c r="BP149" s="631">
        <f>INDEX('2月'!$B$4:$BQ$375,MATCH('3月'!B149,'2月'!$B$4:$B$375,0),67)+BN149</f>
        <v>0</v>
      </c>
      <c r="BQ149" s="702">
        <f>INDEX('2月'!$B$4:$BQ$375,MATCH('3月'!B149,'2月'!$B$4:$B$375,0),68)+BO149</f>
        <v>0</v>
      </c>
    </row>
    <row r="150" spans="2:69" s="6" customFormat="1" ht="50.1" customHeight="1">
      <c r="B150" s="201" t="str">
        <f>'1月'!$B$150</f>
        <v>小川　雅規</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102">
        <f t="shared" si="30"/>
        <v>0</v>
      </c>
      <c r="BO150" s="47">
        <f t="shared" si="31"/>
        <v>0</v>
      </c>
      <c r="BP150" s="631">
        <f>INDEX('2月'!$B$4:$BQ$375,MATCH('3月'!B150,'2月'!$B$4:$B$375,0),67)+BN150</f>
        <v>0</v>
      </c>
      <c r="BQ150" s="702">
        <f>INDEX('2月'!$B$4:$BQ$375,MATCH('3月'!B150,'2月'!$B$4:$B$375,0),68)+BO150</f>
        <v>0</v>
      </c>
    </row>
    <row r="151" spans="2:69" s="6" customFormat="1" ht="50.1" customHeight="1">
      <c r="B151" s="201" t="str">
        <f>'1月'!$B$151</f>
        <v>木津谷　隆</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102">
        <f t="shared" si="30"/>
        <v>0</v>
      </c>
      <c r="BO151" s="47">
        <f t="shared" si="31"/>
        <v>0</v>
      </c>
      <c r="BP151" s="631">
        <f>INDEX('2月'!$B$4:$BQ$375,MATCH('3月'!B151,'2月'!$B$4:$B$375,0),67)+BN151</f>
        <v>1</v>
      </c>
      <c r="BQ151" s="702">
        <f>INDEX('2月'!$B$4:$BQ$375,MATCH('3月'!B151,'2月'!$B$4:$B$375,0),68)+BO151</f>
        <v>2</v>
      </c>
    </row>
    <row r="152" spans="2:69" s="6" customFormat="1" ht="50.1" customHeight="1">
      <c r="B152" s="201" t="str">
        <f>'1月'!$B$152</f>
        <v>佐藤　進</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102">
        <f t="shared" si="30"/>
        <v>0</v>
      </c>
      <c r="BO152" s="47">
        <f t="shared" si="31"/>
        <v>0</v>
      </c>
      <c r="BP152" s="631">
        <f>INDEX('2月'!$B$4:$BQ$375,MATCH('3月'!B152,'2月'!$B$4:$B$375,0),67)+BN152</f>
        <v>0</v>
      </c>
      <c r="BQ152" s="702">
        <f>INDEX('2月'!$B$4:$BQ$375,MATCH('3月'!B152,'2月'!$B$4:$B$375,0),68)+BO152</f>
        <v>0</v>
      </c>
    </row>
    <row r="153" spans="2:69" s="6" customFormat="1" ht="50.1" customHeight="1">
      <c r="B153" s="201" t="str">
        <f>'1月'!$B$153</f>
        <v>高橋　公司</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102">
        <f t="shared" si="30"/>
        <v>0</v>
      </c>
      <c r="BO153" s="47">
        <f t="shared" si="31"/>
        <v>0</v>
      </c>
      <c r="BP153" s="631">
        <f>INDEX('2月'!$B$4:$BQ$375,MATCH('3月'!B153,'2月'!$B$4:$B$375,0),67)+BN153</f>
        <v>0</v>
      </c>
      <c r="BQ153" s="702">
        <f>INDEX('2月'!$B$4:$BQ$375,MATCH('3月'!B153,'2月'!$B$4:$B$375,0),68)+BO153</f>
        <v>0</v>
      </c>
    </row>
    <row r="154" spans="2:69" s="6" customFormat="1" ht="50.1" customHeight="1">
      <c r="B154" s="201" t="str">
        <f>'1月'!$B$154</f>
        <v>滝田　智</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102">
        <f t="shared" si="30"/>
        <v>0</v>
      </c>
      <c r="BO154" s="47">
        <f t="shared" si="31"/>
        <v>0</v>
      </c>
      <c r="BP154" s="631">
        <f>INDEX('2月'!$B$4:$BQ$375,MATCH('3月'!B154,'2月'!$B$4:$B$375,0),67)+BN154</f>
        <v>0</v>
      </c>
      <c r="BQ154" s="702">
        <f>INDEX('2月'!$B$4:$BQ$375,MATCH('3月'!B154,'2月'!$B$4:$B$375,0),68)+BO154</f>
        <v>0</v>
      </c>
    </row>
    <row r="155" spans="2:69" s="6" customFormat="1" ht="50.1" customHeight="1">
      <c r="B155" s="201" t="str">
        <f>'1月'!$B$155</f>
        <v>出貝　千拓</v>
      </c>
      <c r="C155" s="146"/>
      <c r="D155" s="18"/>
      <c r="E155" s="14"/>
      <c r="F155" s="50"/>
      <c r="G155" s="20"/>
      <c r="H155" s="50"/>
      <c r="I155" s="20"/>
      <c r="J155" s="50"/>
      <c r="K155" s="20"/>
      <c r="L155" s="50"/>
      <c r="M155" s="20"/>
      <c r="N155" s="50"/>
      <c r="O155" s="20"/>
      <c r="P155" s="50"/>
      <c r="Q155" s="20"/>
      <c r="R155" s="50"/>
      <c r="S155" s="20"/>
      <c r="T155" s="50"/>
      <c r="U155" s="20"/>
      <c r="V155" s="50"/>
      <c r="W155" s="20"/>
      <c r="X155" s="50"/>
      <c r="Y155" s="20"/>
      <c r="Z155" s="50"/>
      <c r="AA155" s="20"/>
      <c r="AB155" s="50"/>
      <c r="AC155" s="20"/>
      <c r="AD155" s="50"/>
      <c r="AE155" s="20"/>
      <c r="AF155" s="18"/>
      <c r="AG155" s="21"/>
      <c r="AH155" s="50"/>
      <c r="AI155" s="20"/>
      <c r="AJ155" s="50"/>
      <c r="AK155" s="20"/>
      <c r="AL155" s="50"/>
      <c r="AM155" s="20"/>
      <c r="AN155" s="50"/>
      <c r="AO155" s="20"/>
      <c r="AP155" s="50"/>
      <c r="AQ155" s="20"/>
      <c r="AR155" s="50"/>
      <c r="AS155" s="20"/>
      <c r="AT155" s="50"/>
      <c r="AU155" s="20"/>
      <c r="AV155" s="50"/>
      <c r="AW155" s="20"/>
      <c r="AX155" s="50"/>
      <c r="AY155" s="20"/>
      <c r="AZ155" s="50"/>
      <c r="BA155" s="20"/>
      <c r="BB155" s="50"/>
      <c r="BC155" s="20"/>
      <c r="BD155" s="50"/>
      <c r="BE155" s="20"/>
      <c r="BF155" s="50"/>
      <c r="BG155" s="20"/>
      <c r="BH155" s="50"/>
      <c r="BI155" s="20"/>
      <c r="BJ155" s="50"/>
      <c r="BK155" s="21"/>
      <c r="BL155" s="38"/>
      <c r="BM155" s="20"/>
      <c r="BN155" s="102">
        <f t="shared" si="30"/>
        <v>0</v>
      </c>
      <c r="BO155" s="47">
        <f t="shared" si="31"/>
        <v>0</v>
      </c>
      <c r="BP155" s="631">
        <f>INDEX('2月'!$B$4:$BQ$375,MATCH('3月'!B155,'2月'!$B$4:$B$375,0),67)+BN155</f>
        <v>1</v>
      </c>
      <c r="BQ155" s="702">
        <f>INDEX('2月'!$B$4:$BQ$375,MATCH('3月'!B155,'2月'!$B$4:$B$375,0),68)+BO155</f>
        <v>2</v>
      </c>
    </row>
    <row r="156" spans="2:69" s="6" customFormat="1" ht="50.1" customHeight="1">
      <c r="B156" s="201" t="str">
        <f>'1月'!$B$156</f>
        <v>戸舘　直人</v>
      </c>
      <c r="C156" s="146"/>
      <c r="D156" s="18"/>
      <c r="E156" s="14"/>
      <c r="F156" s="18"/>
      <c r="G156" s="14"/>
      <c r="H156" s="18"/>
      <c r="I156" s="14"/>
      <c r="J156" s="18"/>
      <c r="K156" s="14"/>
      <c r="L156" s="18"/>
      <c r="M156" s="14"/>
      <c r="N156" s="18"/>
      <c r="O156" s="14"/>
      <c r="P156" s="18"/>
      <c r="Q156" s="14"/>
      <c r="R156" s="18"/>
      <c r="S156" s="14"/>
      <c r="T156" s="18"/>
      <c r="U156" s="14"/>
      <c r="V156" s="18"/>
      <c r="W156" s="14"/>
      <c r="X156" s="18"/>
      <c r="Y156" s="14"/>
      <c r="Z156" s="18"/>
      <c r="AA156" s="14"/>
      <c r="AB156" s="18"/>
      <c r="AC156" s="14"/>
      <c r="AD156" s="18"/>
      <c r="AE156" s="14"/>
      <c r="AF156" s="18"/>
      <c r="AG156" s="15"/>
      <c r="AH156" s="18"/>
      <c r="AI156" s="14"/>
      <c r="AJ156" s="18"/>
      <c r="AK156" s="14"/>
      <c r="AL156" s="18"/>
      <c r="AM156" s="14"/>
      <c r="AN156" s="18"/>
      <c r="AO156" s="14"/>
      <c r="AP156" s="18"/>
      <c r="AQ156" s="14"/>
      <c r="AR156" s="18"/>
      <c r="AS156" s="14"/>
      <c r="AT156" s="18"/>
      <c r="AU156" s="14"/>
      <c r="AV156" s="18"/>
      <c r="AW156" s="14"/>
      <c r="AX156" s="18"/>
      <c r="AY156" s="14"/>
      <c r="AZ156" s="18"/>
      <c r="BA156" s="14"/>
      <c r="BB156" s="18"/>
      <c r="BC156" s="14"/>
      <c r="BD156" s="18"/>
      <c r="BE156" s="14"/>
      <c r="BF156" s="18"/>
      <c r="BG156" s="14"/>
      <c r="BH156" s="18"/>
      <c r="BI156" s="14"/>
      <c r="BJ156" s="18"/>
      <c r="BK156" s="15"/>
      <c r="BL156" s="37"/>
      <c r="BM156" s="14"/>
      <c r="BN156" s="102">
        <f t="shared" si="30"/>
        <v>0</v>
      </c>
      <c r="BO156" s="47">
        <f t="shared" si="31"/>
        <v>0</v>
      </c>
      <c r="BP156" s="631">
        <f>INDEX('2月'!$B$4:$BQ$375,MATCH('3月'!B156,'2月'!$B$4:$B$375,0),67)+BN156</f>
        <v>0</v>
      </c>
      <c r="BQ156" s="702">
        <f>INDEX('2月'!$B$4:$BQ$375,MATCH('3月'!B156,'2月'!$B$4:$B$375,0),68)+BO156</f>
        <v>0</v>
      </c>
    </row>
    <row r="157" spans="2:69" s="6" customFormat="1" ht="50.1" customHeight="1">
      <c r="B157" s="201" t="str">
        <f>'1月'!$B$157</f>
        <v>古瀬　裕二</v>
      </c>
      <c r="C157" s="147"/>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102">
        <f t="shared" si="30"/>
        <v>0</v>
      </c>
      <c r="BO157" s="47">
        <f t="shared" si="31"/>
        <v>0</v>
      </c>
      <c r="BP157" s="631">
        <f>INDEX('2月'!$B$4:$BQ$375,MATCH('3月'!B157,'2月'!$B$4:$B$375,0),67)+BN157</f>
        <v>1</v>
      </c>
      <c r="BQ157" s="702">
        <f>INDEX('2月'!$B$4:$BQ$375,MATCH('3月'!B157,'2月'!$B$4:$B$375,0),68)+BO157</f>
        <v>1</v>
      </c>
    </row>
    <row r="158" spans="2:69" s="6" customFormat="1" ht="50.1" customHeight="1">
      <c r="B158" s="201" t="str">
        <f>'1月'!$B$158</f>
        <v>宮崎　和久</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102">
        <f t="shared" si="30"/>
        <v>0</v>
      </c>
      <c r="BO158" s="47">
        <f t="shared" si="31"/>
        <v>0</v>
      </c>
      <c r="BP158" s="631">
        <f>INDEX('2月'!$B$4:$BQ$375,MATCH('3月'!B158,'2月'!$B$4:$B$375,0),67)+BN158</f>
        <v>0</v>
      </c>
      <c r="BQ158" s="702">
        <f>INDEX('2月'!$B$4:$BQ$375,MATCH('3月'!B158,'2月'!$B$4:$B$375,0),68)+BO158</f>
        <v>0</v>
      </c>
    </row>
    <row r="159" spans="2:69" s="6" customFormat="1" ht="50.1" customHeight="1" thickBot="1">
      <c r="B159" s="206" t="str">
        <f>'1月'!$B$159</f>
        <v>山田　祥弘</v>
      </c>
      <c r="C159" s="148"/>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102">
        <f t="shared" si="30"/>
        <v>0</v>
      </c>
      <c r="BO159" s="47">
        <f t="shared" si="31"/>
        <v>0</v>
      </c>
      <c r="BP159" s="631">
        <f>INDEX('2月'!$B$4:$BQ$375,MATCH('3月'!B159,'2月'!$B$4:$B$375,0),67)+BN159</f>
        <v>0</v>
      </c>
      <c r="BQ159" s="702">
        <f>INDEX('2月'!$B$4:$BQ$375,MATCH('3月'!B159,'2月'!$B$4:$B$375,0),68)+BO159</f>
        <v>0</v>
      </c>
    </row>
    <row r="160" spans="2:69" s="6" customFormat="1" ht="45" customHeight="1" thickBot="1">
      <c r="B160" s="119" t="s">
        <v>101</v>
      </c>
      <c r="C160" s="149"/>
      <c r="D160" s="29">
        <f t="shared" ref="D160:AG160" si="32">SUM(D148:D159)</f>
        <v>0</v>
      </c>
      <c r="E160" s="31">
        <f t="shared" si="32"/>
        <v>0</v>
      </c>
      <c r="F160" s="29">
        <f t="shared" si="32"/>
        <v>0</v>
      </c>
      <c r="G160" s="31">
        <f t="shared" si="32"/>
        <v>0</v>
      </c>
      <c r="H160" s="29">
        <f t="shared" si="32"/>
        <v>0</v>
      </c>
      <c r="I160" s="31">
        <f t="shared" si="32"/>
        <v>0</v>
      </c>
      <c r="J160" s="29">
        <f t="shared" si="32"/>
        <v>0</v>
      </c>
      <c r="K160" s="31">
        <f t="shared" si="32"/>
        <v>0</v>
      </c>
      <c r="L160" s="29">
        <f t="shared" si="32"/>
        <v>0</v>
      </c>
      <c r="M160" s="31">
        <f t="shared" si="32"/>
        <v>0</v>
      </c>
      <c r="N160" s="29">
        <f t="shared" si="32"/>
        <v>0</v>
      </c>
      <c r="O160" s="31">
        <f t="shared" si="32"/>
        <v>0</v>
      </c>
      <c r="P160" s="29">
        <f t="shared" si="32"/>
        <v>0</v>
      </c>
      <c r="Q160" s="31">
        <f t="shared" si="32"/>
        <v>0</v>
      </c>
      <c r="R160" s="29">
        <f t="shared" si="32"/>
        <v>0</v>
      </c>
      <c r="S160" s="31">
        <f t="shared" si="32"/>
        <v>0</v>
      </c>
      <c r="T160" s="29">
        <f t="shared" si="32"/>
        <v>0</v>
      </c>
      <c r="U160" s="31">
        <f t="shared" si="32"/>
        <v>0</v>
      </c>
      <c r="V160" s="29">
        <f t="shared" si="32"/>
        <v>0</v>
      </c>
      <c r="W160" s="31">
        <f t="shared" si="32"/>
        <v>0</v>
      </c>
      <c r="X160" s="29">
        <f t="shared" si="32"/>
        <v>0</v>
      </c>
      <c r="Y160" s="31">
        <f t="shared" si="32"/>
        <v>0</v>
      </c>
      <c r="Z160" s="29">
        <f t="shared" si="32"/>
        <v>0</v>
      </c>
      <c r="AA160" s="31">
        <f t="shared" si="32"/>
        <v>0</v>
      </c>
      <c r="AB160" s="29">
        <f t="shared" si="32"/>
        <v>0</v>
      </c>
      <c r="AC160" s="31">
        <f t="shared" si="32"/>
        <v>0</v>
      </c>
      <c r="AD160" s="29">
        <f t="shared" si="32"/>
        <v>0</v>
      </c>
      <c r="AE160" s="31">
        <f t="shared" si="32"/>
        <v>0</v>
      </c>
      <c r="AF160" s="29">
        <f t="shared" si="32"/>
        <v>0</v>
      </c>
      <c r="AG160" s="41">
        <f t="shared" si="32"/>
        <v>0</v>
      </c>
      <c r="AH160" s="29">
        <f t="shared" ref="AH160:BQ160" si="33">SUM(AH148:AH159)</f>
        <v>0</v>
      </c>
      <c r="AI160" s="31">
        <f t="shared" si="33"/>
        <v>0</v>
      </c>
      <c r="AJ160" s="29">
        <f t="shared" si="33"/>
        <v>0</v>
      </c>
      <c r="AK160" s="31">
        <f t="shared" si="33"/>
        <v>0</v>
      </c>
      <c r="AL160" s="29">
        <f t="shared" si="33"/>
        <v>0</v>
      </c>
      <c r="AM160" s="31">
        <f t="shared" si="33"/>
        <v>0</v>
      </c>
      <c r="AN160" s="29">
        <f t="shared" si="33"/>
        <v>0</v>
      </c>
      <c r="AO160" s="31">
        <f t="shared" si="33"/>
        <v>0</v>
      </c>
      <c r="AP160" s="29">
        <f t="shared" si="33"/>
        <v>0</v>
      </c>
      <c r="AQ160" s="31">
        <f t="shared" si="33"/>
        <v>0</v>
      </c>
      <c r="AR160" s="29">
        <f t="shared" si="33"/>
        <v>0</v>
      </c>
      <c r="AS160" s="31">
        <f t="shared" si="33"/>
        <v>0</v>
      </c>
      <c r="AT160" s="29">
        <f t="shared" si="33"/>
        <v>0</v>
      </c>
      <c r="AU160" s="31">
        <f t="shared" si="33"/>
        <v>0</v>
      </c>
      <c r="AV160" s="29">
        <f t="shared" si="33"/>
        <v>0</v>
      </c>
      <c r="AW160" s="31">
        <f t="shared" si="33"/>
        <v>0</v>
      </c>
      <c r="AX160" s="29">
        <f t="shared" si="33"/>
        <v>0</v>
      </c>
      <c r="AY160" s="31">
        <f t="shared" si="33"/>
        <v>0</v>
      </c>
      <c r="AZ160" s="29">
        <f t="shared" si="33"/>
        <v>0</v>
      </c>
      <c r="BA160" s="31">
        <f t="shared" si="33"/>
        <v>0</v>
      </c>
      <c r="BB160" s="29">
        <f t="shared" si="33"/>
        <v>0</v>
      </c>
      <c r="BC160" s="31">
        <f t="shared" si="33"/>
        <v>0</v>
      </c>
      <c r="BD160" s="29">
        <f>SUM(BD148:BD159)</f>
        <v>0</v>
      </c>
      <c r="BE160" s="31">
        <f t="shared" si="33"/>
        <v>0</v>
      </c>
      <c r="BF160" s="29">
        <f t="shared" si="33"/>
        <v>0</v>
      </c>
      <c r="BG160" s="31">
        <f t="shared" si="33"/>
        <v>0</v>
      </c>
      <c r="BH160" s="29">
        <f t="shared" si="33"/>
        <v>0</v>
      </c>
      <c r="BI160" s="31">
        <f t="shared" si="33"/>
        <v>0</v>
      </c>
      <c r="BJ160" s="29">
        <f t="shared" si="33"/>
        <v>0</v>
      </c>
      <c r="BK160" s="41">
        <f t="shared" si="33"/>
        <v>0</v>
      </c>
      <c r="BL160" s="39">
        <f t="shared" si="33"/>
        <v>0</v>
      </c>
      <c r="BM160" s="31">
        <f t="shared" si="33"/>
        <v>0</v>
      </c>
      <c r="BN160" s="32">
        <f t="shared" si="33"/>
        <v>0</v>
      </c>
      <c r="BO160" s="40">
        <f t="shared" si="33"/>
        <v>0</v>
      </c>
      <c r="BP160" s="245">
        <f t="shared" si="33"/>
        <v>3</v>
      </c>
      <c r="BQ160" s="240">
        <f t="shared" si="33"/>
        <v>5</v>
      </c>
    </row>
    <row r="161" spans="2:69" ht="24.75" customHeight="1">
      <c r="B161" s="120"/>
      <c r="AG161" s="34"/>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34"/>
      <c r="BL161" s="7"/>
      <c r="BM161" s="34"/>
      <c r="BN161" s="7"/>
      <c r="BO161" s="7"/>
      <c r="BP161" s="238"/>
      <c r="BQ161" s="239"/>
    </row>
    <row r="162" spans="2:69" ht="24.75" customHeight="1" thickBot="1">
      <c r="B162" s="120"/>
      <c r="AG162" s="8"/>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8"/>
      <c r="BL162" s="7"/>
      <c r="BM162" s="8"/>
      <c r="BN162" s="7"/>
      <c r="BO162" s="7"/>
      <c r="BP162" s="238"/>
      <c r="BQ162" s="239"/>
    </row>
    <row r="163" spans="2:69" ht="24.75" customHeight="1">
      <c r="B163" s="743" t="s">
        <v>215</v>
      </c>
      <c r="C163" s="749">
        <f>COUNTIF(B166:B195,"*")</f>
        <v>24</v>
      </c>
      <c r="D163" s="751">
        <v>1</v>
      </c>
      <c r="E163" s="738"/>
      <c r="F163" s="737">
        <v>2</v>
      </c>
      <c r="G163" s="738"/>
      <c r="H163" s="737">
        <v>3</v>
      </c>
      <c r="I163" s="738"/>
      <c r="J163" s="737">
        <v>4</v>
      </c>
      <c r="K163" s="738"/>
      <c r="L163" s="737">
        <v>5</v>
      </c>
      <c r="M163" s="738"/>
      <c r="N163" s="737">
        <v>6</v>
      </c>
      <c r="O163" s="738"/>
      <c r="P163" s="737">
        <v>7</v>
      </c>
      <c r="Q163" s="738"/>
      <c r="R163" s="737">
        <v>8</v>
      </c>
      <c r="S163" s="738"/>
      <c r="T163" s="737">
        <v>9</v>
      </c>
      <c r="U163" s="738"/>
      <c r="V163" s="737">
        <v>10</v>
      </c>
      <c r="W163" s="738"/>
      <c r="X163" s="737">
        <v>11</v>
      </c>
      <c r="Y163" s="738"/>
      <c r="Z163" s="737">
        <v>12</v>
      </c>
      <c r="AA163" s="738"/>
      <c r="AB163" s="737">
        <v>13</v>
      </c>
      <c r="AC163" s="738"/>
      <c r="AD163" s="737">
        <v>14</v>
      </c>
      <c r="AE163" s="738"/>
      <c r="AF163" s="737">
        <v>15</v>
      </c>
      <c r="AG163" s="784"/>
      <c r="AH163" s="741">
        <v>16</v>
      </c>
      <c r="AI163" s="741"/>
      <c r="AJ163" s="741">
        <v>17</v>
      </c>
      <c r="AK163" s="741"/>
      <c r="AL163" s="741">
        <v>18</v>
      </c>
      <c r="AM163" s="741"/>
      <c r="AN163" s="741">
        <v>19</v>
      </c>
      <c r="AO163" s="741"/>
      <c r="AP163" s="741">
        <v>20</v>
      </c>
      <c r="AQ163" s="741"/>
      <c r="AR163" s="741">
        <v>21</v>
      </c>
      <c r="AS163" s="741"/>
      <c r="AT163" s="741">
        <v>22</v>
      </c>
      <c r="AU163" s="741"/>
      <c r="AV163" s="741">
        <v>23</v>
      </c>
      <c r="AW163" s="741"/>
      <c r="AX163" s="741">
        <v>24</v>
      </c>
      <c r="AY163" s="741"/>
      <c r="AZ163" s="741">
        <v>25</v>
      </c>
      <c r="BA163" s="741"/>
      <c r="BB163" s="741">
        <v>26</v>
      </c>
      <c r="BC163" s="741"/>
      <c r="BD163" s="741">
        <v>27</v>
      </c>
      <c r="BE163" s="741"/>
      <c r="BF163" s="741">
        <v>28</v>
      </c>
      <c r="BG163" s="741"/>
      <c r="BH163" s="741">
        <v>29</v>
      </c>
      <c r="BI163" s="741"/>
      <c r="BJ163" s="741">
        <v>30</v>
      </c>
      <c r="BK163" s="741"/>
      <c r="BL163" s="741">
        <v>31</v>
      </c>
      <c r="BM163" s="741"/>
      <c r="BN163" s="738" t="s">
        <v>251</v>
      </c>
      <c r="BO163" s="760"/>
      <c r="BP163" s="771" t="s">
        <v>353</v>
      </c>
      <c r="BQ163" s="772"/>
    </row>
    <row r="164" spans="2:69" ht="24.75" customHeight="1">
      <c r="B164" s="744"/>
      <c r="C164" s="747"/>
      <c r="D164" s="752" t="str">
        <f>D2</f>
        <v>土</v>
      </c>
      <c r="E164" s="740"/>
      <c r="F164" s="739" t="str">
        <f>F2</f>
        <v>日</v>
      </c>
      <c r="G164" s="740"/>
      <c r="H164" s="739" t="str">
        <f>H2</f>
        <v>月</v>
      </c>
      <c r="I164" s="740"/>
      <c r="J164" s="739" t="str">
        <f>J2</f>
        <v>火</v>
      </c>
      <c r="K164" s="740"/>
      <c r="L164" s="739" t="str">
        <f>L2</f>
        <v>水</v>
      </c>
      <c r="M164" s="740"/>
      <c r="N164" s="739" t="str">
        <f>N2</f>
        <v>木</v>
      </c>
      <c r="O164" s="740"/>
      <c r="P164" s="739" t="str">
        <f>P2</f>
        <v>金</v>
      </c>
      <c r="Q164" s="740"/>
      <c r="R164" s="739" t="str">
        <f>R2</f>
        <v>土</v>
      </c>
      <c r="S164" s="740"/>
      <c r="T164" s="739" t="str">
        <f>T2</f>
        <v>日</v>
      </c>
      <c r="U164" s="740"/>
      <c r="V164" s="739" t="str">
        <f>V2</f>
        <v>月</v>
      </c>
      <c r="W164" s="740"/>
      <c r="X164" s="739" t="str">
        <f>X2</f>
        <v>火</v>
      </c>
      <c r="Y164" s="740"/>
      <c r="Z164" s="739" t="str">
        <f>Z2</f>
        <v>水</v>
      </c>
      <c r="AA164" s="740"/>
      <c r="AB164" s="739" t="str">
        <f>AB2</f>
        <v>木</v>
      </c>
      <c r="AC164" s="740"/>
      <c r="AD164" s="739" t="str">
        <f>AD2</f>
        <v>金</v>
      </c>
      <c r="AE164" s="740"/>
      <c r="AF164" s="739" t="str">
        <f>AF2</f>
        <v>土</v>
      </c>
      <c r="AG164" s="740"/>
      <c r="AH164" s="786" t="str">
        <f>AH2</f>
        <v>日</v>
      </c>
      <c r="AI164" s="767"/>
      <c r="AJ164" s="770" t="str">
        <f>AJ2</f>
        <v>月</v>
      </c>
      <c r="AK164" s="770"/>
      <c r="AL164" s="770" t="str">
        <f>AL2</f>
        <v>火</v>
      </c>
      <c r="AM164" s="770"/>
      <c r="AN164" s="770" t="str">
        <f>AN2</f>
        <v>水</v>
      </c>
      <c r="AO164" s="770"/>
      <c r="AP164" s="770" t="str">
        <f>AP2</f>
        <v>木</v>
      </c>
      <c r="AQ164" s="770"/>
      <c r="AR164" s="770" t="str">
        <f>AR2</f>
        <v>金</v>
      </c>
      <c r="AS164" s="770"/>
      <c r="AT164" s="770" t="str">
        <f>AT2</f>
        <v>土</v>
      </c>
      <c r="AU164" s="770"/>
      <c r="AV164" s="770" t="str">
        <f>AV2</f>
        <v>日</v>
      </c>
      <c r="AW164" s="770"/>
      <c r="AX164" s="770" t="str">
        <f>AX2</f>
        <v>月</v>
      </c>
      <c r="AY164" s="770"/>
      <c r="AZ164" s="770" t="str">
        <f>AZ2</f>
        <v>火</v>
      </c>
      <c r="BA164" s="770"/>
      <c r="BB164" s="770" t="str">
        <f>BB2</f>
        <v>水</v>
      </c>
      <c r="BC164" s="770"/>
      <c r="BD164" s="770" t="str">
        <f>BD2</f>
        <v>木</v>
      </c>
      <c r="BE164" s="770"/>
      <c r="BF164" s="770" t="str">
        <f>BF2</f>
        <v>金</v>
      </c>
      <c r="BG164" s="770"/>
      <c r="BH164" s="770" t="str">
        <f>BH2</f>
        <v>土</v>
      </c>
      <c r="BI164" s="770"/>
      <c r="BJ164" s="770" t="str">
        <f>BJ2</f>
        <v>日</v>
      </c>
      <c r="BK164" s="770"/>
      <c r="BL164" s="770" t="str">
        <f>BL2</f>
        <v>月</v>
      </c>
      <c r="BM164" s="770"/>
      <c r="BN164" s="761"/>
      <c r="BO164" s="762"/>
      <c r="BP164" s="773"/>
      <c r="BQ164" s="774"/>
    </row>
    <row r="165" spans="2:69" ht="24.95" customHeight="1">
      <c r="B165" s="744"/>
      <c r="C165" s="747"/>
      <c r="D165" s="482" t="s">
        <v>72</v>
      </c>
      <c r="E165" s="481" t="s">
        <v>73</v>
      </c>
      <c r="F165" s="480" t="s">
        <v>72</v>
      </c>
      <c r="G165" s="481" t="s">
        <v>73</v>
      </c>
      <c r="H165" s="480" t="s">
        <v>72</v>
      </c>
      <c r="I165" s="481" t="s">
        <v>73</v>
      </c>
      <c r="J165" s="482" t="s">
        <v>72</v>
      </c>
      <c r="K165" s="481" t="s">
        <v>73</v>
      </c>
      <c r="L165" s="482" t="s">
        <v>72</v>
      </c>
      <c r="M165" s="481" t="s">
        <v>73</v>
      </c>
      <c r="N165" s="482" t="s">
        <v>72</v>
      </c>
      <c r="O165" s="481" t="s">
        <v>73</v>
      </c>
      <c r="P165" s="482" t="s">
        <v>72</v>
      </c>
      <c r="Q165" s="481" t="s">
        <v>73</v>
      </c>
      <c r="R165" s="482" t="s">
        <v>72</v>
      </c>
      <c r="S165" s="481" t="s">
        <v>73</v>
      </c>
      <c r="T165" s="482" t="s">
        <v>72</v>
      </c>
      <c r="U165" s="481" t="s">
        <v>73</v>
      </c>
      <c r="V165" s="482" t="s">
        <v>72</v>
      </c>
      <c r="W165" s="481" t="s">
        <v>73</v>
      </c>
      <c r="X165" s="482" t="s">
        <v>72</v>
      </c>
      <c r="Y165" s="481" t="s">
        <v>73</v>
      </c>
      <c r="Z165" s="482" t="s">
        <v>72</v>
      </c>
      <c r="AA165" s="107" t="s">
        <v>73</v>
      </c>
      <c r="AB165" s="194" t="s">
        <v>72</v>
      </c>
      <c r="AC165" s="107" t="s">
        <v>73</v>
      </c>
      <c r="AD165" s="194" t="s">
        <v>72</v>
      </c>
      <c r="AE165" s="107" t="s">
        <v>73</v>
      </c>
      <c r="AF165" s="194" t="s">
        <v>72</v>
      </c>
      <c r="AG165" s="107" t="s">
        <v>73</v>
      </c>
      <c r="AH165" s="482" t="s">
        <v>72</v>
      </c>
      <c r="AI165" s="481" t="s">
        <v>73</v>
      </c>
      <c r="AJ165" s="480" t="s">
        <v>72</v>
      </c>
      <c r="AK165" s="481" t="s">
        <v>73</v>
      </c>
      <c r="AL165" s="480" t="s">
        <v>72</v>
      </c>
      <c r="AM165" s="481" t="s">
        <v>73</v>
      </c>
      <c r="AN165" s="482" t="s">
        <v>72</v>
      </c>
      <c r="AO165" s="481" t="s">
        <v>73</v>
      </c>
      <c r="AP165" s="482" t="s">
        <v>72</v>
      </c>
      <c r="AQ165" s="481" t="s">
        <v>73</v>
      </c>
      <c r="AR165" s="482" t="s">
        <v>72</v>
      </c>
      <c r="AS165" s="481" t="s">
        <v>73</v>
      </c>
      <c r="AT165" s="482" t="s">
        <v>72</v>
      </c>
      <c r="AU165" s="481" t="s">
        <v>73</v>
      </c>
      <c r="AV165" s="482" t="s">
        <v>72</v>
      </c>
      <c r="AW165" s="481" t="s">
        <v>73</v>
      </c>
      <c r="AX165" s="482" t="s">
        <v>72</v>
      </c>
      <c r="AY165" s="481" t="s">
        <v>73</v>
      </c>
      <c r="AZ165" s="482" t="s">
        <v>72</v>
      </c>
      <c r="BA165" s="481" t="s">
        <v>73</v>
      </c>
      <c r="BB165" s="482" t="s">
        <v>72</v>
      </c>
      <c r="BC165" s="481" t="s">
        <v>73</v>
      </c>
      <c r="BD165" s="482" t="s">
        <v>72</v>
      </c>
      <c r="BE165" s="107" t="s">
        <v>73</v>
      </c>
      <c r="BF165" s="194" t="s">
        <v>72</v>
      </c>
      <c r="BG165" s="107" t="s">
        <v>73</v>
      </c>
      <c r="BH165" s="194" t="s">
        <v>72</v>
      </c>
      <c r="BI165" s="107" t="s">
        <v>73</v>
      </c>
      <c r="BJ165" s="194" t="s">
        <v>72</v>
      </c>
      <c r="BK165" s="107" t="s">
        <v>73</v>
      </c>
      <c r="BL165" s="194" t="s">
        <v>72</v>
      </c>
      <c r="BM165" s="107" t="s">
        <v>73</v>
      </c>
      <c r="BN165" s="98" t="s">
        <v>72</v>
      </c>
      <c r="BO165" s="99" t="s">
        <v>73</v>
      </c>
      <c r="BP165" s="477" t="s">
        <v>252</v>
      </c>
      <c r="BQ165" s="478" t="s">
        <v>254</v>
      </c>
    </row>
    <row r="166" spans="2:69" ht="45" customHeight="1">
      <c r="B166" s="580" t="str">
        <f>'1月'!$B$166</f>
        <v>小川　菜音</v>
      </c>
      <c r="C166" s="581"/>
      <c r="D166" s="582"/>
      <c r="E166" s="583"/>
      <c r="F166" s="582"/>
      <c r="G166" s="583"/>
      <c r="H166" s="582"/>
      <c r="I166" s="583"/>
      <c r="J166" s="582"/>
      <c r="K166" s="583"/>
      <c r="L166" s="582"/>
      <c r="M166" s="583"/>
      <c r="N166" s="582"/>
      <c r="O166" s="583"/>
      <c r="P166" s="582"/>
      <c r="Q166" s="583"/>
      <c r="R166" s="582"/>
      <c r="S166" s="583"/>
      <c r="T166" s="582"/>
      <c r="U166" s="583"/>
      <c r="V166" s="582"/>
      <c r="W166" s="583"/>
      <c r="X166" s="582"/>
      <c r="Y166" s="583"/>
      <c r="Z166" s="582"/>
      <c r="AA166" s="584"/>
      <c r="AB166" s="582"/>
      <c r="AC166" s="584"/>
      <c r="AD166" s="582"/>
      <c r="AE166" s="584"/>
      <c r="AF166" s="582"/>
      <c r="AG166" s="584"/>
      <c r="AH166" s="582"/>
      <c r="AI166" s="583"/>
      <c r="AJ166" s="582"/>
      <c r="AK166" s="583"/>
      <c r="AL166" s="582"/>
      <c r="AM166" s="583"/>
      <c r="AN166" s="582"/>
      <c r="AO166" s="583"/>
      <c r="AP166" s="582"/>
      <c r="AQ166" s="583"/>
      <c r="AR166" s="582"/>
      <c r="AS166" s="583"/>
      <c r="AT166" s="582"/>
      <c r="AU166" s="583"/>
      <c r="AV166" s="582"/>
      <c r="AW166" s="583"/>
      <c r="AX166" s="582"/>
      <c r="AY166" s="583"/>
      <c r="AZ166" s="582"/>
      <c r="BA166" s="583"/>
      <c r="BB166" s="582"/>
      <c r="BC166" s="583"/>
      <c r="BD166" s="582"/>
      <c r="BE166" s="584"/>
      <c r="BF166" s="582"/>
      <c r="BG166" s="584"/>
      <c r="BH166" s="582"/>
      <c r="BI166" s="584"/>
      <c r="BJ166" s="582"/>
      <c r="BK166" s="584"/>
      <c r="BL166" s="586"/>
      <c r="BM166" s="584"/>
      <c r="BN166" s="102">
        <f>SUM(D166,F166,H166,J166,L166,N166,P166,R166,T166,V166,X166,Z166,AB166,AD166,AF166,AH166,AJ166,AL166,AN166,AP166,AR166,AT166,AV166,AX166,AZ166,BB166,BD166,BF166,BH166,BJ166,BL166)</f>
        <v>0</v>
      </c>
      <c r="BO166" s="47">
        <f>SUM(E166,G166,I166,K166,M166,O166,Q166,S166,U166,W166,Y166,AA166,AC166,AE166,AG166,AI166,AK166,AM166,AO166,AQ166,AS166,AU166,AW166,AY166,BA166,BC166,BE166,BG166,BI166,BK166,BM166)</f>
        <v>0</v>
      </c>
      <c r="BP166" s="631">
        <f>INDEX('2月'!$B$4:$BQ$375,MATCH('3月'!B166,'2月'!$B$4:$B$375,0),67)+BN166</f>
        <v>0</v>
      </c>
      <c r="BQ166" s="702">
        <f>INDEX('2月'!$B$4:$BQ$375,MATCH('3月'!B166,'2月'!$B$4:$B$375,0),68)+BO166</f>
        <v>0</v>
      </c>
    </row>
    <row r="167" spans="2:69" s="6" customFormat="1" ht="45" customHeight="1">
      <c r="B167" s="203" t="str">
        <f>'1月'!$B$167</f>
        <v>貝守　竜哉</v>
      </c>
      <c r="C167" s="146"/>
      <c r="D167" s="18"/>
      <c r="E167" s="14"/>
      <c r="F167" s="18"/>
      <c r="G167" s="14"/>
      <c r="H167" s="18"/>
      <c r="I167" s="14"/>
      <c r="J167" s="18"/>
      <c r="K167" s="14"/>
      <c r="L167" s="18"/>
      <c r="M167" s="14"/>
      <c r="N167" s="18"/>
      <c r="O167" s="14"/>
      <c r="P167" s="18"/>
      <c r="Q167" s="14"/>
      <c r="R167" s="18"/>
      <c r="S167" s="14"/>
      <c r="T167" s="18"/>
      <c r="U167" s="14"/>
      <c r="V167" s="18"/>
      <c r="W167" s="14"/>
      <c r="X167" s="18"/>
      <c r="Y167" s="14"/>
      <c r="Z167" s="18"/>
      <c r="AA167" s="14"/>
      <c r="AB167" s="18"/>
      <c r="AC167" s="14"/>
      <c r="AD167" s="18"/>
      <c r="AE167" s="14"/>
      <c r="AF167" s="18"/>
      <c r="AG167" s="15"/>
      <c r="AH167" s="18"/>
      <c r="AI167" s="14"/>
      <c r="AJ167" s="18"/>
      <c r="AK167" s="14"/>
      <c r="AL167" s="18"/>
      <c r="AM167" s="14"/>
      <c r="AN167" s="18"/>
      <c r="AO167" s="14"/>
      <c r="AP167" s="18"/>
      <c r="AQ167" s="14"/>
      <c r="AR167" s="18"/>
      <c r="AS167" s="14"/>
      <c r="AT167" s="18"/>
      <c r="AU167" s="14"/>
      <c r="AV167" s="18"/>
      <c r="AW167" s="14"/>
      <c r="AX167" s="18"/>
      <c r="AY167" s="14"/>
      <c r="AZ167" s="18"/>
      <c r="BA167" s="14"/>
      <c r="BB167" s="18"/>
      <c r="BC167" s="14"/>
      <c r="BD167" s="18"/>
      <c r="BE167" s="14"/>
      <c r="BF167" s="18"/>
      <c r="BG167" s="14"/>
      <c r="BH167" s="18"/>
      <c r="BI167" s="14"/>
      <c r="BJ167" s="18"/>
      <c r="BK167" s="15"/>
      <c r="BL167" s="37"/>
      <c r="BM167" s="14"/>
      <c r="BN167" s="102">
        <f t="shared" ref="BN167:BN189" si="34">SUM(D167,F167,H167,J167,L167,N167,P167,R167,T167,V167,X167,Z167,AB167,AD167,AF167,AH167,AJ167,AL167,AN167,AP167,AR167,AT167,AV167,AX167,AZ167,BB167,BD167,BF167,BH167,BJ167,BL167)</f>
        <v>0</v>
      </c>
      <c r="BO167" s="47">
        <f t="shared" ref="BO167:BO189" si="35">SUM(E167,G167,I167,K167,M167,O167,Q167,S167,U167,W167,Y167,AA167,AC167,AE167,AG167,AI167,AK167,AM167,AO167,AQ167,AS167,AU167,AW167,AY167,BA167,BC167,BE167,BG167,BI167,BK167,BM167)</f>
        <v>0</v>
      </c>
      <c r="BP167" s="631">
        <f>INDEX('2月'!$B$4:$BQ$375,MATCH('3月'!B167,'2月'!$B$4:$B$375,0),67)+BN167</f>
        <v>0</v>
      </c>
      <c r="BQ167" s="702">
        <f>INDEX('2月'!$B$4:$BQ$375,MATCH('3月'!B167,'2月'!$B$4:$B$375,0),68)+BO167</f>
        <v>0</v>
      </c>
    </row>
    <row r="168" spans="2:69" s="6" customFormat="1" ht="45" customHeight="1">
      <c r="B168" s="201" t="str">
        <f>'1月'!$B$168</f>
        <v>川村　一覚</v>
      </c>
      <c r="C168" s="146"/>
      <c r="D168" s="18"/>
      <c r="E168" s="14"/>
      <c r="F168" s="50"/>
      <c r="G168" s="20"/>
      <c r="H168" s="50"/>
      <c r="I168" s="20"/>
      <c r="J168" s="50"/>
      <c r="K168" s="20"/>
      <c r="L168" s="50"/>
      <c r="M168" s="20"/>
      <c r="N168" s="50"/>
      <c r="O168" s="20"/>
      <c r="P168" s="50"/>
      <c r="Q168" s="20"/>
      <c r="R168" s="50"/>
      <c r="S168" s="20"/>
      <c r="T168" s="50"/>
      <c r="U168" s="20"/>
      <c r="V168" s="50"/>
      <c r="W168" s="20"/>
      <c r="X168" s="50"/>
      <c r="Y168" s="20"/>
      <c r="Z168" s="50"/>
      <c r="AA168" s="20"/>
      <c r="AB168" s="50"/>
      <c r="AC168" s="20"/>
      <c r="AD168" s="50"/>
      <c r="AE168" s="20"/>
      <c r="AF168" s="50"/>
      <c r="AG168" s="21"/>
      <c r="AH168" s="18"/>
      <c r="AI168" s="20"/>
      <c r="AJ168" s="50"/>
      <c r="AK168" s="20"/>
      <c r="AL168" s="50"/>
      <c r="AM168" s="20"/>
      <c r="AN168" s="50"/>
      <c r="AO168" s="20"/>
      <c r="AP168" s="50"/>
      <c r="AQ168" s="20"/>
      <c r="AR168" s="50"/>
      <c r="AS168" s="20"/>
      <c r="AT168" s="50"/>
      <c r="AU168" s="20"/>
      <c r="AV168" s="50"/>
      <c r="AW168" s="20"/>
      <c r="AX168" s="50"/>
      <c r="AY168" s="20"/>
      <c r="AZ168" s="50"/>
      <c r="BA168" s="20"/>
      <c r="BB168" s="50"/>
      <c r="BC168" s="20"/>
      <c r="BD168" s="50"/>
      <c r="BE168" s="20"/>
      <c r="BF168" s="50"/>
      <c r="BG168" s="20"/>
      <c r="BH168" s="50"/>
      <c r="BI168" s="20"/>
      <c r="BJ168" s="50"/>
      <c r="BK168" s="21"/>
      <c r="BL168" s="38"/>
      <c r="BM168" s="20"/>
      <c r="BN168" s="102">
        <f t="shared" si="34"/>
        <v>0</v>
      </c>
      <c r="BO168" s="47">
        <f t="shared" si="35"/>
        <v>0</v>
      </c>
      <c r="BP168" s="631">
        <f>INDEX('2月'!$B$4:$BQ$375,MATCH('3月'!B168,'2月'!$B$4:$B$375,0),67)+BN168</f>
        <v>0</v>
      </c>
      <c r="BQ168" s="702">
        <f>INDEX('2月'!$B$4:$BQ$375,MATCH('3月'!B168,'2月'!$B$4:$B$375,0),68)+BO168</f>
        <v>0</v>
      </c>
    </row>
    <row r="169" spans="2:69" s="6" customFormat="1" ht="45" customHeight="1">
      <c r="B169" s="201" t="str">
        <f>'1月'!$B$169</f>
        <v>川守田　拓</v>
      </c>
      <c r="C169" s="146"/>
      <c r="D169" s="18"/>
      <c r="E169" s="14"/>
      <c r="F169" s="18"/>
      <c r="G169" s="14"/>
      <c r="H169" s="18"/>
      <c r="I169" s="14"/>
      <c r="J169" s="18"/>
      <c r="K169" s="14"/>
      <c r="L169" s="18"/>
      <c r="M169" s="14"/>
      <c r="N169" s="18"/>
      <c r="O169" s="14"/>
      <c r="P169" s="18"/>
      <c r="Q169" s="14"/>
      <c r="R169" s="18"/>
      <c r="S169" s="14"/>
      <c r="T169" s="18"/>
      <c r="U169" s="14"/>
      <c r="V169" s="18"/>
      <c r="W169" s="14"/>
      <c r="X169" s="18"/>
      <c r="Y169" s="14"/>
      <c r="Z169" s="18"/>
      <c r="AA169" s="14"/>
      <c r="AB169" s="18"/>
      <c r="AC169" s="14"/>
      <c r="AD169" s="18"/>
      <c r="AE169" s="14"/>
      <c r="AF169" s="50"/>
      <c r="AG169" s="15"/>
      <c r="AH169" s="18"/>
      <c r="AI169" s="14"/>
      <c r="AJ169" s="18"/>
      <c r="AK169" s="14"/>
      <c r="AL169" s="18"/>
      <c r="AM169" s="14"/>
      <c r="AN169" s="18"/>
      <c r="AO169" s="14"/>
      <c r="AP169" s="18"/>
      <c r="AQ169" s="14"/>
      <c r="AR169" s="18"/>
      <c r="AS169" s="14"/>
      <c r="AT169" s="18"/>
      <c r="AU169" s="14"/>
      <c r="AV169" s="18"/>
      <c r="AW169" s="14"/>
      <c r="AX169" s="18"/>
      <c r="AY169" s="14"/>
      <c r="AZ169" s="18"/>
      <c r="BA169" s="14"/>
      <c r="BB169" s="18"/>
      <c r="BC169" s="14"/>
      <c r="BD169" s="18"/>
      <c r="BE169" s="14"/>
      <c r="BF169" s="18"/>
      <c r="BG169" s="14"/>
      <c r="BH169" s="18"/>
      <c r="BI169" s="14"/>
      <c r="BJ169" s="18"/>
      <c r="BK169" s="15"/>
      <c r="BL169" s="37"/>
      <c r="BM169" s="14"/>
      <c r="BN169" s="102">
        <f t="shared" si="34"/>
        <v>0</v>
      </c>
      <c r="BO169" s="47">
        <f t="shared" si="35"/>
        <v>0</v>
      </c>
      <c r="BP169" s="631">
        <f>INDEX('2月'!$B$4:$BQ$375,MATCH('3月'!B169,'2月'!$B$4:$B$375,0),67)+BN169</f>
        <v>0</v>
      </c>
      <c r="BQ169" s="702">
        <f>INDEX('2月'!$B$4:$BQ$375,MATCH('3月'!B169,'2月'!$B$4:$B$375,0),68)+BO169</f>
        <v>0</v>
      </c>
    </row>
    <row r="170" spans="2:69" s="6" customFormat="1" ht="45" customHeight="1">
      <c r="B170" s="201" t="str">
        <f>'1月'!$B$170</f>
        <v>坂井田　一徳</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102">
        <f t="shared" si="34"/>
        <v>0</v>
      </c>
      <c r="BO170" s="47">
        <f t="shared" si="35"/>
        <v>0</v>
      </c>
      <c r="BP170" s="631">
        <f>INDEX('2月'!$B$4:$BQ$375,MATCH('3月'!B170,'2月'!$B$4:$B$375,0),67)+BN170</f>
        <v>0</v>
      </c>
      <c r="BQ170" s="702">
        <f>INDEX('2月'!$B$4:$BQ$375,MATCH('3月'!B170,'2月'!$B$4:$B$375,0),68)+BO170</f>
        <v>0</v>
      </c>
    </row>
    <row r="171" spans="2:69" s="6" customFormat="1" ht="45" customHeight="1">
      <c r="B171" s="201" t="str">
        <f>'1月'!$B$171</f>
        <v>坂口　典子</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102">
        <f t="shared" si="34"/>
        <v>0</v>
      </c>
      <c r="BO171" s="47">
        <f t="shared" si="35"/>
        <v>0</v>
      </c>
      <c r="BP171" s="631">
        <f>INDEX('2月'!$B$4:$BQ$375,MATCH('3月'!B171,'2月'!$B$4:$B$375,0),67)+BN171</f>
        <v>0</v>
      </c>
      <c r="BQ171" s="702">
        <f>INDEX('2月'!$B$4:$BQ$375,MATCH('3月'!B171,'2月'!$B$4:$B$375,0),68)+BO171</f>
        <v>0</v>
      </c>
    </row>
    <row r="172" spans="2:69" s="6" customFormat="1" ht="45" customHeight="1">
      <c r="B172" s="207" t="str">
        <f>'1月'!$B$172</f>
        <v>佐々木　清</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102">
        <f t="shared" si="34"/>
        <v>0</v>
      </c>
      <c r="BO172" s="47">
        <f t="shared" si="35"/>
        <v>0</v>
      </c>
      <c r="BP172" s="631">
        <f>INDEX('2月'!$B$4:$BQ$375,MATCH('3月'!B172,'2月'!$B$4:$B$375,0),67)+BN172</f>
        <v>0</v>
      </c>
      <c r="BQ172" s="702">
        <f>INDEX('2月'!$B$4:$BQ$375,MATCH('3月'!B172,'2月'!$B$4:$B$375,0),68)+BO172</f>
        <v>0</v>
      </c>
    </row>
    <row r="173" spans="2:69" s="6" customFormat="1" ht="45" customHeight="1">
      <c r="B173" s="201" t="str">
        <f>'1月'!$B$173</f>
        <v>佐々木　亮</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102">
        <f t="shared" si="34"/>
        <v>0</v>
      </c>
      <c r="BO173" s="47">
        <f t="shared" si="35"/>
        <v>0</v>
      </c>
      <c r="BP173" s="631">
        <f>INDEX('2月'!$B$4:$BQ$375,MATCH('3月'!B173,'2月'!$B$4:$B$375,0),67)+BN173</f>
        <v>2</v>
      </c>
      <c r="BQ173" s="702">
        <f>INDEX('2月'!$B$4:$BQ$375,MATCH('3月'!B173,'2月'!$B$4:$B$375,0),68)+BO173</f>
        <v>2</v>
      </c>
    </row>
    <row r="174" spans="2:69" s="6" customFormat="1" ht="45" customHeight="1">
      <c r="B174" s="201" t="str">
        <f>'1月'!$B$174</f>
        <v>佐々木　めぐみ</v>
      </c>
      <c r="C174" s="146"/>
      <c r="D174" s="18"/>
      <c r="E174" s="14"/>
      <c r="F174" s="50"/>
      <c r="G174" s="20"/>
      <c r="H174" s="50"/>
      <c r="I174" s="20"/>
      <c r="J174" s="50"/>
      <c r="K174" s="20"/>
      <c r="L174" s="50"/>
      <c r="M174" s="20"/>
      <c r="N174" s="50"/>
      <c r="O174" s="20"/>
      <c r="P174" s="50"/>
      <c r="Q174" s="20"/>
      <c r="R174" s="50"/>
      <c r="S174" s="20"/>
      <c r="T174" s="50"/>
      <c r="U174" s="20"/>
      <c r="V174" s="50"/>
      <c r="W174" s="20"/>
      <c r="X174" s="50"/>
      <c r="Y174" s="20"/>
      <c r="Z174" s="50"/>
      <c r="AA174" s="20"/>
      <c r="AB174" s="50"/>
      <c r="AC174" s="20"/>
      <c r="AD174" s="50"/>
      <c r="AE174" s="20"/>
      <c r="AF174" s="50"/>
      <c r="AG174" s="21"/>
      <c r="AH174" s="18"/>
      <c r="AI174" s="20"/>
      <c r="AJ174" s="50"/>
      <c r="AK174" s="20"/>
      <c r="AL174" s="50"/>
      <c r="AM174" s="20"/>
      <c r="AN174" s="50"/>
      <c r="AO174" s="20"/>
      <c r="AP174" s="50"/>
      <c r="AQ174" s="20"/>
      <c r="AR174" s="50"/>
      <c r="AS174" s="20"/>
      <c r="AT174" s="50"/>
      <c r="AU174" s="20"/>
      <c r="AV174" s="50"/>
      <c r="AW174" s="20"/>
      <c r="AX174" s="50"/>
      <c r="AY174" s="20"/>
      <c r="AZ174" s="50"/>
      <c r="BA174" s="20"/>
      <c r="BB174" s="50"/>
      <c r="BC174" s="20"/>
      <c r="BD174" s="50"/>
      <c r="BE174" s="20"/>
      <c r="BF174" s="50"/>
      <c r="BG174" s="20"/>
      <c r="BH174" s="50"/>
      <c r="BI174" s="20"/>
      <c r="BJ174" s="50"/>
      <c r="BK174" s="21"/>
      <c r="BL174" s="38"/>
      <c r="BM174" s="20"/>
      <c r="BN174" s="102">
        <f t="shared" si="34"/>
        <v>0</v>
      </c>
      <c r="BO174" s="47">
        <f t="shared" si="35"/>
        <v>0</v>
      </c>
      <c r="BP174" s="631">
        <f>INDEX('2月'!$B$4:$BQ$375,MATCH('3月'!B174,'2月'!$B$4:$B$375,0),67)+BN174</f>
        <v>0</v>
      </c>
      <c r="BQ174" s="702">
        <f>INDEX('2月'!$B$4:$BQ$375,MATCH('3月'!B174,'2月'!$B$4:$B$375,0),68)+BO174</f>
        <v>0</v>
      </c>
    </row>
    <row r="175" spans="2:69" s="6" customFormat="1" ht="45" customHeight="1">
      <c r="B175" s="201" t="str">
        <f>'1月'!$B$175</f>
        <v>佐藤　弘子</v>
      </c>
      <c r="C175" s="146"/>
      <c r="D175" s="18"/>
      <c r="E175" s="14"/>
      <c r="F175" s="18"/>
      <c r="G175" s="14"/>
      <c r="H175" s="18"/>
      <c r="I175" s="14"/>
      <c r="J175" s="18"/>
      <c r="K175" s="14"/>
      <c r="L175" s="18"/>
      <c r="M175" s="14"/>
      <c r="N175" s="18"/>
      <c r="O175" s="14"/>
      <c r="P175" s="18"/>
      <c r="Q175" s="14"/>
      <c r="R175" s="18"/>
      <c r="S175" s="14"/>
      <c r="T175" s="18"/>
      <c r="U175" s="14"/>
      <c r="V175" s="18"/>
      <c r="W175" s="14"/>
      <c r="X175" s="18"/>
      <c r="Y175" s="14"/>
      <c r="Z175" s="18"/>
      <c r="AA175" s="14"/>
      <c r="AB175" s="18"/>
      <c r="AC175" s="14"/>
      <c r="AD175" s="18"/>
      <c r="AE175" s="14"/>
      <c r="AF175" s="50"/>
      <c r="AG175" s="15"/>
      <c r="AH175" s="18"/>
      <c r="AI175" s="14"/>
      <c r="AJ175" s="18"/>
      <c r="AK175" s="14"/>
      <c r="AL175" s="18"/>
      <c r="AM175" s="14"/>
      <c r="AN175" s="18"/>
      <c r="AO175" s="14"/>
      <c r="AP175" s="18"/>
      <c r="AQ175" s="14"/>
      <c r="AR175" s="18"/>
      <c r="AS175" s="14"/>
      <c r="AT175" s="18"/>
      <c r="AU175" s="14"/>
      <c r="AV175" s="18"/>
      <c r="AW175" s="14"/>
      <c r="AX175" s="18"/>
      <c r="AY175" s="14"/>
      <c r="AZ175" s="18"/>
      <c r="BA175" s="14"/>
      <c r="BB175" s="18"/>
      <c r="BC175" s="14"/>
      <c r="BD175" s="18"/>
      <c r="BE175" s="14"/>
      <c r="BF175" s="18"/>
      <c r="BG175" s="14"/>
      <c r="BH175" s="18"/>
      <c r="BI175" s="14"/>
      <c r="BJ175" s="18"/>
      <c r="BK175" s="15"/>
      <c r="BL175" s="37"/>
      <c r="BM175" s="14"/>
      <c r="BN175" s="102">
        <f t="shared" si="34"/>
        <v>0</v>
      </c>
      <c r="BO175" s="47">
        <f t="shared" si="35"/>
        <v>0</v>
      </c>
      <c r="BP175" s="631">
        <f>INDEX('2月'!$B$4:$BQ$375,MATCH('3月'!B175,'2月'!$B$4:$B$375,0),67)+BN175</f>
        <v>0</v>
      </c>
      <c r="BQ175" s="702">
        <f>INDEX('2月'!$B$4:$BQ$375,MATCH('3月'!B175,'2月'!$B$4:$B$375,0),68)+BO175</f>
        <v>0</v>
      </c>
    </row>
    <row r="176" spans="2:69" s="6" customFormat="1" ht="45" customHeight="1">
      <c r="B176" s="201" t="str">
        <f>'1月'!$B$176</f>
        <v>白戸　祐理</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102">
        <f t="shared" si="34"/>
        <v>0</v>
      </c>
      <c r="BO176" s="47">
        <f t="shared" si="35"/>
        <v>0</v>
      </c>
      <c r="BP176" s="631">
        <f>INDEX('2月'!$B$4:$BQ$375,MATCH('3月'!B176,'2月'!$B$4:$B$375,0),67)+BN176</f>
        <v>0</v>
      </c>
      <c r="BQ176" s="702">
        <f>INDEX('2月'!$B$4:$BQ$375,MATCH('3月'!B176,'2月'!$B$4:$B$375,0),68)+BO176</f>
        <v>0</v>
      </c>
    </row>
    <row r="177" spans="2:69" s="6" customFormat="1" ht="45" customHeight="1">
      <c r="B177" s="201" t="str">
        <f>'1月'!$B$177</f>
        <v>高橋　勤</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102">
        <f t="shared" si="34"/>
        <v>0</v>
      </c>
      <c r="BO177" s="47">
        <f t="shared" si="35"/>
        <v>0</v>
      </c>
      <c r="BP177" s="631">
        <f>INDEX('2月'!$B$4:$BQ$375,MATCH('3月'!B177,'2月'!$B$4:$B$375,0),67)+BN177</f>
        <v>0</v>
      </c>
      <c r="BQ177" s="702">
        <f>INDEX('2月'!$B$4:$BQ$375,MATCH('3月'!B177,'2月'!$B$4:$B$375,0),68)+BO177</f>
        <v>0</v>
      </c>
    </row>
    <row r="178" spans="2:69" s="6" customFormat="1" ht="45" customHeight="1">
      <c r="B178" s="201" t="str">
        <f>'1月'!$B$178</f>
        <v>高橋　真理子</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102">
        <f t="shared" si="34"/>
        <v>0</v>
      </c>
      <c r="BO178" s="47">
        <f t="shared" si="35"/>
        <v>0</v>
      </c>
      <c r="BP178" s="631">
        <f>INDEX('2月'!$B$4:$BQ$375,MATCH('3月'!B178,'2月'!$B$4:$B$375,0),67)+BN178</f>
        <v>0</v>
      </c>
      <c r="BQ178" s="702">
        <f>INDEX('2月'!$B$4:$BQ$375,MATCH('3月'!B178,'2月'!$B$4:$B$375,0),68)+BO178</f>
        <v>0</v>
      </c>
    </row>
    <row r="179" spans="2:69" s="6" customFormat="1" ht="45" customHeight="1">
      <c r="B179" s="201" t="str">
        <f>'1月'!$B$179</f>
        <v>田中　幸子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102">
        <f t="shared" si="34"/>
        <v>0</v>
      </c>
      <c r="BO179" s="47">
        <f t="shared" si="35"/>
        <v>0</v>
      </c>
      <c r="BP179" s="631">
        <f>INDEX('2月'!$B$4:$BQ$375,MATCH('3月'!B179,'2月'!$B$4:$B$375,0),67)+BN179</f>
        <v>0</v>
      </c>
      <c r="BQ179" s="702">
        <f>INDEX('2月'!$B$4:$BQ$375,MATCH('3月'!B179,'2月'!$B$4:$B$375,0),68)+BO179</f>
        <v>0</v>
      </c>
    </row>
    <row r="180" spans="2:69" s="6" customFormat="1" ht="45" customHeight="1">
      <c r="B180" s="201" t="str">
        <f>'1月'!$B$180</f>
        <v>田名部　夢生</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102">
        <f t="shared" si="34"/>
        <v>0</v>
      </c>
      <c r="BO180" s="47">
        <f t="shared" si="35"/>
        <v>0</v>
      </c>
      <c r="BP180" s="631">
        <f>INDEX('2月'!$B$4:$BQ$375,MATCH('3月'!B180,'2月'!$B$4:$B$375,0),67)+BN180</f>
        <v>0</v>
      </c>
      <c r="BQ180" s="702">
        <f>INDEX('2月'!$B$4:$BQ$375,MATCH('3月'!B180,'2月'!$B$4:$B$375,0),68)+BO180</f>
        <v>0</v>
      </c>
    </row>
    <row r="181" spans="2:69" s="6" customFormat="1" ht="45" customHeight="1">
      <c r="B181" s="201" t="str">
        <f>'1月'!$B$181</f>
        <v>丹治　祐介</v>
      </c>
      <c r="C181" s="146"/>
      <c r="D181" s="18"/>
      <c r="E181" s="14"/>
      <c r="F181" s="50"/>
      <c r="G181" s="20"/>
      <c r="H181" s="50"/>
      <c r="I181" s="20"/>
      <c r="J181" s="50"/>
      <c r="K181" s="20"/>
      <c r="L181" s="50"/>
      <c r="M181" s="20"/>
      <c r="N181" s="50"/>
      <c r="O181" s="20"/>
      <c r="P181" s="50"/>
      <c r="Q181" s="20"/>
      <c r="R181" s="50"/>
      <c r="S181" s="20"/>
      <c r="T181" s="50"/>
      <c r="U181" s="20"/>
      <c r="V181" s="50"/>
      <c r="W181" s="20"/>
      <c r="X181" s="50"/>
      <c r="Y181" s="20"/>
      <c r="Z181" s="50"/>
      <c r="AA181" s="20"/>
      <c r="AB181" s="50"/>
      <c r="AC181" s="20"/>
      <c r="AD181" s="50"/>
      <c r="AE181" s="20"/>
      <c r="AF181" s="50"/>
      <c r="AG181" s="21"/>
      <c r="AH181" s="18"/>
      <c r="AI181" s="20"/>
      <c r="AJ181" s="50"/>
      <c r="AK181" s="20"/>
      <c r="AL181" s="50"/>
      <c r="AM181" s="20"/>
      <c r="AN181" s="50"/>
      <c r="AO181" s="20"/>
      <c r="AP181" s="50"/>
      <c r="AQ181" s="20"/>
      <c r="AR181" s="50"/>
      <c r="AS181" s="20"/>
      <c r="AT181" s="50"/>
      <c r="AU181" s="20"/>
      <c r="AV181" s="50"/>
      <c r="AW181" s="20"/>
      <c r="AX181" s="50"/>
      <c r="AY181" s="20"/>
      <c r="AZ181" s="50"/>
      <c r="BA181" s="20"/>
      <c r="BB181" s="50"/>
      <c r="BC181" s="20"/>
      <c r="BD181" s="50"/>
      <c r="BE181" s="20"/>
      <c r="BF181" s="50"/>
      <c r="BG181" s="20"/>
      <c r="BH181" s="50"/>
      <c r="BI181" s="20"/>
      <c r="BJ181" s="50"/>
      <c r="BK181" s="21"/>
      <c r="BL181" s="38"/>
      <c r="BM181" s="20"/>
      <c r="BN181" s="102">
        <f t="shared" si="34"/>
        <v>0</v>
      </c>
      <c r="BO181" s="47">
        <f t="shared" si="35"/>
        <v>0</v>
      </c>
      <c r="BP181" s="631">
        <f>INDEX('2月'!$B$4:$BQ$375,MATCH('3月'!B181,'2月'!$B$4:$B$375,0),67)+BN181</f>
        <v>0</v>
      </c>
      <c r="BQ181" s="702">
        <f>INDEX('2月'!$B$4:$BQ$375,MATCH('3月'!B181,'2月'!$B$4:$B$375,0),68)+BO181</f>
        <v>0</v>
      </c>
    </row>
    <row r="182" spans="2:69" s="6" customFormat="1" ht="45" customHeight="1">
      <c r="B182" s="201" t="str">
        <f>'1月'!$B$182</f>
        <v>中里　郁子</v>
      </c>
      <c r="C182" s="146"/>
      <c r="D182" s="18"/>
      <c r="E182" s="14"/>
      <c r="F182" s="18"/>
      <c r="G182" s="14"/>
      <c r="H182" s="18"/>
      <c r="I182" s="14"/>
      <c r="J182" s="18"/>
      <c r="K182" s="14"/>
      <c r="L182" s="18"/>
      <c r="M182" s="14"/>
      <c r="N182" s="18"/>
      <c r="O182" s="14"/>
      <c r="P182" s="18"/>
      <c r="Q182" s="14"/>
      <c r="R182" s="18"/>
      <c r="S182" s="14"/>
      <c r="T182" s="18"/>
      <c r="U182" s="14"/>
      <c r="V182" s="18"/>
      <c r="W182" s="14"/>
      <c r="X182" s="18"/>
      <c r="Y182" s="14"/>
      <c r="Z182" s="18"/>
      <c r="AA182" s="14"/>
      <c r="AB182" s="18"/>
      <c r="AC182" s="14"/>
      <c r="AD182" s="18"/>
      <c r="AE182" s="14"/>
      <c r="AF182" s="50"/>
      <c r="AG182" s="15"/>
      <c r="AH182" s="18"/>
      <c r="AI182" s="14"/>
      <c r="AJ182" s="18"/>
      <c r="AK182" s="14"/>
      <c r="AL182" s="18"/>
      <c r="AM182" s="14"/>
      <c r="AN182" s="18"/>
      <c r="AO182" s="14"/>
      <c r="AP182" s="18"/>
      <c r="AQ182" s="14"/>
      <c r="AR182" s="18"/>
      <c r="AS182" s="14"/>
      <c r="AT182" s="18"/>
      <c r="AU182" s="14"/>
      <c r="AV182" s="18"/>
      <c r="AW182" s="14"/>
      <c r="AX182" s="18"/>
      <c r="AY182" s="14"/>
      <c r="AZ182" s="18"/>
      <c r="BA182" s="14"/>
      <c r="BB182" s="18"/>
      <c r="BC182" s="14"/>
      <c r="BD182" s="18"/>
      <c r="BE182" s="14"/>
      <c r="BF182" s="18"/>
      <c r="BG182" s="14"/>
      <c r="BH182" s="18"/>
      <c r="BI182" s="14"/>
      <c r="BJ182" s="18"/>
      <c r="BK182" s="15"/>
      <c r="BL182" s="37"/>
      <c r="BM182" s="14"/>
      <c r="BN182" s="102">
        <f t="shared" si="34"/>
        <v>0</v>
      </c>
      <c r="BO182" s="47">
        <f t="shared" si="35"/>
        <v>0</v>
      </c>
      <c r="BP182" s="631">
        <f>INDEX('2月'!$B$4:$BQ$375,MATCH('3月'!B182,'2月'!$B$4:$B$375,0),67)+BN182</f>
        <v>0</v>
      </c>
      <c r="BQ182" s="702">
        <f>INDEX('2月'!$B$4:$BQ$375,MATCH('3月'!B182,'2月'!$B$4:$B$375,0),68)+BO182</f>
        <v>0</v>
      </c>
    </row>
    <row r="183" spans="2:69" s="6" customFormat="1" ht="45" customHeight="1">
      <c r="B183" s="201" t="str">
        <f>'1月'!$B$183</f>
        <v>中屋敷　蓉子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102">
        <f t="shared" si="34"/>
        <v>0</v>
      </c>
      <c r="BO183" s="47">
        <f t="shared" si="35"/>
        <v>0</v>
      </c>
      <c r="BP183" s="631">
        <f>INDEX('2月'!$B$4:$BQ$375,MATCH('3月'!B183,'2月'!$B$4:$B$375,0),67)+BN183</f>
        <v>0</v>
      </c>
      <c r="BQ183" s="702">
        <f>INDEX('2月'!$B$4:$BQ$375,MATCH('3月'!B183,'2月'!$B$4:$B$375,0),68)+BO183</f>
        <v>0</v>
      </c>
    </row>
    <row r="184" spans="2:69" s="6" customFormat="1" ht="45" customHeight="1">
      <c r="B184" s="201" t="str">
        <f>'1月'!$B$184</f>
        <v>成田　和史</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102">
        <f t="shared" si="34"/>
        <v>0</v>
      </c>
      <c r="BO184" s="47">
        <f t="shared" si="35"/>
        <v>0</v>
      </c>
      <c r="BP184" s="631">
        <f>INDEX('2月'!$B$4:$BQ$375,MATCH('3月'!B184,'2月'!$B$4:$B$375,0),67)+BN184</f>
        <v>0</v>
      </c>
      <c r="BQ184" s="702">
        <f>INDEX('2月'!$B$4:$BQ$375,MATCH('3月'!B184,'2月'!$B$4:$B$375,0),68)+BO184</f>
        <v>0</v>
      </c>
    </row>
    <row r="185" spans="2:69" s="6" customFormat="1" ht="45" customHeight="1">
      <c r="B185" s="201" t="str">
        <f>'1月'!$B$185</f>
        <v>沼田　智子</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102">
        <f t="shared" si="34"/>
        <v>0</v>
      </c>
      <c r="BO185" s="47">
        <f t="shared" si="35"/>
        <v>0</v>
      </c>
      <c r="BP185" s="631">
        <f>INDEX('2月'!$B$4:$BQ$375,MATCH('3月'!B185,'2月'!$B$4:$B$375,0),67)+BN185</f>
        <v>0</v>
      </c>
      <c r="BQ185" s="702">
        <f>INDEX('2月'!$B$4:$BQ$375,MATCH('3月'!B185,'2月'!$B$4:$B$375,0),68)+BO185</f>
        <v>0</v>
      </c>
    </row>
    <row r="186" spans="2:69" s="6" customFormat="1" ht="45" customHeight="1">
      <c r="B186" s="201" t="str">
        <f>'1月'!$B$186</f>
        <v>松井　蓮奈</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102">
        <f t="shared" si="34"/>
        <v>0</v>
      </c>
      <c r="BO186" s="47">
        <f t="shared" si="35"/>
        <v>0</v>
      </c>
      <c r="BP186" s="631">
        <f>INDEX('2月'!$B$4:$BQ$375,MATCH('3月'!B186,'2月'!$B$4:$B$375,0),67)+BN186</f>
        <v>0</v>
      </c>
      <c r="BQ186" s="702">
        <f>INDEX('2月'!$B$4:$BQ$375,MATCH('3月'!B186,'2月'!$B$4:$B$375,0),68)+BO186</f>
        <v>0</v>
      </c>
    </row>
    <row r="187" spans="2:69" s="6" customFormat="1" ht="45" customHeight="1">
      <c r="B187" s="201" t="str">
        <f>'1月'!$B$187</f>
        <v>山内　まゆみ</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102">
        <f t="shared" si="34"/>
        <v>0</v>
      </c>
      <c r="BO187" s="47">
        <f t="shared" si="35"/>
        <v>0</v>
      </c>
      <c r="BP187" s="631">
        <f>INDEX('2月'!$B$4:$BQ$375,MATCH('3月'!B187,'2月'!$B$4:$B$375,0),67)+BN187</f>
        <v>0</v>
      </c>
      <c r="BQ187" s="702">
        <f>INDEX('2月'!$B$4:$BQ$375,MATCH('3月'!B187,'2月'!$B$4:$B$375,0),68)+BO187</f>
        <v>0</v>
      </c>
    </row>
    <row r="188" spans="2:69" s="6" customFormat="1" ht="45" customHeight="1">
      <c r="B188" s="201" t="str">
        <f>'1月'!$B$188</f>
        <v>山上　幸子</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102">
        <f t="shared" si="34"/>
        <v>0</v>
      </c>
      <c r="BO188" s="47">
        <f t="shared" si="35"/>
        <v>0</v>
      </c>
      <c r="BP188" s="631">
        <f>INDEX('2月'!$B$4:$BQ$375,MATCH('3月'!B188,'2月'!$B$4:$B$375,0),67)+BN188</f>
        <v>0</v>
      </c>
      <c r="BQ188" s="702">
        <f>INDEX('2月'!$B$4:$BQ$375,MATCH('3月'!B188,'2月'!$B$4:$B$375,0),68)+BO188</f>
        <v>0</v>
      </c>
    </row>
    <row r="189" spans="2:69" s="6" customFormat="1" ht="45" customHeight="1">
      <c r="B189" s="201" t="str">
        <f>'1月'!$B$189</f>
        <v>類家　順</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18"/>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102">
        <f t="shared" si="34"/>
        <v>0</v>
      </c>
      <c r="BO189" s="47">
        <f t="shared" si="35"/>
        <v>0</v>
      </c>
      <c r="BP189" s="631">
        <f>INDEX('2月'!$B$4:$BQ$375,MATCH('3月'!B189,'2月'!$B$4:$B$375,0),67)+BN189</f>
        <v>0</v>
      </c>
      <c r="BQ189" s="702">
        <f>INDEX('2月'!$B$4:$BQ$375,MATCH('3月'!B189,'2月'!$B$4:$B$375,0),68)+BO189</f>
        <v>0</v>
      </c>
    </row>
    <row r="190" spans="2:69" s="6" customFormat="1" ht="45" customHeight="1">
      <c r="B190" s="201"/>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0"/>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7"/>
      <c r="BO190" s="56"/>
      <c r="BP190" s="247"/>
      <c r="BQ190" s="264"/>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50"/>
      <c r="AI191" s="20"/>
      <c r="AJ191" s="50"/>
      <c r="AK191" s="20"/>
      <c r="AL191" s="50"/>
      <c r="AM191" s="20"/>
      <c r="AN191" s="50"/>
      <c r="AO191" s="20"/>
      <c r="AP191" s="50"/>
      <c r="AQ191" s="20"/>
      <c r="AR191" s="50"/>
      <c r="AS191" s="20"/>
      <c r="AT191" s="50"/>
      <c r="AU191" s="20"/>
      <c r="AV191" s="50"/>
      <c r="AW191" s="20"/>
      <c r="AX191" s="50"/>
      <c r="AY191" s="20"/>
      <c r="AZ191" s="50"/>
      <c r="BA191" s="20"/>
      <c r="BB191" s="50"/>
      <c r="BC191" s="20"/>
      <c r="BD191" s="50"/>
      <c r="BE191" s="20"/>
      <c r="BF191" s="50"/>
      <c r="BG191" s="20"/>
      <c r="BH191" s="50"/>
      <c r="BI191" s="20"/>
      <c r="BJ191" s="50"/>
      <c r="BK191" s="21"/>
      <c r="BL191" s="38"/>
      <c r="BM191" s="20"/>
      <c r="BN191" s="17"/>
      <c r="BO191" s="56"/>
      <c r="BP191" s="247"/>
      <c r="BQ191" s="264"/>
    </row>
    <row r="192" spans="2:69" s="6" customFormat="1" ht="15.95" customHeight="1">
      <c r="B192" s="201"/>
      <c r="C192" s="146"/>
      <c r="D192" s="18"/>
      <c r="E192" s="14"/>
      <c r="F192" s="18"/>
      <c r="G192" s="14"/>
      <c r="H192" s="18"/>
      <c r="I192" s="14"/>
      <c r="J192" s="18"/>
      <c r="K192" s="14"/>
      <c r="L192" s="18"/>
      <c r="M192" s="14"/>
      <c r="N192" s="18"/>
      <c r="O192" s="14"/>
      <c r="P192" s="18"/>
      <c r="Q192" s="14"/>
      <c r="R192" s="18"/>
      <c r="S192" s="14"/>
      <c r="T192" s="18"/>
      <c r="U192" s="14"/>
      <c r="V192" s="18"/>
      <c r="W192" s="14"/>
      <c r="X192" s="18"/>
      <c r="Y192" s="14"/>
      <c r="Z192" s="18"/>
      <c r="AA192" s="14"/>
      <c r="AB192" s="18"/>
      <c r="AC192" s="14"/>
      <c r="AD192" s="18"/>
      <c r="AE192" s="14"/>
      <c r="AF192" s="50"/>
      <c r="AG192" s="15"/>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17"/>
      <c r="BO192" s="56"/>
      <c r="BP192" s="247"/>
      <c r="BQ192" s="264"/>
    </row>
    <row r="193" spans="2:69" s="6" customFormat="1" ht="15.95" customHeight="1">
      <c r="B193" s="201"/>
      <c r="C193" s="146"/>
      <c r="D193" s="18"/>
      <c r="E193" s="14"/>
      <c r="F193" s="18"/>
      <c r="G193" s="14"/>
      <c r="H193" s="18"/>
      <c r="I193" s="14"/>
      <c r="J193" s="18"/>
      <c r="K193" s="14"/>
      <c r="L193" s="18"/>
      <c r="M193" s="14"/>
      <c r="N193" s="18"/>
      <c r="O193" s="14"/>
      <c r="P193" s="18"/>
      <c r="Q193" s="14"/>
      <c r="R193" s="18"/>
      <c r="S193" s="14"/>
      <c r="T193" s="18"/>
      <c r="U193" s="14"/>
      <c r="V193" s="18"/>
      <c r="W193" s="14"/>
      <c r="X193" s="18"/>
      <c r="Y193" s="14"/>
      <c r="Z193" s="18"/>
      <c r="AA193" s="14"/>
      <c r="AB193" s="18"/>
      <c r="AC193" s="14"/>
      <c r="AD193" s="18"/>
      <c r="AE193" s="14"/>
      <c r="AF193" s="50"/>
      <c r="AG193" s="15"/>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17"/>
      <c r="BO193" s="56"/>
      <c r="BP193" s="247"/>
      <c r="BQ193" s="264"/>
    </row>
    <row r="194" spans="2:69" s="6" customFormat="1" ht="15.95" customHeight="1">
      <c r="B194" s="201"/>
      <c r="C194" s="146"/>
      <c r="D194" s="18"/>
      <c r="E194" s="14"/>
      <c r="F194" s="18"/>
      <c r="G194" s="14"/>
      <c r="H194" s="18"/>
      <c r="I194" s="14"/>
      <c r="J194" s="18"/>
      <c r="K194" s="14"/>
      <c r="L194" s="18"/>
      <c r="M194" s="14"/>
      <c r="N194" s="18"/>
      <c r="O194" s="14"/>
      <c r="P194" s="18"/>
      <c r="Q194" s="14"/>
      <c r="R194" s="18"/>
      <c r="S194" s="14"/>
      <c r="T194" s="18"/>
      <c r="U194" s="14"/>
      <c r="V194" s="18"/>
      <c r="W194" s="14"/>
      <c r="X194" s="18"/>
      <c r="Y194" s="14"/>
      <c r="Z194" s="18"/>
      <c r="AA194" s="14"/>
      <c r="AB194" s="18"/>
      <c r="AC194" s="14"/>
      <c r="AD194" s="18"/>
      <c r="AE194" s="14"/>
      <c r="AF194" s="50"/>
      <c r="AG194" s="15"/>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17"/>
      <c r="BO194" s="56"/>
      <c r="BP194" s="247"/>
      <c r="BQ194" s="264"/>
    </row>
    <row r="195" spans="2:69" s="6" customFormat="1" ht="15.95" customHeight="1" thickBot="1">
      <c r="B195" s="201"/>
      <c r="C195" s="147"/>
      <c r="D195" s="18"/>
      <c r="E195" s="14"/>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50"/>
      <c r="AG195" s="21"/>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17"/>
      <c r="BO195" s="56"/>
      <c r="BP195" s="247"/>
      <c r="BQ195" s="264"/>
    </row>
    <row r="196" spans="2:69" s="6" customFormat="1" ht="39" customHeight="1" thickBot="1">
      <c r="B196" s="119" t="s">
        <v>462</v>
      </c>
      <c r="C196" s="149"/>
      <c r="D196" s="29">
        <f>SUM(D166:D195)</f>
        <v>0</v>
      </c>
      <c r="E196" s="31">
        <f t="shared" ref="E196:AG196" si="36">SUM(E166:E195)</f>
        <v>0</v>
      </c>
      <c r="F196" s="29">
        <f t="shared" si="36"/>
        <v>0</v>
      </c>
      <c r="G196" s="31">
        <f t="shared" si="36"/>
        <v>0</v>
      </c>
      <c r="H196" s="29">
        <f t="shared" si="36"/>
        <v>0</v>
      </c>
      <c r="I196" s="31">
        <f t="shared" si="36"/>
        <v>0</v>
      </c>
      <c r="J196" s="29">
        <f t="shared" si="36"/>
        <v>0</v>
      </c>
      <c r="K196" s="31">
        <f t="shared" si="36"/>
        <v>0</v>
      </c>
      <c r="L196" s="29">
        <f t="shared" si="36"/>
        <v>0</v>
      </c>
      <c r="M196" s="31">
        <f t="shared" si="36"/>
        <v>0</v>
      </c>
      <c r="N196" s="29">
        <f t="shared" si="36"/>
        <v>0</v>
      </c>
      <c r="O196" s="31">
        <f t="shared" si="36"/>
        <v>0</v>
      </c>
      <c r="P196" s="29">
        <f t="shared" si="36"/>
        <v>0</v>
      </c>
      <c r="Q196" s="31">
        <f t="shared" si="36"/>
        <v>0</v>
      </c>
      <c r="R196" s="29">
        <f t="shared" si="36"/>
        <v>0</v>
      </c>
      <c r="S196" s="31">
        <f t="shared" si="36"/>
        <v>0</v>
      </c>
      <c r="T196" s="29">
        <f t="shared" si="36"/>
        <v>0</v>
      </c>
      <c r="U196" s="31">
        <f t="shared" si="36"/>
        <v>0</v>
      </c>
      <c r="V196" s="29">
        <f t="shared" si="36"/>
        <v>0</v>
      </c>
      <c r="W196" s="31">
        <f t="shared" si="36"/>
        <v>0</v>
      </c>
      <c r="X196" s="29">
        <f t="shared" si="36"/>
        <v>0</v>
      </c>
      <c r="Y196" s="31">
        <f t="shared" si="36"/>
        <v>0</v>
      </c>
      <c r="Z196" s="29">
        <f t="shared" si="36"/>
        <v>0</v>
      </c>
      <c r="AA196" s="31">
        <f t="shared" si="36"/>
        <v>0</v>
      </c>
      <c r="AB196" s="29">
        <f t="shared" si="36"/>
        <v>0</v>
      </c>
      <c r="AC196" s="31">
        <f t="shared" si="36"/>
        <v>0</v>
      </c>
      <c r="AD196" s="29">
        <f t="shared" si="36"/>
        <v>0</v>
      </c>
      <c r="AE196" s="31">
        <f t="shared" si="36"/>
        <v>0</v>
      </c>
      <c r="AF196" s="29">
        <f t="shared" si="36"/>
        <v>0</v>
      </c>
      <c r="AG196" s="41">
        <f t="shared" si="36"/>
        <v>0</v>
      </c>
      <c r="AH196" s="29">
        <f>SUM(AH166:AH195)</f>
        <v>0</v>
      </c>
      <c r="AI196" s="31">
        <f t="shared" ref="AI196:BQ196" si="37">SUM(AI166:AI195)</f>
        <v>0</v>
      </c>
      <c r="AJ196" s="29">
        <f t="shared" si="37"/>
        <v>0</v>
      </c>
      <c r="AK196" s="31">
        <f t="shared" si="37"/>
        <v>0</v>
      </c>
      <c r="AL196" s="29">
        <f t="shared" si="37"/>
        <v>0</v>
      </c>
      <c r="AM196" s="31">
        <f t="shared" si="37"/>
        <v>0</v>
      </c>
      <c r="AN196" s="29">
        <f t="shared" si="37"/>
        <v>0</v>
      </c>
      <c r="AO196" s="31">
        <f t="shared" si="37"/>
        <v>0</v>
      </c>
      <c r="AP196" s="29">
        <f t="shared" si="37"/>
        <v>0</v>
      </c>
      <c r="AQ196" s="31">
        <f t="shared" si="37"/>
        <v>0</v>
      </c>
      <c r="AR196" s="29">
        <f t="shared" si="37"/>
        <v>0</v>
      </c>
      <c r="AS196" s="31">
        <f t="shared" si="37"/>
        <v>0</v>
      </c>
      <c r="AT196" s="29">
        <f t="shared" si="37"/>
        <v>0</v>
      </c>
      <c r="AU196" s="31">
        <f t="shared" si="37"/>
        <v>0</v>
      </c>
      <c r="AV196" s="29">
        <f t="shared" si="37"/>
        <v>0</v>
      </c>
      <c r="AW196" s="31">
        <f t="shared" si="37"/>
        <v>0</v>
      </c>
      <c r="AX196" s="29">
        <f t="shared" si="37"/>
        <v>0</v>
      </c>
      <c r="AY196" s="31">
        <f t="shared" si="37"/>
        <v>0</v>
      </c>
      <c r="AZ196" s="29">
        <f t="shared" si="37"/>
        <v>0</v>
      </c>
      <c r="BA196" s="31">
        <f t="shared" si="37"/>
        <v>0</v>
      </c>
      <c r="BB196" s="29">
        <f t="shared" si="37"/>
        <v>0</v>
      </c>
      <c r="BC196" s="31">
        <f t="shared" si="37"/>
        <v>0</v>
      </c>
      <c r="BD196" s="29">
        <f t="shared" si="37"/>
        <v>0</v>
      </c>
      <c r="BE196" s="31">
        <f t="shared" si="37"/>
        <v>0</v>
      </c>
      <c r="BF196" s="29">
        <f t="shared" si="37"/>
        <v>0</v>
      </c>
      <c r="BG196" s="31">
        <f t="shared" si="37"/>
        <v>0</v>
      </c>
      <c r="BH196" s="29">
        <f t="shared" si="37"/>
        <v>0</v>
      </c>
      <c r="BI196" s="31">
        <f t="shared" si="37"/>
        <v>0</v>
      </c>
      <c r="BJ196" s="29">
        <f t="shared" si="37"/>
        <v>0</v>
      </c>
      <c r="BK196" s="41">
        <f t="shared" si="37"/>
        <v>0</v>
      </c>
      <c r="BL196" s="39">
        <f t="shared" si="37"/>
        <v>0</v>
      </c>
      <c r="BM196" s="31">
        <f t="shared" si="37"/>
        <v>0</v>
      </c>
      <c r="BN196" s="32">
        <f t="shared" si="37"/>
        <v>0</v>
      </c>
      <c r="BO196" s="40">
        <f t="shared" si="37"/>
        <v>0</v>
      </c>
      <c r="BP196" s="255">
        <f t="shared" si="37"/>
        <v>2</v>
      </c>
      <c r="BQ196" s="241">
        <f t="shared" si="37"/>
        <v>2</v>
      </c>
    </row>
    <row r="197" spans="2:69" s="6" customFormat="1" ht="24" customHeight="1">
      <c r="B197" s="123"/>
      <c r="C197" s="150"/>
      <c r="D197" s="71"/>
      <c r="E197" s="71"/>
      <c r="F197" s="71"/>
      <c r="G197" s="71"/>
      <c r="H197" s="71"/>
      <c r="I197" s="71"/>
      <c r="J197" s="71"/>
      <c r="K197" s="71"/>
      <c r="L197" s="71"/>
      <c r="M197" s="71"/>
      <c r="N197" s="71"/>
      <c r="O197" s="71"/>
      <c r="P197" s="71"/>
      <c r="Q197" s="71"/>
      <c r="R197" s="71"/>
      <c r="S197" s="71"/>
      <c r="T197" s="71"/>
      <c r="U197" s="71"/>
      <c r="V197" s="71"/>
      <c r="W197" s="71"/>
      <c r="X197" s="71"/>
      <c r="Y197" s="71"/>
      <c r="Z197" s="71"/>
      <c r="AA197" s="71"/>
      <c r="AB197" s="71"/>
      <c r="AC197" s="71"/>
      <c r="AD197" s="71"/>
      <c r="AE197" s="71"/>
      <c r="AF197" s="71"/>
      <c r="AG197" s="71"/>
      <c r="AH197" s="71"/>
      <c r="AI197" s="71"/>
      <c r="AJ197" s="71"/>
      <c r="AK197" s="71"/>
      <c r="AL197" s="71"/>
      <c r="AM197" s="71"/>
      <c r="AN197" s="71"/>
      <c r="AO197" s="71"/>
      <c r="AP197" s="71"/>
      <c r="AQ197" s="71"/>
      <c r="AR197" s="71"/>
      <c r="AS197" s="71"/>
      <c r="AT197" s="71"/>
      <c r="AU197" s="71"/>
      <c r="AV197" s="71"/>
      <c r="AW197" s="71"/>
      <c r="AX197" s="71"/>
      <c r="AY197" s="71"/>
      <c r="AZ197" s="71"/>
      <c r="BA197" s="71"/>
      <c r="BB197" s="71"/>
      <c r="BC197" s="71"/>
      <c r="BD197" s="71"/>
      <c r="BE197" s="71"/>
      <c r="BF197" s="71"/>
      <c r="BG197" s="71"/>
      <c r="BH197" s="71"/>
      <c r="BI197" s="71"/>
      <c r="BJ197" s="71"/>
      <c r="BK197" s="71"/>
      <c r="BL197" s="71"/>
      <c r="BM197" s="71"/>
      <c r="BN197" s="71"/>
      <c r="BO197" s="71"/>
    </row>
    <row r="198" spans="2:69" s="6" customFormat="1" ht="24" customHeight="1" thickBo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ht="24.95" customHeight="1">
      <c r="B199" s="743" t="s">
        <v>218</v>
      </c>
      <c r="C199" s="749">
        <f>COUNTIF(B202:B220,"*")</f>
        <v>15</v>
      </c>
      <c r="D199" s="751">
        <v>1</v>
      </c>
      <c r="E199" s="738"/>
      <c r="F199" s="737">
        <v>2</v>
      </c>
      <c r="G199" s="738"/>
      <c r="H199" s="737">
        <v>3</v>
      </c>
      <c r="I199" s="738"/>
      <c r="J199" s="737">
        <v>4</v>
      </c>
      <c r="K199" s="738"/>
      <c r="L199" s="737">
        <v>5</v>
      </c>
      <c r="M199" s="738"/>
      <c r="N199" s="737">
        <v>6</v>
      </c>
      <c r="O199" s="738"/>
      <c r="P199" s="737">
        <v>7</v>
      </c>
      <c r="Q199" s="738"/>
      <c r="R199" s="737">
        <v>8</v>
      </c>
      <c r="S199" s="738"/>
      <c r="T199" s="737">
        <v>9</v>
      </c>
      <c r="U199" s="738"/>
      <c r="V199" s="737">
        <v>10</v>
      </c>
      <c r="W199" s="738"/>
      <c r="X199" s="737">
        <v>11</v>
      </c>
      <c r="Y199" s="738"/>
      <c r="Z199" s="737">
        <v>12</v>
      </c>
      <c r="AA199" s="738"/>
      <c r="AB199" s="737">
        <v>13</v>
      </c>
      <c r="AC199" s="738"/>
      <c r="AD199" s="737">
        <v>14</v>
      </c>
      <c r="AE199" s="738"/>
      <c r="AF199" s="737">
        <v>15</v>
      </c>
      <c r="AG199" s="742"/>
      <c r="AH199" s="741">
        <v>16</v>
      </c>
      <c r="AI199" s="741"/>
      <c r="AJ199" s="741">
        <v>17</v>
      </c>
      <c r="AK199" s="741"/>
      <c r="AL199" s="741">
        <v>18</v>
      </c>
      <c r="AM199" s="741"/>
      <c r="AN199" s="741">
        <v>19</v>
      </c>
      <c r="AO199" s="741"/>
      <c r="AP199" s="741">
        <v>20</v>
      </c>
      <c r="AQ199" s="741"/>
      <c r="AR199" s="741">
        <v>21</v>
      </c>
      <c r="AS199" s="741"/>
      <c r="AT199" s="741">
        <v>22</v>
      </c>
      <c r="AU199" s="741"/>
      <c r="AV199" s="741">
        <v>23</v>
      </c>
      <c r="AW199" s="741"/>
      <c r="AX199" s="741">
        <v>24</v>
      </c>
      <c r="AY199" s="741"/>
      <c r="AZ199" s="741">
        <v>25</v>
      </c>
      <c r="BA199" s="741"/>
      <c r="BB199" s="741">
        <v>26</v>
      </c>
      <c r="BC199" s="741"/>
      <c r="BD199" s="741">
        <v>27</v>
      </c>
      <c r="BE199" s="741"/>
      <c r="BF199" s="741">
        <v>28</v>
      </c>
      <c r="BG199" s="741"/>
      <c r="BH199" s="741">
        <v>29</v>
      </c>
      <c r="BI199" s="741"/>
      <c r="BJ199" s="741">
        <v>30</v>
      </c>
      <c r="BK199" s="741"/>
      <c r="BL199" s="741">
        <v>31</v>
      </c>
      <c r="BM199" s="741"/>
      <c r="BN199" s="738" t="s">
        <v>251</v>
      </c>
      <c r="BO199" s="760"/>
      <c r="BP199" s="771" t="s">
        <v>353</v>
      </c>
      <c r="BQ199" s="772"/>
    </row>
    <row r="200" spans="2:69" ht="24.95" customHeight="1">
      <c r="B200" s="744"/>
      <c r="C200" s="747"/>
      <c r="D200" s="752" t="str">
        <f>D2</f>
        <v>土</v>
      </c>
      <c r="E200" s="740"/>
      <c r="F200" s="739" t="str">
        <f>F2</f>
        <v>日</v>
      </c>
      <c r="G200" s="740"/>
      <c r="H200" s="739" t="str">
        <f>H2</f>
        <v>月</v>
      </c>
      <c r="I200" s="740"/>
      <c r="J200" s="739" t="str">
        <f>J2</f>
        <v>火</v>
      </c>
      <c r="K200" s="740"/>
      <c r="L200" s="739" t="str">
        <f>L2</f>
        <v>水</v>
      </c>
      <c r="M200" s="740"/>
      <c r="N200" s="739" t="str">
        <f>N2</f>
        <v>木</v>
      </c>
      <c r="O200" s="740"/>
      <c r="P200" s="739" t="str">
        <f>P2</f>
        <v>金</v>
      </c>
      <c r="Q200" s="740"/>
      <c r="R200" s="739" t="str">
        <f>R2</f>
        <v>土</v>
      </c>
      <c r="S200" s="740"/>
      <c r="T200" s="739" t="str">
        <f>T2</f>
        <v>日</v>
      </c>
      <c r="U200" s="740"/>
      <c r="V200" s="739" t="str">
        <f>V2</f>
        <v>月</v>
      </c>
      <c r="W200" s="740"/>
      <c r="X200" s="739" t="str">
        <f>X2</f>
        <v>火</v>
      </c>
      <c r="Y200" s="740"/>
      <c r="Z200" s="739" t="str">
        <f>Z2</f>
        <v>水</v>
      </c>
      <c r="AA200" s="740"/>
      <c r="AB200" s="739" t="str">
        <f>AB2</f>
        <v>木</v>
      </c>
      <c r="AC200" s="740"/>
      <c r="AD200" s="739" t="str">
        <f>AD2</f>
        <v>金</v>
      </c>
      <c r="AE200" s="740"/>
      <c r="AF200" s="739" t="str">
        <f>AF2</f>
        <v>土</v>
      </c>
      <c r="AG200" s="756"/>
      <c r="AH200" s="768" t="str">
        <f>AH2</f>
        <v>日</v>
      </c>
      <c r="AI200" s="769"/>
      <c r="AJ200" s="770" t="str">
        <f>AJ2</f>
        <v>月</v>
      </c>
      <c r="AK200" s="770"/>
      <c r="AL200" s="770" t="str">
        <f>AL2</f>
        <v>火</v>
      </c>
      <c r="AM200" s="770"/>
      <c r="AN200" s="770" t="str">
        <f>AN2</f>
        <v>水</v>
      </c>
      <c r="AO200" s="770"/>
      <c r="AP200" s="770" t="str">
        <f>AP2</f>
        <v>木</v>
      </c>
      <c r="AQ200" s="770"/>
      <c r="AR200" s="770" t="str">
        <f>AR2</f>
        <v>金</v>
      </c>
      <c r="AS200" s="770"/>
      <c r="AT200" s="770" t="str">
        <f>AT2</f>
        <v>土</v>
      </c>
      <c r="AU200" s="770"/>
      <c r="AV200" s="770" t="str">
        <f>AV2</f>
        <v>日</v>
      </c>
      <c r="AW200" s="770"/>
      <c r="AX200" s="770" t="str">
        <f>AX2</f>
        <v>月</v>
      </c>
      <c r="AY200" s="770"/>
      <c r="AZ200" s="770" t="str">
        <f>AZ2</f>
        <v>火</v>
      </c>
      <c r="BA200" s="770"/>
      <c r="BB200" s="770" t="str">
        <f>BB2</f>
        <v>水</v>
      </c>
      <c r="BC200" s="770"/>
      <c r="BD200" s="770" t="str">
        <f>BD2</f>
        <v>木</v>
      </c>
      <c r="BE200" s="770"/>
      <c r="BF200" s="770" t="str">
        <f>BF2</f>
        <v>金</v>
      </c>
      <c r="BG200" s="770"/>
      <c r="BH200" s="770" t="str">
        <f>BH2</f>
        <v>土</v>
      </c>
      <c r="BI200" s="770"/>
      <c r="BJ200" s="770" t="str">
        <f>BJ2</f>
        <v>日</v>
      </c>
      <c r="BK200" s="770"/>
      <c r="BL200" s="770" t="str">
        <f>BL2</f>
        <v>月</v>
      </c>
      <c r="BM200" s="770"/>
      <c r="BN200" s="761"/>
      <c r="BO200" s="762"/>
      <c r="BP200" s="773"/>
      <c r="BQ200" s="774"/>
    </row>
    <row r="201" spans="2:69" ht="24.95" customHeight="1" thickBot="1">
      <c r="B201" s="748"/>
      <c r="C201" s="750"/>
      <c r="D201" s="92" t="s">
        <v>72</v>
      </c>
      <c r="E201" s="93" t="s">
        <v>73</v>
      </c>
      <c r="F201" s="97" t="s">
        <v>72</v>
      </c>
      <c r="G201" s="93" t="s">
        <v>73</v>
      </c>
      <c r="H201" s="97" t="s">
        <v>72</v>
      </c>
      <c r="I201" s="93" t="s">
        <v>73</v>
      </c>
      <c r="J201" s="92" t="s">
        <v>72</v>
      </c>
      <c r="K201" s="93" t="s">
        <v>73</v>
      </c>
      <c r="L201" s="92" t="s">
        <v>72</v>
      </c>
      <c r="M201" s="93" t="s">
        <v>73</v>
      </c>
      <c r="N201" s="92" t="s">
        <v>72</v>
      </c>
      <c r="O201" s="93" t="s">
        <v>73</v>
      </c>
      <c r="P201" s="92" t="s">
        <v>72</v>
      </c>
      <c r="Q201" s="93" t="s">
        <v>73</v>
      </c>
      <c r="R201" s="92" t="s">
        <v>72</v>
      </c>
      <c r="S201" s="93" t="s">
        <v>73</v>
      </c>
      <c r="T201" s="92" t="s">
        <v>72</v>
      </c>
      <c r="U201" s="93" t="s">
        <v>73</v>
      </c>
      <c r="V201" s="92" t="s">
        <v>72</v>
      </c>
      <c r="W201" s="93" t="s">
        <v>73</v>
      </c>
      <c r="X201" s="92" t="s">
        <v>72</v>
      </c>
      <c r="Y201" s="93" t="s">
        <v>73</v>
      </c>
      <c r="Z201" s="92" t="s">
        <v>72</v>
      </c>
      <c r="AA201" s="94" t="s">
        <v>73</v>
      </c>
      <c r="AB201" s="159" t="s">
        <v>72</v>
      </c>
      <c r="AC201" s="94" t="s">
        <v>73</v>
      </c>
      <c r="AD201" s="159" t="s">
        <v>72</v>
      </c>
      <c r="AE201" s="94" t="s">
        <v>73</v>
      </c>
      <c r="AF201" s="159" t="s">
        <v>72</v>
      </c>
      <c r="AG201" s="94" t="s">
        <v>73</v>
      </c>
      <c r="AH201" s="159" t="s">
        <v>72</v>
      </c>
      <c r="AI201" s="93" t="s">
        <v>73</v>
      </c>
      <c r="AJ201" s="97" t="s">
        <v>72</v>
      </c>
      <c r="AK201" s="93" t="s">
        <v>73</v>
      </c>
      <c r="AL201" s="97" t="s">
        <v>72</v>
      </c>
      <c r="AM201" s="93" t="s">
        <v>73</v>
      </c>
      <c r="AN201" s="92" t="s">
        <v>72</v>
      </c>
      <c r="AO201" s="93" t="s">
        <v>73</v>
      </c>
      <c r="AP201" s="92" t="s">
        <v>72</v>
      </c>
      <c r="AQ201" s="93" t="s">
        <v>73</v>
      </c>
      <c r="AR201" s="92" t="s">
        <v>72</v>
      </c>
      <c r="AS201" s="93" t="s">
        <v>73</v>
      </c>
      <c r="AT201" s="92" t="s">
        <v>72</v>
      </c>
      <c r="AU201" s="93" t="s">
        <v>73</v>
      </c>
      <c r="AV201" s="92" t="s">
        <v>72</v>
      </c>
      <c r="AW201" s="93" t="s">
        <v>73</v>
      </c>
      <c r="AX201" s="92" t="s">
        <v>72</v>
      </c>
      <c r="AY201" s="93" t="s">
        <v>73</v>
      </c>
      <c r="AZ201" s="92" t="s">
        <v>72</v>
      </c>
      <c r="BA201" s="93" t="s">
        <v>73</v>
      </c>
      <c r="BB201" s="92" t="s">
        <v>72</v>
      </c>
      <c r="BC201" s="93" t="s">
        <v>73</v>
      </c>
      <c r="BD201" s="92" t="s">
        <v>72</v>
      </c>
      <c r="BE201" s="94" t="s">
        <v>73</v>
      </c>
      <c r="BF201" s="159" t="s">
        <v>72</v>
      </c>
      <c r="BG201" s="94" t="s">
        <v>73</v>
      </c>
      <c r="BH201" s="159" t="s">
        <v>72</v>
      </c>
      <c r="BI201" s="94" t="s">
        <v>73</v>
      </c>
      <c r="BJ201" s="159" t="s">
        <v>72</v>
      </c>
      <c r="BK201" s="94" t="s">
        <v>73</v>
      </c>
      <c r="BL201" s="159" t="s">
        <v>72</v>
      </c>
      <c r="BM201" s="94" t="s">
        <v>73</v>
      </c>
      <c r="BN201" s="95" t="s">
        <v>72</v>
      </c>
      <c r="BO201" s="96" t="s">
        <v>73</v>
      </c>
      <c r="BP201" s="236" t="s">
        <v>252</v>
      </c>
      <c r="BQ201" s="237" t="s">
        <v>254</v>
      </c>
    </row>
    <row r="202" spans="2:69" s="6" customFormat="1" ht="50.1" customHeight="1" thickTop="1">
      <c r="B202" s="205" t="str">
        <f>'1月'!$B$202</f>
        <v>赤坂　輝明</v>
      </c>
      <c r="C202" s="152"/>
      <c r="D202" s="46"/>
      <c r="E202" s="9"/>
      <c r="F202" s="46"/>
      <c r="G202" s="9"/>
      <c r="H202" s="46"/>
      <c r="I202" s="9"/>
      <c r="J202" s="46"/>
      <c r="K202" s="9"/>
      <c r="L202" s="46"/>
      <c r="M202" s="9"/>
      <c r="N202" s="46"/>
      <c r="O202" s="9"/>
      <c r="P202" s="46"/>
      <c r="Q202" s="9"/>
      <c r="R202" s="46"/>
      <c r="S202" s="9"/>
      <c r="T202" s="46"/>
      <c r="U202" s="9"/>
      <c r="V202" s="46"/>
      <c r="W202" s="9"/>
      <c r="X202" s="46"/>
      <c r="Y202" s="9"/>
      <c r="Z202" s="46"/>
      <c r="AA202" s="9"/>
      <c r="AB202" s="46"/>
      <c r="AC202" s="9"/>
      <c r="AD202" s="46"/>
      <c r="AE202" s="9"/>
      <c r="AF202" s="46"/>
      <c r="AG202" s="10"/>
      <c r="AH202" s="35"/>
      <c r="AI202" s="36"/>
      <c r="AJ202" s="89"/>
      <c r="AK202" s="36"/>
      <c r="AL202" s="89"/>
      <c r="AM202" s="36"/>
      <c r="AN202" s="89"/>
      <c r="AO202" s="36"/>
      <c r="AP202" s="89"/>
      <c r="AQ202" s="36"/>
      <c r="AR202" s="89"/>
      <c r="AS202" s="36"/>
      <c r="AT202" s="89"/>
      <c r="AU202" s="36"/>
      <c r="AV202" s="89"/>
      <c r="AW202" s="36"/>
      <c r="AX202" s="89"/>
      <c r="AY202" s="36"/>
      <c r="AZ202" s="89"/>
      <c r="BA202" s="36"/>
      <c r="BB202" s="89"/>
      <c r="BC202" s="36"/>
      <c r="BD202" s="89"/>
      <c r="BE202" s="36"/>
      <c r="BF202" s="89"/>
      <c r="BG202" s="36"/>
      <c r="BH202" s="89"/>
      <c r="BI202" s="36"/>
      <c r="BJ202" s="89"/>
      <c r="BK202" s="42"/>
      <c r="BL202" s="35"/>
      <c r="BM202" s="36"/>
      <c r="BN202" s="102">
        <f>SUM(D202,F202,H202,J202,L202,N202,P202,R202,T202,V202,X202,Z202,AB202,AD202,AF202,AH202,AJ202,AL202,AN202,AP202,AR202,AT202,AV202,AX202,AZ202,BB202,BD202,BF202,BH202,BJ202,BL202)</f>
        <v>0</v>
      </c>
      <c r="BO202" s="47">
        <f>SUM(E202,G202,I202,K202,M202,O202,Q202,S202,U202,W202,Y202,AA202,AC202,AE202,AG202,AI202,AK202,AM202,AO202,AQ202,AS202,AU202,AW202,AY202,BA202,BC202,BE202,BG202,BI202,BK202,BM202)</f>
        <v>0</v>
      </c>
      <c r="BP202" s="631">
        <f>INDEX('2月'!$B$4:$BQ$375,MATCH('3月'!B202,'2月'!$B$4:$B$375,0),67)+BN202</f>
        <v>0</v>
      </c>
      <c r="BQ202" s="702">
        <f>INDEX('2月'!$B$4:$BQ$375,MATCH('3月'!B202,'2月'!$B$4:$B$375,0),68)+BO202</f>
        <v>0</v>
      </c>
    </row>
    <row r="203" spans="2:69" s="6" customFormat="1" ht="50.1" customHeight="1">
      <c r="B203" s="201" t="str">
        <f>'1月'!$B$203</f>
        <v>岩間　留理子</v>
      </c>
      <c r="C203" s="146"/>
      <c r="D203" s="18"/>
      <c r="E203" s="14"/>
      <c r="F203" s="18"/>
      <c r="G203" s="14"/>
      <c r="H203" s="18"/>
      <c r="I203" s="14"/>
      <c r="J203" s="18"/>
      <c r="K203" s="14"/>
      <c r="L203" s="18"/>
      <c r="M203" s="14"/>
      <c r="N203" s="18"/>
      <c r="O203" s="14"/>
      <c r="P203" s="18"/>
      <c r="Q203" s="14"/>
      <c r="R203" s="18"/>
      <c r="S203" s="14"/>
      <c r="T203" s="18"/>
      <c r="U203" s="14"/>
      <c r="V203" s="18"/>
      <c r="W203" s="14"/>
      <c r="X203" s="18"/>
      <c r="Y203" s="14"/>
      <c r="Z203" s="18"/>
      <c r="AA203" s="14"/>
      <c r="AB203" s="18"/>
      <c r="AC203" s="14"/>
      <c r="AD203" s="18"/>
      <c r="AE203" s="14"/>
      <c r="AF203" s="18"/>
      <c r="AG203" s="600"/>
      <c r="AH203" s="601"/>
      <c r="AI203" s="569"/>
      <c r="AJ203" s="18"/>
      <c r="AK203" s="14"/>
      <c r="AL203" s="18"/>
      <c r="AM203" s="14"/>
      <c r="AN203" s="18"/>
      <c r="AO203" s="14"/>
      <c r="AP203" s="18"/>
      <c r="AQ203" s="14"/>
      <c r="AR203" s="18"/>
      <c r="AS203" s="14"/>
      <c r="AT203" s="18"/>
      <c r="AU203" s="14"/>
      <c r="AV203" s="18"/>
      <c r="AW203" s="14"/>
      <c r="AX203" s="18"/>
      <c r="AY203" s="14"/>
      <c r="AZ203" s="18"/>
      <c r="BA203" s="14"/>
      <c r="BB203" s="18"/>
      <c r="BC203" s="14"/>
      <c r="BD203" s="18"/>
      <c r="BE203" s="14"/>
      <c r="BF203" s="18"/>
      <c r="BG203" s="14"/>
      <c r="BH203" s="18"/>
      <c r="BI203" s="14"/>
      <c r="BJ203" s="18"/>
      <c r="BK203" s="15"/>
      <c r="BL203" s="37"/>
      <c r="BM203" s="14"/>
      <c r="BN203" s="102">
        <f t="shared" ref="BN203:BN220" si="38">SUM(D203,F203,H203,J203,L203,N203,P203,R203,T203,V203,X203,Z203,AB203,AD203,AF203,AH203,AJ203,AL203,AN203,AP203,AR203,AT203,AV203,AX203,AZ203,BB203,BD203,BF203,BH203,BJ203,BL203)</f>
        <v>0</v>
      </c>
      <c r="BO203" s="47">
        <f t="shared" ref="BO203:BO220" si="39">SUM(E203,G203,I203,K203,M203,O203,Q203,S203,U203,W203,Y203,AA203,AC203,AE203,AG203,AI203,AK203,AM203,AO203,AQ203,AS203,AU203,AW203,AY203,BA203,BC203,BE203,BG203,BI203,BK203,BM203)</f>
        <v>0</v>
      </c>
      <c r="BP203" s="631">
        <f>INDEX('2月'!$B$4:$BQ$375,MATCH('3月'!B203,'2月'!$B$4:$B$375,0),67)+BN203</f>
        <v>0</v>
      </c>
      <c r="BQ203" s="702">
        <f>INDEX('2月'!$B$4:$BQ$375,MATCH('3月'!B203,'2月'!$B$4:$B$375,0),68)+BO203</f>
        <v>0</v>
      </c>
    </row>
    <row r="204" spans="2:69" s="6" customFormat="1" ht="50.1" customHeight="1">
      <c r="B204" s="201" t="str">
        <f>'1月'!$B$204</f>
        <v>奥谷　和広</v>
      </c>
      <c r="C204" s="146"/>
      <c r="D204" s="18"/>
      <c r="E204" s="14"/>
      <c r="F204" s="50"/>
      <c r="G204" s="20"/>
      <c r="H204" s="50"/>
      <c r="I204" s="20"/>
      <c r="J204" s="50"/>
      <c r="K204" s="20"/>
      <c r="L204" s="50"/>
      <c r="M204" s="20"/>
      <c r="N204" s="50"/>
      <c r="O204" s="20"/>
      <c r="P204" s="50"/>
      <c r="Q204" s="20"/>
      <c r="R204" s="50"/>
      <c r="S204" s="20"/>
      <c r="T204" s="50"/>
      <c r="U204" s="20"/>
      <c r="V204" s="50"/>
      <c r="W204" s="20"/>
      <c r="X204" s="50"/>
      <c r="Y204" s="20"/>
      <c r="Z204" s="50"/>
      <c r="AA204" s="20"/>
      <c r="AB204" s="50"/>
      <c r="AC204" s="20"/>
      <c r="AD204" s="50"/>
      <c r="AE204" s="20"/>
      <c r="AF204" s="50"/>
      <c r="AG204" s="594"/>
      <c r="AH204" s="612"/>
      <c r="AI204" s="593"/>
      <c r="AJ204" s="50"/>
      <c r="AK204" s="20"/>
      <c r="AL204" s="50"/>
      <c r="AM204" s="20"/>
      <c r="AN204" s="50"/>
      <c r="AO204" s="20"/>
      <c r="AP204" s="50"/>
      <c r="AQ204" s="20"/>
      <c r="AR204" s="50"/>
      <c r="AS204" s="20"/>
      <c r="AT204" s="50"/>
      <c r="AU204" s="20"/>
      <c r="AV204" s="50"/>
      <c r="AW204" s="20"/>
      <c r="AX204" s="50"/>
      <c r="AY204" s="20"/>
      <c r="AZ204" s="50"/>
      <c r="BA204" s="20"/>
      <c r="BB204" s="50"/>
      <c r="BC204" s="20"/>
      <c r="BD204" s="50"/>
      <c r="BE204" s="20"/>
      <c r="BF204" s="50"/>
      <c r="BG204" s="20"/>
      <c r="BH204" s="50"/>
      <c r="BI204" s="20"/>
      <c r="BJ204" s="50"/>
      <c r="BK204" s="21"/>
      <c r="BL204" s="38"/>
      <c r="BM204" s="20"/>
      <c r="BN204" s="102">
        <f t="shared" si="38"/>
        <v>0</v>
      </c>
      <c r="BO204" s="47">
        <f t="shared" si="39"/>
        <v>0</v>
      </c>
      <c r="BP204" s="631">
        <f>INDEX('2月'!$B$4:$BQ$375,MATCH('3月'!B204,'2月'!$B$4:$B$375,0),67)+BN204</f>
        <v>0</v>
      </c>
      <c r="BQ204" s="702">
        <f>INDEX('2月'!$B$4:$BQ$375,MATCH('3月'!B204,'2月'!$B$4:$B$375,0),68)+BO204</f>
        <v>0</v>
      </c>
    </row>
    <row r="205" spans="2:69" s="6" customFormat="1" ht="50.1" customHeight="1">
      <c r="B205" s="201" t="str">
        <f>'1月'!$B$205</f>
        <v>熊野　大助</v>
      </c>
      <c r="C205" s="146"/>
      <c r="D205" s="18"/>
      <c r="E205" s="14"/>
      <c r="F205" s="18"/>
      <c r="G205" s="14"/>
      <c r="H205" s="18"/>
      <c r="I205" s="14"/>
      <c r="J205" s="18"/>
      <c r="K205" s="14"/>
      <c r="L205" s="18"/>
      <c r="M205" s="14"/>
      <c r="N205" s="18"/>
      <c r="O205" s="14"/>
      <c r="P205" s="18"/>
      <c r="Q205" s="14"/>
      <c r="R205" s="18"/>
      <c r="S205" s="14"/>
      <c r="T205" s="18"/>
      <c r="U205" s="14"/>
      <c r="V205" s="18"/>
      <c r="W205" s="14"/>
      <c r="X205" s="18"/>
      <c r="Y205" s="14"/>
      <c r="Z205" s="18"/>
      <c r="AA205" s="14"/>
      <c r="AB205" s="18"/>
      <c r="AC205" s="14"/>
      <c r="AD205" s="18"/>
      <c r="AE205" s="14"/>
      <c r="AF205" s="50"/>
      <c r="AG205" s="600"/>
      <c r="AH205" s="612"/>
      <c r="AI205" s="569"/>
      <c r="AJ205" s="18"/>
      <c r="AK205" s="14"/>
      <c r="AL205" s="18"/>
      <c r="AM205" s="14"/>
      <c r="AN205" s="18"/>
      <c r="AO205" s="14"/>
      <c r="AP205" s="18"/>
      <c r="AQ205" s="14"/>
      <c r="AR205" s="18"/>
      <c r="AS205" s="14"/>
      <c r="AT205" s="18"/>
      <c r="AU205" s="14"/>
      <c r="AV205" s="18"/>
      <c r="AW205" s="14"/>
      <c r="AX205" s="18"/>
      <c r="AY205" s="14"/>
      <c r="AZ205" s="18"/>
      <c r="BA205" s="14"/>
      <c r="BB205" s="18"/>
      <c r="BC205" s="14"/>
      <c r="BD205" s="18"/>
      <c r="BE205" s="14"/>
      <c r="BF205" s="18"/>
      <c r="BG205" s="14"/>
      <c r="BH205" s="18"/>
      <c r="BI205" s="14"/>
      <c r="BJ205" s="18"/>
      <c r="BK205" s="15"/>
      <c r="BL205" s="37"/>
      <c r="BM205" s="14"/>
      <c r="BN205" s="102">
        <f t="shared" si="38"/>
        <v>0</v>
      </c>
      <c r="BO205" s="47">
        <f t="shared" si="39"/>
        <v>0</v>
      </c>
      <c r="BP205" s="631">
        <f>INDEX('2月'!$B$4:$BQ$375,MATCH('3月'!B205,'2月'!$B$4:$B$375,0),67)+BN205</f>
        <v>0</v>
      </c>
      <c r="BQ205" s="702">
        <f>INDEX('2月'!$B$4:$BQ$375,MATCH('3月'!B205,'2月'!$B$4:$B$375,0),68)+BO205</f>
        <v>0</v>
      </c>
    </row>
    <row r="206" spans="2:69" s="6" customFormat="1" ht="50.1" customHeight="1">
      <c r="B206" s="201" t="str">
        <f>'1月'!$B$206</f>
        <v>熊野　実佳</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600"/>
      <c r="AH206" s="612"/>
      <c r="AI206" s="569"/>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102">
        <f t="shared" si="38"/>
        <v>0</v>
      </c>
      <c r="BO206" s="47">
        <f t="shared" si="39"/>
        <v>0</v>
      </c>
      <c r="BP206" s="631">
        <f>INDEX('2月'!$B$4:$BQ$375,MATCH('3月'!B206,'2月'!$B$4:$B$375,0),67)+BN206</f>
        <v>0</v>
      </c>
      <c r="BQ206" s="702">
        <f>INDEX('2月'!$B$4:$BQ$375,MATCH('3月'!B206,'2月'!$B$4:$B$375,0),68)+BO206</f>
        <v>0</v>
      </c>
    </row>
    <row r="207" spans="2:69" s="6" customFormat="1" ht="50.1" customHeight="1">
      <c r="B207" s="201" t="str">
        <f>'1月'!$B$207</f>
        <v>坂本　里美</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600"/>
      <c r="AH207" s="612"/>
      <c r="AI207" s="569"/>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102">
        <f t="shared" si="38"/>
        <v>0</v>
      </c>
      <c r="BO207" s="47">
        <f t="shared" si="39"/>
        <v>0</v>
      </c>
      <c r="BP207" s="631">
        <f>INDEX('2月'!$B$4:$BQ$375,MATCH('3月'!B207,'2月'!$B$4:$B$375,0),67)+BN207</f>
        <v>0</v>
      </c>
      <c r="BQ207" s="702">
        <f>INDEX('2月'!$B$4:$BQ$375,MATCH('3月'!B207,'2月'!$B$4:$B$375,0),68)+BO207</f>
        <v>0</v>
      </c>
    </row>
    <row r="208" spans="2:69" s="6" customFormat="1" ht="50.1" customHeight="1">
      <c r="B208" s="201" t="str">
        <f>'1月'!$B$208</f>
        <v>佐々木　寛人</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600"/>
      <c r="AH208" s="612"/>
      <c r="AI208" s="569"/>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102">
        <f t="shared" si="38"/>
        <v>0</v>
      </c>
      <c r="BO208" s="47">
        <f t="shared" si="39"/>
        <v>0</v>
      </c>
      <c r="BP208" s="631">
        <f>INDEX('2月'!$B$4:$BQ$375,MATCH('3月'!B208,'2月'!$B$4:$B$375,0),67)+BN208</f>
        <v>0</v>
      </c>
      <c r="BQ208" s="702">
        <f>INDEX('2月'!$B$4:$BQ$375,MATCH('3月'!B208,'2月'!$B$4:$B$375,0),68)+BO208</f>
        <v>0</v>
      </c>
    </row>
    <row r="209" spans="2:69" s="6" customFormat="1" ht="50.1" customHeight="1">
      <c r="B209" s="201" t="str">
        <f>'1月'!$B$209</f>
        <v>佐藤　範和</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600"/>
      <c r="AH209" s="612"/>
      <c r="AI209" s="569"/>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102">
        <f t="shared" si="38"/>
        <v>0</v>
      </c>
      <c r="BO209" s="47">
        <f t="shared" si="39"/>
        <v>0</v>
      </c>
      <c r="BP209" s="631">
        <f>INDEX('2月'!$B$4:$BQ$375,MATCH('3月'!B209,'2月'!$B$4:$B$375,0),67)+BN209</f>
        <v>0</v>
      </c>
      <c r="BQ209" s="702">
        <f>INDEX('2月'!$B$4:$BQ$375,MATCH('3月'!B209,'2月'!$B$4:$B$375,0),68)+BO209</f>
        <v>0</v>
      </c>
    </row>
    <row r="210" spans="2:69" s="6" customFormat="1" ht="50.1" customHeight="1">
      <c r="B210" s="201" t="str">
        <f>'1月'!$B$210</f>
        <v>白坂　弘幸</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600"/>
      <c r="AH210" s="612"/>
      <c r="AI210" s="569"/>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102">
        <f t="shared" si="38"/>
        <v>0</v>
      </c>
      <c r="BO210" s="47">
        <f t="shared" si="39"/>
        <v>0</v>
      </c>
      <c r="BP210" s="631">
        <f>INDEX('2月'!$B$4:$BQ$375,MATCH('3月'!B210,'2月'!$B$4:$B$375,0),67)+BN210</f>
        <v>3</v>
      </c>
      <c r="BQ210" s="702">
        <f>INDEX('2月'!$B$4:$BQ$375,MATCH('3月'!B210,'2月'!$B$4:$B$375,0),68)+BO210</f>
        <v>3</v>
      </c>
    </row>
    <row r="211" spans="2:69" s="6" customFormat="1" ht="50.1" customHeight="1">
      <c r="B211" s="201" t="str">
        <f>'1月'!$B$211</f>
        <v>髙橋　桐子</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600"/>
      <c r="AH211" s="612"/>
      <c r="AI211" s="569"/>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102">
        <f t="shared" si="38"/>
        <v>0</v>
      </c>
      <c r="BO211" s="47">
        <f t="shared" si="39"/>
        <v>0</v>
      </c>
      <c r="BP211" s="631">
        <f>INDEX('2月'!$B$4:$BQ$375,MATCH('3月'!B211,'2月'!$B$4:$B$375,0),67)+BN211</f>
        <v>0</v>
      </c>
      <c r="BQ211" s="702">
        <f>INDEX('2月'!$B$4:$BQ$375,MATCH('3月'!B211,'2月'!$B$4:$B$375,0),68)+BO211</f>
        <v>0</v>
      </c>
    </row>
    <row r="212" spans="2:69" s="6" customFormat="1" ht="50.1" customHeight="1">
      <c r="B212" s="201" t="str">
        <f>'1月'!$B$212</f>
        <v>瀧口　健史</v>
      </c>
      <c r="C212" s="146"/>
      <c r="D212" s="18"/>
      <c r="E212" s="14"/>
      <c r="F212" s="50"/>
      <c r="G212" s="20"/>
      <c r="H212" s="50"/>
      <c r="I212" s="20"/>
      <c r="J212" s="50"/>
      <c r="K212" s="20"/>
      <c r="L212" s="50"/>
      <c r="M212" s="20"/>
      <c r="N212" s="50"/>
      <c r="O212" s="20"/>
      <c r="P212" s="50"/>
      <c r="Q212" s="20"/>
      <c r="R212" s="50"/>
      <c r="S212" s="20"/>
      <c r="T212" s="50"/>
      <c r="U212" s="20"/>
      <c r="V212" s="50"/>
      <c r="W212" s="20"/>
      <c r="X212" s="50"/>
      <c r="Y212" s="20"/>
      <c r="Z212" s="50"/>
      <c r="AA212" s="20"/>
      <c r="AB212" s="50"/>
      <c r="AC212" s="20"/>
      <c r="AD212" s="50"/>
      <c r="AE212" s="20"/>
      <c r="AF212" s="50"/>
      <c r="AG212" s="594"/>
      <c r="AH212" s="612"/>
      <c r="AI212" s="593"/>
      <c r="AJ212" s="50"/>
      <c r="AK212" s="20"/>
      <c r="AL212" s="50"/>
      <c r="AM212" s="20"/>
      <c r="AN212" s="50"/>
      <c r="AO212" s="20"/>
      <c r="AP212" s="50"/>
      <c r="AQ212" s="20"/>
      <c r="AR212" s="50"/>
      <c r="AS212" s="20"/>
      <c r="AT212" s="50"/>
      <c r="AU212" s="20"/>
      <c r="AV212" s="50"/>
      <c r="AW212" s="20"/>
      <c r="AX212" s="50"/>
      <c r="AY212" s="20"/>
      <c r="AZ212" s="50"/>
      <c r="BA212" s="20"/>
      <c r="BB212" s="50"/>
      <c r="BC212" s="20"/>
      <c r="BD212" s="50"/>
      <c r="BE212" s="20"/>
      <c r="BF212" s="50"/>
      <c r="BG212" s="20"/>
      <c r="BH212" s="50"/>
      <c r="BI212" s="20"/>
      <c r="BJ212" s="50"/>
      <c r="BK212" s="21"/>
      <c r="BL212" s="38"/>
      <c r="BM212" s="20"/>
      <c r="BN212" s="102">
        <f t="shared" si="38"/>
        <v>0</v>
      </c>
      <c r="BO212" s="47">
        <f t="shared" si="39"/>
        <v>0</v>
      </c>
      <c r="BP212" s="631">
        <f>INDEX('2月'!$B$4:$BQ$375,MATCH('3月'!B212,'2月'!$B$4:$B$375,0),67)+BN212</f>
        <v>0</v>
      </c>
      <c r="BQ212" s="702">
        <f>INDEX('2月'!$B$4:$BQ$375,MATCH('3月'!B212,'2月'!$B$4:$B$375,0),68)+BO212</f>
        <v>0</v>
      </c>
    </row>
    <row r="213" spans="2:69" s="6" customFormat="1" ht="50.1" customHeight="1">
      <c r="B213" s="201" t="str">
        <f>'1月'!$B$213</f>
        <v>田端　克昭</v>
      </c>
      <c r="C213" s="146"/>
      <c r="D213" s="18"/>
      <c r="E213" s="14"/>
      <c r="F213" s="18"/>
      <c r="G213" s="14"/>
      <c r="H213" s="18"/>
      <c r="I213" s="14"/>
      <c r="J213" s="18"/>
      <c r="K213" s="14"/>
      <c r="L213" s="18"/>
      <c r="M213" s="14"/>
      <c r="N213" s="18"/>
      <c r="O213" s="14"/>
      <c r="P213" s="18"/>
      <c r="Q213" s="14"/>
      <c r="R213" s="18"/>
      <c r="S213" s="14"/>
      <c r="T213" s="18"/>
      <c r="U213" s="14"/>
      <c r="V213" s="18"/>
      <c r="W213" s="14"/>
      <c r="X213" s="18"/>
      <c r="Y213" s="14"/>
      <c r="Z213" s="18"/>
      <c r="AA213" s="14"/>
      <c r="AB213" s="18"/>
      <c r="AC213" s="14"/>
      <c r="AD213" s="18"/>
      <c r="AE213" s="14"/>
      <c r="AF213" s="50"/>
      <c r="AG213" s="600"/>
      <c r="AH213" s="612"/>
      <c r="AI213" s="569"/>
      <c r="AJ213" s="18"/>
      <c r="AK213" s="14"/>
      <c r="AL213" s="18"/>
      <c r="AM213" s="14"/>
      <c r="AN213" s="18"/>
      <c r="AO213" s="14"/>
      <c r="AP213" s="18"/>
      <c r="AQ213" s="14"/>
      <c r="AR213" s="18"/>
      <c r="AS213" s="14"/>
      <c r="AT213" s="18"/>
      <c r="AU213" s="14"/>
      <c r="AV213" s="18"/>
      <c r="AW213" s="14"/>
      <c r="AX213" s="18"/>
      <c r="AY213" s="14"/>
      <c r="AZ213" s="18"/>
      <c r="BA213" s="14"/>
      <c r="BB213" s="18"/>
      <c r="BC213" s="14"/>
      <c r="BD213" s="18"/>
      <c r="BE213" s="14"/>
      <c r="BF213" s="18"/>
      <c r="BG213" s="14"/>
      <c r="BH213" s="18"/>
      <c r="BI213" s="14"/>
      <c r="BJ213" s="18"/>
      <c r="BK213" s="15"/>
      <c r="BL213" s="37"/>
      <c r="BM213" s="14"/>
      <c r="BN213" s="102">
        <f t="shared" si="38"/>
        <v>0</v>
      </c>
      <c r="BO213" s="47">
        <f t="shared" si="39"/>
        <v>0</v>
      </c>
      <c r="BP213" s="631">
        <f>INDEX('2月'!$B$4:$BQ$375,MATCH('3月'!B213,'2月'!$B$4:$B$375,0),67)+BN213</f>
        <v>0</v>
      </c>
      <c r="BQ213" s="702">
        <f>INDEX('2月'!$B$4:$BQ$375,MATCH('3月'!B213,'2月'!$B$4:$B$375,0),68)+BO213</f>
        <v>0</v>
      </c>
    </row>
    <row r="214" spans="2:69" s="6" customFormat="1" ht="50.1" customHeight="1">
      <c r="B214" s="201" t="str">
        <f>'1月'!$B$214</f>
        <v>中村　ゆかり</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600"/>
      <c r="AH214" s="612"/>
      <c r="AI214" s="569"/>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102">
        <f t="shared" si="38"/>
        <v>0</v>
      </c>
      <c r="BO214" s="47">
        <f t="shared" si="39"/>
        <v>0</v>
      </c>
      <c r="BP214" s="631">
        <f>INDEX('2月'!$B$4:$BQ$375,MATCH('3月'!B214,'2月'!$B$4:$B$375,0),67)+BN214</f>
        <v>0</v>
      </c>
      <c r="BQ214" s="702">
        <f>INDEX('2月'!$B$4:$BQ$375,MATCH('3月'!B214,'2月'!$B$4:$B$375,0),68)+BO214</f>
        <v>0</v>
      </c>
    </row>
    <row r="215" spans="2:69" s="6" customFormat="1" ht="50.1" customHeight="1">
      <c r="B215" s="201" t="str">
        <f>'1月'!$B$215</f>
        <v>新井谷　恵美子</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600"/>
      <c r="AH215" s="612"/>
      <c r="AI215" s="569"/>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102">
        <f t="shared" si="38"/>
        <v>0</v>
      </c>
      <c r="BO215" s="47">
        <f t="shared" si="39"/>
        <v>0</v>
      </c>
      <c r="BP215" s="631">
        <f>INDEX('2月'!$B$4:$BQ$375,MATCH('3月'!B215,'2月'!$B$4:$B$375,0),67)+BN215</f>
        <v>0</v>
      </c>
      <c r="BQ215" s="702">
        <f>INDEX('2月'!$B$4:$BQ$375,MATCH('3月'!B215,'2月'!$B$4:$B$375,0),68)+BO215</f>
        <v>0</v>
      </c>
    </row>
    <row r="216" spans="2:69" s="6" customFormat="1" ht="50.1" customHeight="1">
      <c r="B216" s="201" t="str">
        <f>'1月'!$B$216</f>
        <v>林　悠</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600"/>
      <c r="AH216" s="601"/>
      <c r="AI216" s="569"/>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102">
        <f t="shared" si="38"/>
        <v>0</v>
      </c>
      <c r="BO216" s="47">
        <f t="shared" si="39"/>
        <v>0</v>
      </c>
      <c r="BP216" s="631">
        <f>INDEX('2月'!$B$4:$BQ$375,MATCH('3月'!B216,'2月'!$B$4:$B$375,0),67)+BN216</f>
        <v>0</v>
      </c>
      <c r="BQ216" s="702">
        <f>INDEX('2月'!$B$4:$BQ$375,MATCH('3月'!B216,'2月'!$B$4:$B$375,0),68)+BO216</f>
        <v>0</v>
      </c>
    </row>
    <row r="217" spans="2:69" s="6" customFormat="1" ht="15.95" customHeight="1">
      <c r="B217" s="154">
        <f>'1月'!$B$217</f>
        <v>0</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600"/>
      <c r="AH217" s="601"/>
      <c r="AI217" s="569"/>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02">
        <f t="shared" si="38"/>
        <v>0</v>
      </c>
      <c r="BO217" s="47">
        <f t="shared" si="39"/>
        <v>0</v>
      </c>
      <c r="BP217" s="631"/>
      <c r="BQ217" s="559"/>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600"/>
      <c r="AH218" s="601"/>
      <c r="AI218" s="569"/>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02">
        <f t="shared" si="38"/>
        <v>0</v>
      </c>
      <c r="BO218" s="47">
        <f t="shared" si="39"/>
        <v>0</v>
      </c>
      <c r="BP218" s="631"/>
      <c r="BQ218" s="559"/>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600"/>
      <c r="AH219" s="601"/>
      <c r="AI219" s="569"/>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02">
        <f t="shared" si="38"/>
        <v>0</v>
      </c>
      <c r="BO219" s="47">
        <f t="shared" si="39"/>
        <v>0</v>
      </c>
      <c r="BP219" s="631"/>
      <c r="BQ219" s="559"/>
    </row>
    <row r="220" spans="2:69" s="6" customFormat="1" ht="15.95" customHeight="1" thickBot="1">
      <c r="B220" s="157">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600"/>
      <c r="AH220" s="612"/>
      <c r="AI220" s="593"/>
      <c r="AJ220" s="50"/>
      <c r="AK220" s="20"/>
      <c r="AL220" s="50"/>
      <c r="AM220" s="20"/>
      <c r="AN220" s="50"/>
      <c r="AO220" s="20"/>
      <c r="AP220" s="50"/>
      <c r="AQ220" s="20"/>
      <c r="AR220" s="50"/>
      <c r="AS220" s="20"/>
      <c r="AT220" s="50"/>
      <c r="AU220" s="20"/>
      <c r="AV220" s="50"/>
      <c r="AW220" s="20"/>
      <c r="AX220" s="50"/>
      <c r="AY220" s="20"/>
      <c r="AZ220" s="50"/>
      <c r="BA220" s="20"/>
      <c r="BB220" s="50"/>
      <c r="BC220" s="20"/>
      <c r="BD220" s="50"/>
      <c r="BE220" s="20"/>
      <c r="BF220" s="50"/>
      <c r="BG220" s="20"/>
      <c r="BH220" s="50"/>
      <c r="BI220" s="20"/>
      <c r="BJ220" s="50"/>
      <c r="BK220" s="21"/>
      <c r="BL220" s="38"/>
      <c r="BM220" s="20"/>
      <c r="BN220" s="102">
        <f t="shared" si="38"/>
        <v>0</v>
      </c>
      <c r="BO220" s="47">
        <f t="shared" si="39"/>
        <v>0</v>
      </c>
      <c r="BP220" s="631"/>
      <c r="BQ220" s="559"/>
    </row>
    <row r="221" spans="2:69" s="6" customFormat="1" ht="39" customHeight="1" thickBot="1">
      <c r="B221" s="119" t="s">
        <v>101</v>
      </c>
      <c r="C221" s="149"/>
      <c r="D221" s="29">
        <f t="shared" ref="D221:BM221" si="40">SUM(D202:D220)</f>
        <v>0</v>
      </c>
      <c r="E221" s="31">
        <f t="shared" si="40"/>
        <v>0</v>
      </c>
      <c r="F221" s="29">
        <f t="shared" si="40"/>
        <v>0</v>
      </c>
      <c r="G221" s="31">
        <f t="shared" si="40"/>
        <v>0</v>
      </c>
      <c r="H221" s="29">
        <f t="shared" si="40"/>
        <v>0</v>
      </c>
      <c r="I221" s="31">
        <f t="shared" si="40"/>
        <v>0</v>
      </c>
      <c r="J221" s="29">
        <f t="shared" si="40"/>
        <v>0</v>
      </c>
      <c r="K221" s="31">
        <f t="shared" si="40"/>
        <v>0</v>
      </c>
      <c r="L221" s="29">
        <f t="shared" si="40"/>
        <v>0</v>
      </c>
      <c r="M221" s="31">
        <f t="shared" si="40"/>
        <v>0</v>
      </c>
      <c r="N221" s="29">
        <f t="shared" si="40"/>
        <v>0</v>
      </c>
      <c r="O221" s="31">
        <f t="shared" si="40"/>
        <v>0</v>
      </c>
      <c r="P221" s="29">
        <f t="shared" si="40"/>
        <v>0</v>
      </c>
      <c r="Q221" s="31">
        <f t="shared" si="40"/>
        <v>0</v>
      </c>
      <c r="R221" s="29">
        <f t="shared" si="40"/>
        <v>0</v>
      </c>
      <c r="S221" s="31">
        <f t="shared" si="40"/>
        <v>0</v>
      </c>
      <c r="T221" s="29">
        <f t="shared" si="40"/>
        <v>0</v>
      </c>
      <c r="U221" s="31">
        <f t="shared" si="40"/>
        <v>0</v>
      </c>
      <c r="V221" s="29">
        <f t="shared" si="40"/>
        <v>0</v>
      </c>
      <c r="W221" s="31">
        <f t="shared" si="40"/>
        <v>0</v>
      </c>
      <c r="X221" s="29">
        <f t="shared" si="40"/>
        <v>0</v>
      </c>
      <c r="Y221" s="31">
        <f t="shared" si="40"/>
        <v>0</v>
      </c>
      <c r="Z221" s="29">
        <f t="shared" si="40"/>
        <v>0</v>
      </c>
      <c r="AA221" s="31">
        <f t="shared" si="40"/>
        <v>0</v>
      </c>
      <c r="AB221" s="29">
        <f t="shared" si="40"/>
        <v>0</v>
      </c>
      <c r="AC221" s="31">
        <f t="shared" si="40"/>
        <v>0</v>
      </c>
      <c r="AD221" s="29">
        <f t="shared" si="40"/>
        <v>0</v>
      </c>
      <c r="AE221" s="31">
        <f t="shared" si="40"/>
        <v>0</v>
      </c>
      <c r="AF221" s="29">
        <f t="shared" si="40"/>
        <v>0</v>
      </c>
      <c r="AG221" s="41">
        <f t="shared" si="40"/>
        <v>0</v>
      </c>
      <c r="AH221" s="39">
        <f t="shared" si="40"/>
        <v>0</v>
      </c>
      <c r="AI221" s="31">
        <f t="shared" si="40"/>
        <v>0</v>
      </c>
      <c r="AJ221" s="29">
        <f t="shared" si="40"/>
        <v>0</v>
      </c>
      <c r="AK221" s="31">
        <f t="shared" si="40"/>
        <v>0</v>
      </c>
      <c r="AL221" s="29">
        <f t="shared" si="40"/>
        <v>0</v>
      </c>
      <c r="AM221" s="31">
        <f t="shared" si="40"/>
        <v>0</v>
      </c>
      <c r="AN221" s="29">
        <f t="shared" si="40"/>
        <v>0</v>
      </c>
      <c r="AO221" s="31">
        <f t="shared" si="40"/>
        <v>0</v>
      </c>
      <c r="AP221" s="29">
        <f t="shared" si="40"/>
        <v>0</v>
      </c>
      <c r="AQ221" s="31">
        <f t="shared" si="40"/>
        <v>0</v>
      </c>
      <c r="AR221" s="29">
        <f t="shared" si="40"/>
        <v>0</v>
      </c>
      <c r="AS221" s="31">
        <f t="shared" si="40"/>
        <v>0</v>
      </c>
      <c r="AT221" s="29">
        <f t="shared" si="40"/>
        <v>0</v>
      </c>
      <c r="AU221" s="31">
        <f t="shared" si="40"/>
        <v>0</v>
      </c>
      <c r="AV221" s="29">
        <f t="shared" si="40"/>
        <v>0</v>
      </c>
      <c r="AW221" s="31">
        <f t="shared" si="40"/>
        <v>0</v>
      </c>
      <c r="AX221" s="29">
        <f t="shared" si="40"/>
        <v>0</v>
      </c>
      <c r="AY221" s="31">
        <f t="shared" si="40"/>
        <v>0</v>
      </c>
      <c r="AZ221" s="29">
        <f t="shared" si="40"/>
        <v>0</v>
      </c>
      <c r="BA221" s="31">
        <f t="shared" si="40"/>
        <v>0</v>
      </c>
      <c r="BB221" s="29">
        <f t="shared" si="40"/>
        <v>0</v>
      </c>
      <c r="BC221" s="31">
        <f t="shared" si="40"/>
        <v>0</v>
      </c>
      <c r="BD221" s="29">
        <f t="shared" si="40"/>
        <v>0</v>
      </c>
      <c r="BE221" s="31">
        <f t="shared" si="40"/>
        <v>0</v>
      </c>
      <c r="BF221" s="29">
        <f t="shared" si="40"/>
        <v>0</v>
      </c>
      <c r="BG221" s="31">
        <f t="shared" si="40"/>
        <v>0</v>
      </c>
      <c r="BH221" s="29">
        <f t="shared" si="40"/>
        <v>0</v>
      </c>
      <c r="BI221" s="31">
        <f t="shared" si="40"/>
        <v>0</v>
      </c>
      <c r="BJ221" s="29">
        <f t="shared" si="40"/>
        <v>0</v>
      </c>
      <c r="BK221" s="41">
        <f t="shared" si="40"/>
        <v>0</v>
      </c>
      <c r="BL221" s="30">
        <f t="shared" si="40"/>
        <v>0</v>
      </c>
      <c r="BM221" s="41">
        <f t="shared" si="40"/>
        <v>0</v>
      </c>
      <c r="BN221" s="32">
        <f>SUM(BN202:BN220)</f>
        <v>0</v>
      </c>
      <c r="BO221" s="40">
        <f>SUM(BO202:BO220)</f>
        <v>0</v>
      </c>
      <c r="BP221" s="257">
        <f>SUM(BP202:BP220)</f>
        <v>3</v>
      </c>
      <c r="BQ221" s="240">
        <f>SUM(BQ202:BQ220)</f>
        <v>3</v>
      </c>
    </row>
    <row r="222" spans="2:69" s="6" customFormat="1" ht="24" customHeight="1">
      <c r="B222" s="123"/>
      <c r="C222" s="150"/>
      <c r="D222" s="71"/>
      <c r="E222" s="71"/>
      <c r="F222" s="71"/>
      <c r="G222" s="71"/>
      <c r="H222" s="71"/>
      <c r="I222" s="71"/>
      <c r="J222" s="71"/>
      <c r="K222" s="71"/>
      <c r="L222" s="71"/>
      <c r="M222" s="71"/>
      <c r="N222" s="71"/>
      <c r="O222" s="71"/>
      <c r="P222" s="71"/>
      <c r="Q222" s="71"/>
      <c r="R222" s="71"/>
      <c r="S222" s="71"/>
      <c r="T222" s="71"/>
      <c r="U222" s="71"/>
      <c r="V222" s="71"/>
      <c r="W222" s="71"/>
      <c r="X222" s="71"/>
      <c r="Y222" s="71"/>
      <c r="Z222" s="71"/>
      <c r="AA222" s="71"/>
      <c r="AB222" s="71"/>
      <c r="AC222" s="71"/>
      <c r="AD222" s="71"/>
      <c r="AE222" s="71"/>
      <c r="AF222" s="71"/>
      <c r="AG222" s="71"/>
      <c r="AH222" s="71"/>
      <c r="AI222" s="71"/>
      <c r="AJ222" s="71"/>
      <c r="AK222" s="71"/>
      <c r="AL222" s="71"/>
      <c r="AM222" s="71"/>
      <c r="AN222" s="71"/>
      <c r="AO222" s="71"/>
      <c r="AP222" s="71"/>
      <c r="AQ222" s="71"/>
      <c r="AR222" s="71"/>
      <c r="AS222" s="71"/>
      <c r="AT222" s="71"/>
      <c r="AU222" s="71"/>
      <c r="AV222" s="71"/>
      <c r="AW222" s="71"/>
      <c r="AX222" s="71"/>
      <c r="AY222" s="71"/>
      <c r="AZ222" s="71"/>
      <c r="BA222" s="71"/>
      <c r="BB222" s="71"/>
      <c r="BC222" s="71"/>
      <c r="BD222" s="71"/>
      <c r="BE222" s="71"/>
      <c r="BF222" s="71"/>
      <c r="BG222" s="71"/>
      <c r="BH222" s="71"/>
      <c r="BI222" s="71"/>
      <c r="BJ222" s="71"/>
      <c r="BK222" s="71"/>
      <c r="BL222" s="71"/>
      <c r="BM222" s="71"/>
      <c r="BN222" s="71"/>
      <c r="BO222" s="71"/>
    </row>
    <row r="223" spans="2:69" s="6" customFormat="1" ht="24" customHeight="1" thickBo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106"/>
      <c r="AI223" s="106"/>
      <c r="AJ223" s="106"/>
      <c r="AK223" s="106"/>
      <c r="AL223" s="106"/>
      <c r="AM223" s="106"/>
      <c r="AN223" s="106"/>
      <c r="AO223" s="106"/>
      <c r="AP223" s="106"/>
      <c r="AQ223" s="106"/>
      <c r="AR223" s="106"/>
      <c r="AS223" s="106"/>
      <c r="AT223" s="106"/>
      <c r="AU223" s="106"/>
      <c r="AV223" s="106"/>
      <c r="AW223" s="106"/>
      <c r="AX223" s="106"/>
      <c r="AY223" s="106"/>
      <c r="AZ223" s="106"/>
      <c r="BA223" s="106"/>
      <c r="BB223" s="106"/>
      <c r="BC223" s="106"/>
      <c r="BD223" s="106"/>
      <c r="BE223" s="106"/>
      <c r="BF223" s="106"/>
      <c r="BG223" s="106"/>
      <c r="BH223" s="106"/>
      <c r="BI223" s="106"/>
      <c r="BJ223" s="106"/>
      <c r="BK223" s="106"/>
      <c r="BL223" s="106"/>
      <c r="BM223" s="106"/>
      <c r="BN223" s="71"/>
      <c r="BO223" s="71"/>
    </row>
    <row r="224" spans="2:69" ht="24.95" customHeight="1">
      <c r="B224" s="743" t="s">
        <v>89</v>
      </c>
      <c r="C224" s="749">
        <f>COUNTIF(B227:B245,"*")</f>
        <v>18</v>
      </c>
      <c r="D224" s="751">
        <v>1</v>
      </c>
      <c r="E224" s="738"/>
      <c r="F224" s="737">
        <v>2</v>
      </c>
      <c r="G224" s="738"/>
      <c r="H224" s="737">
        <v>3</v>
      </c>
      <c r="I224" s="738"/>
      <c r="J224" s="737">
        <v>4</v>
      </c>
      <c r="K224" s="738"/>
      <c r="L224" s="737">
        <v>5</v>
      </c>
      <c r="M224" s="738"/>
      <c r="N224" s="737">
        <v>6</v>
      </c>
      <c r="O224" s="738"/>
      <c r="P224" s="737">
        <v>7</v>
      </c>
      <c r="Q224" s="738"/>
      <c r="R224" s="737">
        <v>8</v>
      </c>
      <c r="S224" s="738"/>
      <c r="T224" s="737">
        <v>9</v>
      </c>
      <c r="U224" s="738"/>
      <c r="V224" s="737">
        <v>10</v>
      </c>
      <c r="W224" s="738"/>
      <c r="X224" s="737">
        <v>11</v>
      </c>
      <c r="Y224" s="738"/>
      <c r="Z224" s="737">
        <v>12</v>
      </c>
      <c r="AA224" s="738"/>
      <c r="AB224" s="737">
        <v>13</v>
      </c>
      <c r="AC224" s="738"/>
      <c r="AD224" s="737">
        <v>14</v>
      </c>
      <c r="AE224" s="738"/>
      <c r="AF224" s="737">
        <v>15</v>
      </c>
      <c r="AG224" s="742"/>
      <c r="AH224" s="737">
        <v>16</v>
      </c>
      <c r="AI224" s="738"/>
      <c r="AJ224" s="775">
        <v>17</v>
      </c>
      <c r="AK224" s="761"/>
      <c r="AL224" s="775">
        <v>18</v>
      </c>
      <c r="AM224" s="761"/>
      <c r="AN224" s="775">
        <v>19</v>
      </c>
      <c r="AO224" s="761"/>
      <c r="AP224" s="775">
        <v>20</v>
      </c>
      <c r="AQ224" s="761"/>
      <c r="AR224" s="775">
        <v>21</v>
      </c>
      <c r="AS224" s="761"/>
      <c r="AT224" s="775">
        <v>22</v>
      </c>
      <c r="AU224" s="761"/>
      <c r="AV224" s="775">
        <v>23</v>
      </c>
      <c r="AW224" s="761"/>
      <c r="AX224" s="775">
        <v>24</v>
      </c>
      <c r="AY224" s="761"/>
      <c r="AZ224" s="775">
        <v>25</v>
      </c>
      <c r="BA224" s="761"/>
      <c r="BB224" s="775">
        <v>26</v>
      </c>
      <c r="BC224" s="761"/>
      <c r="BD224" s="775">
        <v>27</v>
      </c>
      <c r="BE224" s="761"/>
      <c r="BF224" s="775">
        <v>28</v>
      </c>
      <c r="BG224" s="761"/>
      <c r="BH224" s="775">
        <v>29</v>
      </c>
      <c r="BI224" s="761"/>
      <c r="BJ224" s="775">
        <v>30</v>
      </c>
      <c r="BK224" s="761"/>
      <c r="BL224" s="741">
        <v>31</v>
      </c>
      <c r="BM224" s="741"/>
      <c r="BN224" s="738" t="s">
        <v>251</v>
      </c>
      <c r="BO224" s="760"/>
      <c r="BP224" s="771" t="s">
        <v>353</v>
      </c>
      <c r="BQ224" s="772"/>
    </row>
    <row r="225" spans="2:69" ht="24.95" customHeight="1">
      <c r="B225" s="744"/>
      <c r="C225" s="747"/>
      <c r="D225" s="752" t="str">
        <f>D2</f>
        <v>土</v>
      </c>
      <c r="E225" s="740"/>
      <c r="F225" s="739" t="str">
        <f>F2</f>
        <v>日</v>
      </c>
      <c r="G225" s="740"/>
      <c r="H225" s="739" t="str">
        <f>H2</f>
        <v>月</v>
      </c>
      <c r="I225" s="740"/>
      <c r="J225" s="739" t="str">
        <f>J2</f>
        <v>火</v>
      </c>
      <c r="K225" s="740"/>
      <c r="L225" s="739" t="str">
        <f>L2</f>
        <v>水</v>
      </c>
      <c r="M225" s="740"/>
      <c r="N225" s="739" t="str">
        <f>N2</f>
        <v>木</v>
      </c>
      <c r="O225" s="740"/>
      <c r="P225" s="739" t="str">
        <f>P2</f>
        <v>金</v>
      </c>
      <c r="Q225" s="740"/>
      <c r="R225" s="739" t="str">
        <f>R2</f>
        <v>土</v>
      </c>
      <c r="S225" s="740"/>
      <c r="T225" s="739" t="str">
        <f>T2</f>
        <v>日</v>
      </c>
      <c r="U225" s="740"/>
      <c r="V225" s="739" t="str">
        <f>V2</f>
        <v>月</v>
      </c>
      <c r="W225" s="740"/>
      <c r="X225" s="739" t="str">
        <f>X2</f>
        <v>火</v>
      </c>
      <c r="Y225" s="740"/>
      <c r="Z225" s="739" t="str">
        <f>Z2</f>
        <v>水</v>
      </c>
      <c r="AA225" s="740"/>
      <c r="AB225" s="739" t="str">
        <f>AB2</f>
        <v>木</v>
      </c>
      <c r="AC225" s="740"/>
      <c r="AD225" s="739" t="str">
        <f>AD2</f>
        <v>金</v>
      </c>
      <c r="AE225" s="740"/>
      <c r="AF225" s="739" t="str">
        <f>AF2</f>
        <v>土</v>
      </c>
      <c r="AG225" s="756"/>
      <c r="AH225" s="768" t="str">
        <f>AH2</f>
        <v>日</v>
      </c>
      <c r="AI225" s="769"/>
      <c r="AJ225" s="770" t="str">
        <f>AJ2</f>
        <v>月</v>
      </c>
      <c r="AK225" s="770"/>
      <c r="AL225" s="770" t="str">
        <f>AL2</f>
        <v>火</v>
      </c>
      <c r="AM225" s="770"/>
      <c r="AN225" s="770" t="str">
        <f>AN2</f>
        <v>水</v>
      </c>
      <c r="AO225" s="770"/>
      <c r="AP225" s="770" t="str">
        <f>AP2</f>
        <v>木</v>
      </c>
      <c r="AQ225" s="770"/>
      <c r="AR225" s="770" t="str">
        <f>AR2</f>
        <v>金</v>
      </c>
      <c r="AS225" s="770"/>
      <c r="AT225" s="770" t="str">
        <f>AT2</f>
        <v>土</v>
      </c>
      <c r="AU225" s="770"/>
      <c r="AV225" s="770" t="str">
        <f>AV2</f>
        <v>日</v>
      </c>
      <c r="AW225" s="770"/>
      <c r="AX225" s="770" t="str">
        <f>AX2</f>
        <v>月</v>
      </c>
      <c r="AY225" s="770"/>
      <c r="AZ225" s="770" t="str">
        <f>AZ2</f>
        <v>火</v>
      </c>
      <c r="BA225" s="770"/>
      <c r="BB225" s="770" t="str">
        <f>BB2</f>
        <v>水</v>
      </c>
      <c r="BC225" s="770"/>
      <c r="BD225" s="770" t="str">
        <f>BD2</f>
        <v>木</v>
      </c>
      <c r="BE225" s="770"/>
      <c r="BF225" s="770" t="str">
        <f>BF2</f>
        <v>金</v>
      </c>
      <c r="BG225" s="770"/>
      <c r="BH225" s="770" t="str">
        <f>BH2</f>
        <v>土</v>
      </c>
      <c r="BI225" s="770"/>
      <c r="BJ225" s="770" t="str">
        <f>BJ2</f>
        <v>日</v>
      </c>
      <c r="BK225" s="770"/>
      <c r="BL225" s="770" t="str">
        <f>BL2</f>
        <v>月</v>
      </c>
      <c r="BM225" s="770"/>
      <c r="BN225" s="761"/>
      <c r="BO225" s="762"/>
      <c r="BP225" s="773"/>
      <c r="BQ225" s="774"/>
    </row>
    <row r="226" spans="2:69" ht="24.95" customHeight="1" thickBot="1">
      <c r="B226" s="744"/>
      <c r="C226" s="747"/>
      <c r="D226" s="482" t="s">
        <v>72</v>
      </c>
      <c r="E226" s="512" t="s">
        <v>73</v>
      </c>
      <c r="F226" s="511" t="s">
        <v>72</v>
      </c>
      <c r="G226" s="512" t="s">
        <v>73</v>
      </c>
      <c r="H226" s="511" t="s">
        <v>72</v>
      </c>
      <c r="I226" s="512" t="s">
        <v>73</v>
      </c>
      <c r="J226" s="482" t="s">
        <v>72</v>
      </c>
      <c r="K226" s="512" t="s">
        <v>73</v>
      </c>
      <c r="L226" s="482" t="s">
        <v>72</v>
      </c>
      <c r="M226" s="512" t="s">
        <v>73</v>
      </c>
      <c r="N226" s="482" t="s">
        <v>72</v>
      </c>
      <c r="O226" s="512" t="s">
        <v>73</v>
      </c>
      <c r="P226" s="482" t="s">
        <v>72</v>
      </c>
      <c r="Q226" s="512" t="s">
        <v>73</v>
      </c>
      <c r="R226" s="482" t="s">
        <v>72</v>
      </c>
      <c r="S226" s="512" t="s">
        <v>73</v>
      </c>
      <c r="T226" s="482" t="s">
        <v>72</v>
      </c>
      <c r="U226" s="512" t="s">
        <v>73</v>
      </c>
      <c r="V226" s="482" t="s">
        <v>72</v>
      </c>
      <c r="W226" s="512" t="s">
        <v>73</v>
      </c>
      <c r="X226" s="482" t="s">
        <v>72</v>
      </c>
      <c r="Y226" s="512" t="s">
        <v>73</v>
      </c>
      <c r="Z226" s="482" t="s">
        <v>72</v>
      </c>
      <c r="AA226" s="513" t="s">
        <v>73</v>
      </c>
      <c r="AB226" s="194" t="s">
        <v>72</v>
      </c>
      <c r="AC226" s="513" t="s">
        <v>73</v>
      </c>
      <c r="AD226" s="194" t="s">
        <v>72</v>
      </c>
      <c r="AE226" s="513" t="s">
        <v>73</v>
      </c>
      <c r="AF226" s="194" t="s">
        <v>72</v>
      </c>
      <c r="AG226" s="584" t="s">
        <v>73</v>
      </c>
      <c r="AH226" s="552" t="s">
        <v>72</v>
      </c>
      <c r="AI226" s="583" t="s">
        <v>73</v>
      </c>
      <c r="AJ226" s="511" t="s">
        <v>72</v>
      </c>
      <c r="AK226" s="512" t="s">
        <v>73</v>
      </c>
      <c r="AL226" s="511" t="s">
        <v>72</v>
      </c>
      <c r="AM226" s="512" t="s">
        <v>73</v>
      </c>
      <c r="AN226" s="482" t="s">
        <v>72</v>
      </c>
      <c r="AO226" s="512" t="s">
        <v>73</v>
      </c>
      <c r="AP226" s="482" t="s">
        <v>72</v>
      </c>
      <c r="AQ226" s="512" t="s">
        <v>73</v>
      </c>
      <c r="AR226" s="482" t="s">
        <v>72</v>
      </c>
      <c r="AS226" s="512" t="s">
        <v>73</v>
      </c>
      <c r="AT226" s="482" t="s">
        <v>72</v>
      </c>
      <c r="AU226" s="512" t="s">
        <v>73</v>
      </c>
      <c r="AV226" s="482" t="s">
        <v>72</v>
      </c>
      <c r="AW226" s="512" t="s">
        <v>73</v>
      </c>
      <c r="AX226" s="482" t="s">
        <v>72</v>
      </c>
      <c r="AY226" s="512" t="s">
        <v>73</v>
      </c>
      <c r="AZ226" s="482" t="s">
        <v>72</v>
      </c>
      <c r="BA226" s="512" t="s">
        <v>73</v>
      </c>
      <c r="BB226" s="482" t="s">
        <v>72</v>
      </c>
      <c r="BC226" s="512" t="s">
        <v>73</v>
      </c>
      <c r="BD226" s="482" t="s">
        <v>72</v>
      </c>
      <c r="BE226" s="513" t="s">
        <v>73</v>
      </c>
      <c r="BF226" s="194" t="s">
        <v>72</v>
      </c>
      <c r="BG226" s="513" t="s">
        <v>73</v>
      </c>
      <c r="BH226" s="194" t="s">
        <v>72</v>
      </c>
      <c r="BI226" s="513" t="s">
        <v>73</v>
      </c>
      <c r="BJ226" s="194" t="s">
        <v>72</v>
      </c>
      <c r="BK226" s="513" t="s">
        <v>73</v>
      </c>
      <c r="BL226" s="194" t="s">
        <v>72</v>
      </c>
      <c r="BM226" s="513" t="s">
        <v>73</v>
      </c>
      <c r="BN226" s="514" t="s">
        <v>72</v>
      </c>
      <c r="BO226" s="513" t="s">
        <v>73</v>
      </c>
      <c r="BP226" s="477" t="s">
        <v>252</v>
      </c>
      <c r="BQ226" s="478" t="s">
        <v>254</v>
      </c>
    </row>
    <row r="227" spans="2:69" ht="45" customHeight="1" thickTop="1">
      <c r="B227" s="203" t="str">
        <f>'1月'!$B$227</f>
        <v>八田　守立</v>
      </c>
      <c r="C227" s="152"/>
      <c r="D227" s="46"/>
      <c r="E227" s="9"/>
      <c r="F227" s="46"/>
      <c r="G227" s="9"/>
      <c r="H227" s="46"/>
      <c r="I227" s="9"/>
      <c r="J227" s="46"/>
      <c r="K227" s="9"/>
      <c r="L227" s="46"/>
      <c r="M227" s="9"/>
      <c r="N227" s="46"/>
      <c r="O227" s="9"/>
      <c r="P227" s="46"/>
      <c r="Q227" s="9"/>
      <c r="R227" s="46"/>
      <c r="S227" s="9"/>
      <c r="T227" s="46"/>
      <c r="U227" s="9"/>
      <c r="V227" s="46"/>
      <c r="W227" s="9"/>
      <c r="X227" s="46"/>
      <c r="Y227" s="9"/>
      <c r="Z227" s="46"/>
      <c r="AA227" s="9"/>
      <c r="AB227" s="46"/>
      <c r="AC227" s="9"/>
      <c r="AD227" s="46"/>
      <c r="AE227" s="9"/>
      <c r="AF227" s="46"/>
      <c r="AG227" s="10"/>
      <c r="AH227" s="179"/>
      <c r="AI227" s="9"/>
      <c r="AJ227" s="46"/>
      <c r="AK227" s="9"/>
      <c r="AL227" s="46"/>
      <c r="AM227" s="9"/>
      <c r="AN227" s="46"/>
      <c r="AO227" s="9"/>
      <c r="AP227" s="46"/>
      <c r="AQ227" s="9"/>
      <c r="AR227" s="46"/>
      <c r="AS227" s="9"/>
      <c r="AT227" s="46"/>
      <c r="AU227" s="9"/>
      <c r="AV227" s="46"/>
      <c r="AW227" s="9"/>
      <c r="AX227" s="46"/>
      <c r="AY227" s="9"/>
      <c r="AZ227" s="46"/>
      <c r="BA227" s="9"/>
      <c r="BB227" s="46"/>
      <c r="BC227" s="9"/>
      <c r="BD227" s="46"/>
      <c r="BE227" s="9"/>
      <c r="BF227" s="46"/>
      <c r="BG227" s="9"/>
      <c r="BH227" s="46"/>
      <c r="BI227" s="9"/>
      <c r="BJ227" s="46"/>
      <c r="BK227" s="10"/>
      <c r="BL227" s="179"/>
      <c r="BM227" s="9"/>
      <c r="BN227" s="102">
        <f t="shared" ref="BN227:BN245" si="41">SUM(D227,F227,H227,J227,L227,N227,P227,R227,T227,V227,X227,Z227,AB227,AD227,AF227,AH227,AJ227,AL227,AN227,AP227,AR227,AT227,AV227,AX227,AZ227,BB227,BD227,BF227,BH227,BJ227,BL227)</f>
        <v>0</v>
      </c>
      <c r="BO227" s="47">
        <f t="shared" ref="BO227:BO245" si="42">SUM(E227,G227,I227,K227,M227,O227,Q227,S227,U227,W227,Y227,AA227,AC227,AE227,AG227,AI227,AK227,AM227,AO227,AQ227,AS227,AU227,AW227,AY227,BA227,BC227,BE227,BG227,BI227,BK227,BM227)</f>
        <v>0</v>
      </c>
      <c r="BP227" s="631">
        <f>INDEX('2月'!$B$4:$BQ$375,MATCH('3月'!B227,'2月'!$B$4:$B$375,0),67)+BN227</f>
        <v>2</v>
      </c>
      <c r="BQ227" s="702">
        <f>INDEX('2月'!$B$4:$BQ$375,MATCH('3月'!B227,'2月'!$B$4:$B$375,0),68)+BO227</f>
        <v>3</v>
      </c>
    </row>
    <row r="228" spans="2:69" s="6" customFormat="1" ht="50.1" customHeight="1">
      <c r="B228" s="201" t="str">
        <f>'1月'!$B$228</f>
        <v>中村　充穂</v>
      </c>
      <c r="C228" s="146"/>
      <c r="D228" s="18"/>
      <c r="E228" s="14"/>
      <c r="F228" s="76"/>
      <c r="G228" s="77"/>
      <c r="H228" s="18"/>
      <c r="I228" s="14"/>
      <c r="J228" s="18"/>
      <c r="K228" s="14"/>
      <c r="L228" s="18"/>
      <c r="M228" s="14"/>
      <c r="N228" s="18"/>
      <c r="O228" s="14"/>
      <c r="P228" s="18"/>
      <c r="Q228" s="14"/>
      <c r="R228" s="18"/>
      <c r="S228" s="14"/>
      <c r="T228" s="18"/>
      <c r="U228" s="14"/>
      <c r="V228" s="18"/>
      <c r="W228" s="14"/>
      <c r="X228" s="18"/>
      <c r="Y228" s="14"/>
      <c r="Z228" s="18"/>
      <c r="AA228" s="14"/>
      <c r="AB228" s="18"/>
      <c r="AC228" s="14"/>
      <c r="AD228" s="18"/>
      <c r="AE228" s="14"/>
      <c r="AF228" s="18"/>
      <c r="AG228" s="600"/>
      <c r="AH228" s="601"/>
      <c r="AI228" s="569"/>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102">
        <f t="shared" si="41"/>
        <v>0</v>
      </c>
      <c r="BO228" s="47">
        <f t="shared" si="42"/>
        <v>0</v>
      </c>
      <c r="BP228" s="631">
        <f>INDEX('2月'!$B$4:$BQ$375,MATCH('3月'!B228,'2月'!$B$4:$B$375,0),67)+BN228</f>
        <v>0</v>
      </c>
      <c r="BQ228" s="702">
        <f>INDEX('2月'!$B$4:$BQ$375,MATCH('3月'!B228,'2月'!$B$4:$B$375,0),68)+BO228</f>
        <v>0</v>
      </c>
    </row>
    <row r="229" spans="2:69" s="6" customFormat="1" ht="50.1" customHeight="1">
      <c r="B229" s="201" t="str">
        <f>'1月'!$B$229</f>
        <v>八田　香菜子</v>
      </c>
      <c r="C229" s="146"/>
      <c r="D229" s="18"/>
      <c r="E229" s="14"/>
      <c r="F229" s="18"/>
      <c r="G229" s="14"/>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18"/>
      <c r="AG229" s="600"/>
      <c r="AH229" s="601"/>
      <c r="AI229" s="569"/>
      <c r="AJ229" s="18"/>
      <c r="AK229" s="14"/>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102">
        <f t="shared" si="41"/>
        <v>0</v>
      </c>
      <c r="BO229" s="47">
        <f t="shared" si="42"/>
        <v>0</v>
      </c>
      <c r="BP229" s="631">
        <f>INDEX('2月'!$B$4:$BQ$375,MATCH('3月'!B229,'2月'!$B$4:$B$375,0),67)+BN229</f>
        <v>5</v>
      </c>
      <c r="BQ229" s="702">
        <f>INDEX('2月'!$B$4:$BQ$375,MATCH('3月'!B229,'2月'!$B$4:$B$375,0),68)+BO229</f>
        <v>5</v>
      </c>
    </row>
    <row r="230" spans="2:69" s="6" customFormat="1" ht="50.1" customHeight="1">
      <c r="B230" s="204" t="str">
        <f>'1月'!$B$230</f>
        <v>八田　雄太</v>
      </c>
      <c r="C230" s="146"/>
      <c r="D230" s="18"/>
      <c r="E230" s="14"/>
      <c r="F230" s="18"/>
      <c r="G230" s="14"/>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600"/>
      <c r="AH230" s="601"/>
      <c r="AI230" s="569"/>
      <c r="AJ230" s="18"/>
      <c r="AK230" s="14"/>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102">
        <f t="shared" si="41"/>
        <v>0</v>
      </c>
      <c r="BO230" s="47">
        <f t="shared" si="42"/>
        <v>0</v>
      </c>
      <c r="BP230" s="631">
        <f>INDEX('2月'!$B$4:$BQ$375,MATCH('3月'!B230,'2月'!$B$4:$B$375,0),67)+BN230</f>
        <v>0</v>
      </c>
      <c r="BQ230" s="702">
        <f>INDEX('2月'!$B$4:$BQ$375,MATCH('3月'!B230,'2月'!$B$4:$B$375,0),68)+BO230</f>
        <v>0</v>
      </c>
    </row>
    <row r="231" spans="2:69" s="6" customFormat="1" ht="50.1" customHeight="1">
      <c r="B231" s="201" t="str">
        <f>'1月'!$B$231</f>
        <v>桜庭　雅寛</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600"/>
      <c r="AH231" s="601"/>
      <c r="AI231" s="569"/>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102">
        <f t="shared" si="41"/>
        <v>0</v>
      </c>
      <c r="BO231" s="47">
        <f t="shared" si="42"/>
        <v>0</v>
      </c>
      <c r="BP231" s="631">
        <f>INDEX('2月'!$B$4:$BQ$375,MATCH('3月'!B231,'2月'!$B$4:$B$375,0),67)+BN231</f>
        <v>1</v>
      </c>
      <c r="BQ231" s="702">
        <f>INDEX('2月'!$B$4:$BQ$375,MATCH('3月'!B231,'2月'!$B$4:$B$375,0),68)+BO231</f>
        <v>1</v>
      </c>
    </row>
    <row r="232" spans="2:69" s="6" customFormat="1" ht="50.1" customHeight="1">
      <c r="B232" s="201" t="str">
        <f>'1月'!$B$232</f>
        <v>鷹幸　弘尚</v>
      </c>
      <c r="C232" s="146"/>
      <c r="D232" s="18"/>
      <c r="E232" s="14"/>
      <c r="F232" s="50"/>
      <c r="G232" s="20"/>
      <c r="H232" s="50"/>
      <c r="I232" s="20"/>
      <c r="J232" s="50"/>
      <c r="K232" s="20"/>
      <c r="L232" s="50"/>
      <c r="M232" s="20"/>
      <c r="N232" s="50"/>
      <c r="O232" s="20"/>
      <c r="P232" s="50"/>
      <c r="Q232" s="20"/>
      <c r="R232" s="50"/>
      <c r="S232" s="20"/>
      <c r="T232" s="50"/>
      <c r="U232" s="20"/>
      <c r="V232" s="50"/>
      <c r="W232" s="20"/>
      <c r="X232" s="50"/>
      <c r="Y232" s="20"/>
      <c r="Z232" s="50"/>
      <c r="AA232" s="20"/>
      <c r="AB232" s="50"/>
      <c r="AC232" s="20"/>
      <c r="AD232" s="50"/>
      <c r="AE232" s="20"/>
      <c r="AF232" s="18"/>
      <c r="AG232" s="594"/>
      <c r="AH232" s="601"/>
      <c r="AI232" s="593"/>
      <c r="AJ232" s="50"/>
      <c r="AK232" s="20"/>
      <c r="AL232" s="50"/>
      <c r="AM232" s="20"/>
      <c r="AN232" s="50"/>
      <c r="AO232" s="20"/>
      <c r="AP232" s="50"/>
      <c r="AQ232" s="20"/>
      <c r="AR232" s="50"/>
      <c r="AS232" s="20"/>
      <c r="AT232" s="50"/>
      <c r="AU232" s="20"/>
      <c r="AV232" s="50"/>
      <c r="AW232" s="20"/>
      <c r="AX232" s="50"/>
      <c r="AY232" s="20"/>
      <c r="AZ232" s="50"/>
      <c r="BA232" s="20"/>
      <c r="BB232" s="50"/>
      <c r="BC232" s="20"/>
      <c r="BD232" s="50"/>
      <c r="BE232" s="20"/>
      <c r="BF232" s="50"/>
      <c r="BG232" s="20"/>
      <c r="BH232" s="50"/>
      <c r="BI232" s="20"/>
      <c r="BJ232" s="50"/>
      <c r="BK232" s="21"/>
      <c r="BL232" s="38"/>
      <c r="BM232" s="20"/>
      <c r="BN232" s="102">
        <f t="shared" si="41"/>
        <v>0</v>
      </c>
      <c r="BO232" s="47">
        <f t="shared" si="42"/>
        <v>0</v>
      </c>
      <c r="BP232" s="631">
        <f>INDEX('2月'!$B$4:$BQ$375,MATCH('3月'!B232,'2月'!$B$4:$B$375,0),67)+BN232</f>
        <v>0</v>
      </c>
      <c r="BQ232" s="702">
        <f>INDEX('2月'!$B$4:$BQ$375,MATCH('3月'!B232,'2月'!$B$4:$B$375,0),68)+BO232</f>
        <v>0</v>
      </c>
    </row>
    <row r="233" spans="2:69" s="6" customFormat="1" ht="50.1" customHeight="1">
      <c r="B233" s="201" t="str">
        <f>'1月'!$B$233</f>
        <v>細越　利章</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600"/>
      <c r="AH233" s="601"/>
      <c r="AI233" s="569"/>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102">
        <f t="shared" si="41"/>
        <v>0</v>
      </c>
      <c r="BO233" s="47">
        <f t="shared" si="42"/>
        <v>0</v>
      </c>
      <c r="BP233" s="631">
        <f>INDEX('2月'!$B$4:$BQ$375,MATCH('3月'!B233,'2月'!$B$4:$B$375,0),67)+BN233</f>
        <v>1</v>
      </c>
      <c r="BQ233" s="702">
        <f>INDEX('2月'!$B$4:$BQ$375,MATCH('3月'!B233,'2月'!$B$4:$B$375,0),68)+BO233</f>
        <v>1</v>
      </c>
    </row>
    <row r="234" spans="2:69" s="6" customFormat="1" ht="50.1" customHeight="1">
      <c r="B234" s="201" t="str">
        <f>'1月'!$B$234</f>
        <v>八田　安啓</v>
      </c>
      <c r="C234" s="146"/>
      <c r="D234" s="18"/>
      <c r="E234" s="14"/>
      <c r="F234" s="18"/>
      <c r="G234" s="14"/>
      <c r="H234" s="18"/>
      <c r="I234" s="14"/>
      <c r="J234" s="18"/>
      <c r="K234" s="14"/>
      <c r="L234" s="18"/>
      <c r="M234" s="14"/>
      <c r="N234" s="18"/>
      <c r="O234" s="14"/>
      <c r="P234" s="18"/>
      <c r="Q234" s="14"/>
      <c r="R234" s="18"/>
      <c r="S234" s="14"/>
      <c r="T234" s="18"/>
      <c r="U234" s="14"/>
      <c r="V234" s="18"/>
      <c r="W234" s="14"/>
      <c r="X234" s="18"/>
      <c r="Y234" s="14"/>
      <c r="Z234" s="18"/>
      <c r="AA234" s="14"/>
      <c r="AB234" s="18"/>
      <c r="AC234" s="14"/>
      <c r="AD234" s="18"/>
      <c r="AE234" s="14"/>
      <c r="AF234" s="18"/>
      <c r="AG234" s="600"/>
      <c r="AH234" s="601"/>
      <c r="AI234" s="569"/>
      <c r="AJ234" s="18"/>
      <c r="AK234" s="14"/>
      <c r="AL234" s="18"/>
      <c r="AM234" s="14"/>
      <c r="AN234" s="18"/>
      <c r="AO234" s="14"/>
      <c r="AP234" s="18"/>
      <c r="AQ234" s="14"/>
      <c r="AR234" s="18"/>
      <c r="AS234" s="14"/>
      <c r="AT234" s="18"/>
      <c r="AU234" s="14"/>
      <c r="AV234" s="18"/>
      <c r="AW234" s="14"/>
      <c r="AX234" s="18"/>
      <c r="AY234" s="14"/>
      <c r="AZ234" s="18"/>
      <c r="BA234" s="14"/>
      <c r="BB234" s="18"/>
      <c r="BC234" s="14"/>
      <c r="BD234" s="18"/>
      <c r="BE234" s="14"/>
      <c r="BF234" s="18"/>
      <c r="BG234" s="14"/>
      <c r="BH234" s="18"/>
      <c r="BI234" s="14"/>
      <c r="BJ234" s="18"/>
      <c r="BK234" s="15"/>
      <c r="BL234" s="37"/>
      <c r="BM234" s="14"/>
      <c r="BN234" s="102">
        <f t="shared" si="41"/>
        <v>0</v>
      </c>
      <c r="BO234" s="47">
        <f t="shared" si="42"/>
        <v>0</v>
      </c>
      <c r="BP234" s="631">
        <f>INDEX('2月'!$B$4:$BQ$375,MATCH('3月'!B234,'2月'!$B$4:$B$375,0),67)+BN234</f>
        <v>0</v>
      </c>
      <c r="BQ234" s="702">
        <f>INDEX('2月'!$B$4:$BQ$375,MATCH('3月'!B234,'2月'!$B$4:$B$375,0),68)+BO234</f>
        <v>0</v>
      </c>
    </row>
    <row r="235" spans="2:69" s="6" customFormat="1" ht="50.1" customHeight="1">
      <c r="B235" s="201" t="str">
        <f>'1月'!$B$235</f>
        <v>中村　英満</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600"/>
      <c r="AH235" s="601"/>
      <c r="AI235" s="569"/>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102">
        <f t="shared" si="41"/>
        <v>0</v>
      </c>
      <c r="BO235" s="47">
        <f t="shared" si="42"/>
        <v>0</v>
      </c>
      <c r="BP235" s="631">
        <f>INDEX('2月'!$B$4:$BQ$375,MATCH('3月'!B235,'2月'!$B$4:$B$375,0),67)+BN235</f>
        <v>0</v>
      </c>
      <c r="BQ235" s="702">
        <f>INDEX('2月'!$B$4:$BQ$375,MATCH('3月'!B235,'2月'!$B$4:$B$375,0),68)+BO235</f>
        <v>0</v>
      </c>
    </row>
    <row r="236" spans="2:69" s="6" customFormat="1" ht="50.1" customHeight="1">
      <c r="B236" s="565" t="s">
        <v>544</v>
      </c>
      <c r="C236" s="566"/>
      <c r="D236" s="567"/>
      <c r="E236" s="569"/>
      <c r="F236" s="567"/>
      <c r="G236" s="569"/>
      <c r="H236" s="567"/>
      <c r="I236" s="569"/>
      <c r="J236" s="567"/>
      <c r="K236" s="569"/>
      <c r="L236" s="567"/>
      <c r="M236" s="569"/>
      <c r="N236" s="567"/>
      <c r="O236" s="569"/>
      <c r="P236" s="567"/>
      <c r="Q236" s="569"/>
      <c r="R236" s="567"/>
      <c r="S236" s="569"/>
      <c r="T236" s="567"/>
      <c r="U236" s="569"/>
      <c r="V236" s="567"/>
      <c r="W236" s="569"/>
      <c r="X236" s="567"/>
      <c r="Y236" s="569"/>
      <c r="Z236" s="567"/>
      <c r="AA236" s="569"/>
      <c r="AB236" s="567"/>
      <c r="AC236" s="569"/>
      <c r="AD236" s="567"/>
      <c r="AE236" s="569"/>
      <c r="AF236" s="567"/>
      <c r="AG236" s="600"/>
      <c r="AH236" s="601"/>
      <c r="AI236" s="569"/>
      <c r="AJ236" s="567"/>
      <c r="AK236" s="569"/>
      <c r="AL236" s="567"/>
      <c r="AM236" s="569"/>
      <c r="AN236" s="567"/>
      <c r="AO236" s="569"/>
      <c r="AP236" s="567"/>
      <c r="AQ236" s="569"/>
      <c r="AR236" s="567"/>
      <c r="AS236" s="569"/>
      <c r="AT236" s="567"/>
      <c r="AU236" s="569"/>
      <c r="AV236" s="567"/>
      <c r="AW236" s="569"/>
      <c r="AX236" s="567"/>
      <c r="AY236" s="569"/>
      <c r="AZ236" s="567"/>
      <c r="BA236" s="569"/>
      <c r="BB236" s="567"/>
      <c r="BC236" s="569"/>
      <c r="BD236" s="567"/>
      <c r="BE236" s="569"/>
      <c r="BF236" s="567"/>
      <c r="BG236" s="569"/>
      <c r="BH236" s="567"/>
      <c r="BI236" s="569"/>
      <c r="BJ236" s="567"/>
      <c r="BK236" s="600"/>
      <c r="BL236" s="601"/>
      <c r="BM236" s="569"/>
      <c r="BN236" s="634"/>
      <c r="BO236" s="635"/>
      <c r="BP236" s="631">
        <f>INDEX('2月'!$B$4:$BQ$375,MATCH('3月'!B236,'2月'!$B$4:$B$375,0),67)+BN236</f>
        <v>1</v>
      </c>
      <c r="BQ236" s="702">
        <f>INDEX('2月'!$B$4:$BQ$375,MATCH('3月'!B236,'2月'!$B$4:$B$375,0),68)+BO236</f>
        <v>1</v>
      </c>
    </row>
    <row r="237" spans="2:69" s="6" customFormat="1" ht="50.1" customHeight="1">
      <c r="B237" s="201">
        <f>'1月'!$B$237</f>
        <v>0</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600"/>
      <c r="AH237" s="601"/>
      <c r="AI237" s="569"/>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102">
        <f t="shared" si="41"/>
        <v>0</v>
      </c>
      <c r="BO237" s="47">
        <f t="shared" si="42"/>
        <v>0</v>
      </c>
      <c r="BP237" s="631"/>
      <c r="BQ237" s="702"/>
    </row>
    <row r="238" spans="2:69" s="6" customFormat="1" ht="50.1" customHeight="1">
      <c r="B238" s="201" t="str">
        <f>'1月'!$B$238</f>
        <v>久保　沙織</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600"/>
      <c r="AH238" s="601"/>
      <c r="AI238" s="569"/>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102">
        <f t="shared" si="41"/>
        <v>0</v>
      </c>
      <c r="BO238" s="47">
        <f t="shared" si="42"/>
        <v>0</v>
      </c>
      <c r="BP238" s="631">
        <f>INDEX('2月'!$B$4:$BQ$375,MATCH('3月'!B238,'2月'!$B$4:$B$375,0),67)+BN238</f>
        <v>0</v>
      </c>
      <c r="BQ238" s="702">
        <f>INDEX('2月'!$B$4:$BQ$375,MATCH('3月'!B238,'2月'!$B$4:$B$375,0),68)+BO238</f>
        <v>0</v>
      </c>
    </row>
    <row r="239" spans="2:69" s="6" customFormat="1" ht="50.1" customHeight="1">
      <c r="B239" s="201" t="str">
        <f>'1月'!$B$239</f>
        <v>坂ノ上　愛莉</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600"/>
      <c r="AH239" s="601"/>
      <c r="AI239" s="569"/>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102">
        <f t="shared" si="41"/>
        <v>0</v>
      </c>
      <c r="BO239" s="47">
        <f t="shared" si="42"/>
        <v>0</v>
      </c>
      <c r="BP239" s="631">
        <f>INDEX('2月'!$B$4:$BQ$375,MATCH('3月'!B239,'2月'!$B$4:$B$375,0),67)+BN239</f>
        <v>0</v>
      </c>
      <c r="BQ239" s="702">
        <f>INDEX('2月'!$B$4:$BQ$375,MATCH('3月'!B239,'2月'!$B$4:$B$375,0),68)+BO239</f>
        <v>0</v>
      </c>
    </row>
    <row r="240" spans="2:69" s="6" customFormat="1" ht="50.1" customHeight="1">
      <c r="B240" s="201" t="str">
        <f>'1月'!$B$240</f>
        <v>種市　由希枝</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600"/>
      <c r="AH240" s="601"/>
      <c r="AI240" s="569"/>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102">
        <f t="shared" si="41"/>
        <v>0</v>
      </c>
      <c r="BO240" s="47">
        <f t="shared" si="42"/>
        <v>0</v>
      </c>
      <c r="BP240" s="631">
        <f>INDEX('2月'!$B$4:$BQ$375,MATCH('3月'!B240,'2月'!$B$4:$B$375,0),67)+BN240</f>
        <v>0</v>
      </c>
      <c r="BQ240" s="702">
        <f>INDEX('2月'!$B$4:$BQ$375,MATCH('3月'!B240,'2月'!$B$4:$B$375,0),68)+BO240</f>
        <v>0</v>
      </c>
    </row>
    <row r="241" spans="2:69" s="6" customFormat="1" ht="50.1" customHeight="1">
      <c r="B241" s="201" t="str">
        <f>'1月'!$B$241</f>
        <v>西村　夏希</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600"/>
      <c r="AH241" s="601"/>
      <c r="AI241" s="569"/>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102">
        <f t="shared" si="41"/>
        <v>0</v>
      </c>
      <c r="BO241" s="47">
        <f t="shared" si="42"/>
        <v>0</v>
      </c>
      <c r="BP241" s="631">
        <f>INDEX('2月'!$B$4:$BQ$375,MATCH('3月'!B241,'2月'!$B$4:$B$375,0),67)+BN241</f>
        <v>0</v>
      </c>
      <c r="BQ241" s="702">
        <f>INDEX('2月'!$B$4:$BQ$375,MATCH('3月'!B241,'2月'!$B$4:$B$375,0),68)+BO241</f>
        <v>0</v>
      </c>
    </row>
    <row r="242" spans="2:69" s="6" customFormat="1" ht="50.1" customHeight="1">
      <c r="B242" s="201" t="str">
        <f>'1月'!$B$242</f>
        <v>三浦　賢子</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600"/>
      <c r="AH242" s="601"/>
      <c r="AI242" s="569"/>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102">
        <f t="shared" si="41"/>
        <v>0</v>
      </c>
      <c r="BO242" s="47">
        <f t="shared" si="42"/>
        <v>0</v>
      </c>
      <c r="BP242" s="631">
        <f>INDEX('2月'!$B$4:$BQ$375,MATCH('3月'!B242,'2月'!$B$4:$B$375,0),67)+BN242</f>
        <v>2</v>
      </c>
      <c r="BQ242" s="702">
        <f>INDEX('2月'!$B$4:$BQ$375,MATCH('3月'!B242,'2月'!$B$4:$B$375,0),68)+BO242</f>
        <v>4</v>
      </c>
    </row>
    <row r="243" spans="2:69" s="6" customFormat="1" ht="50.1" customHeight="1">
      <c r="B243" s="201" t="str">
        <f>'1月'!$B$243</f>
        <v>山田　隆広</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600"/>
      <c r="AH243" s="601"/>
      <c r="AI243" s="569"/>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102">
        <f t="shared" si="41"/>
        <v>0</v>
      </c>
      <c r="BO243" s="47">
        <f t="shared" si="42"/>
        <v>0</v>
      </c>
      <c r="BP243" s="631">
        <f>INDEX('2月'!$B$4:$BQ$375,MATCH('3月'!B243,'2月'!$B$4:$B$375,0),67)+BN243</f>
        <v>0</v>
      </c>
      <c r="BQ243" s="702">
        <f>INDEX('2月'!$B$4:$BQ$375,MATCH('3月'!B243,'2月'!$B$4:$B$375,0),68)+BO243</f>
        <v>0</v>
      </c>
    </row>
    <row r="244" spans="2:69" s="6" customFormat="1" ht="50.1" customHeight="1">
      <c r="B244" s="201" t="str">
        <f>'1月'!$B$244</f>
        <v>本部</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600"/>
      <c r="AH244" s="601"/>
      <c r="AI244" s="569"/>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102">
        <f t="shared" si="41"/>
        <v>0</v>
      </c>
      <c r="BO244" s="47">
        <f t="shared" si="42"/>
        <v>0</v>
      </c>
      <c r="BP244" s="631">
        <f>INDEX('2月'!$B$4:$BQ$375,MATCH('3月'!B244,'2月'!$B$4:$B$375,0),67)+BN244</f>
        <v>2</v>
      </c>
      <c r="BQ244" s="702">
        <f>INDEX('2月'!$B$4:$BQ$375,MATCH('3月'!B244,'2月'!$B$4:$B$375,0),68)+BO244</f>
        <v>2</v>
      </c>
    </row>
    <row r="245" spans="2:69" s="6" customFormat="1" ht="50.1" customHeight="1" thickBot="1">
      <c r="B245" s="206" t="str">
        <f>'1月'!$B$245</f>
        <v>受籍</v>
      </c>
      <c r="C245" s="148"/>
      <c r="D245" s="48"/>
      <c r="E245" s="24"/>
      <c r="F245" s="48"/>
      <c r="G245" s="24"/>
      <c r="H245" s="48"/>
      <c r="I245" s="24"/>
      <c r="J245" s="48"/>
      <c r="K245" s="24"/>
      <c r="L245" s="48"/>
      <c r="M245" s="24"/>
      <c r="N245" s="48"/>
      <c r="O245" s="24"/>
      <c r="P245" s="48"/>
      <c r="Q245" s="24"/>
      <c r="R245" s="48"/>
      <c r="S245" s="24"/>
      <c r="T245" s="48"/>
      <c r="U245" s="24"/>
      <c r="V245" s="48"/>
      <c r="W245" s="24"/>
      <c r="X245" s="48"/>
      <c r="Y245" s="24"/>
      <c r="Z245" s="48"/>
      <c r="AA245" s="24"/>
      <c r="AB245" s="48"/>
      <c r="AC245" s="24"/>
      <c r="AD245" s="48"/>
      <c r="AE245" s="24"/>
      <c r="AF245" s="48"/>
      <c r="AG245" s="25"/>
      <c r="AH245" s="601"/>
      <c r="AI245" s="569"/>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102">
        <f t="shared" si="41"/>
        <v>0</v>
      </c>
      <c r="BO245" s="47">
        <f t="shared" si="42"/>
        <v>0</v>
      </c>
      <c r="BP245" s="631">
        <f>INDEX('2月'!$B$4:$BQ$375,MATCH('3月'!B245,'2月'!$B$4:$B$375,0),67)+BN245</f>
        <v>0</v>
      </c>
      <c r="BQ245" s="702">
        <f>INDEX('2月'!$B$4:$BQ$375,MATCH('3月'!B245,'2月'!$B$4:$B$375,0),68)+BO245</f>
        <v>0</v>
      </c>
    </row>
    <row r="246" spans="2:69" s="6" customFormat="1" ht="39" customHeight="1" thickBot="1">
      <c r="B246" s="119" t="s">
        <v>101</v>
      </c>
      <c r="C246" s="149"/>
      <c r="D246" s="29">
        <f t="shared" ref="D246:AI246" si="43">SUM(D227:D245)</f>
        <v>0</v>
      </c>
      <c r="E246" s="31">
        <f t="shared" si="43"/>
        <v>0</v>
      </c>
      <c r="F246" s="29">
        <f t="shared" si="43"/>
        <v>0</v>
      </c>
      <c r="G246" s="31">
        <f t="shared" si="43"/>
        <v>0</v>
      </c>
      <c r="H246" s="29">
        <f t="shared" si="43"/>
        <v>0</v>
      </c>
      <c r="I246" s="31">
        <f t="shared" si="43"/>
        <v>0</v>
      </c>
      <c r="J246" s="29">
        <f t="shared" si="43"/>
        <v>0</v>
      </c>
      <c r="K246" s="31">
        <f t="shared" si="43"/>
        <v>0</v>
      </c>
      <c r="L246" s="29">
        <f t="shared" si="43"/>
        <v>0</v>
      </c>
      <c r="M246" s="31">
        <f t="shared" si="43"/>
        <v>0</v>
      </c>
      <c r="N246" s="29">
        <f t="shared" si="43"/>
        <v>0</v>
      </c>
      <c r="O246" s="31">
        <f t="shared" si="43"/>
        <v>0</v>
      </c>
      <c r="P246" s="29">
        <f t="shared" si="43"/>
        <v>0</v>
      </c>
      <c r="Q246" s="31">
        <f t="shared" si="43"/>
        <v>0</v>
      </c>
      <c r="R246" s="29">
        <f t="shared" si="43"/>
        <v>0</v>
      </c>
      <c r="S246" s="31">
        <f t="shared" si="43"/>
        <v>0</v>
      </c>
      <c r="T246" s="29">
        <f t="shared" si="43"/>
        <v>0</v>
      </c>
      <c r="U246" s="31">
        <f t="shared" si="43"/>
        <v>0</v>
      </c>
      <c r="V246" s="29">
        <f t="shared" si="43"/>
        <v>0</v>
      </c>
      <c r="W246" s="31">
        <f t="shared" si="43"/>
        <v>0</v>
      </c>
      <c r="X246" s="29">
        <f t="shared" si="43"/>
        <v>0</v>
      </c>
      <c r="Y246" s="31">
        <f t="shared" si="43"/>
        <v>0</v>
      </c>
      <c r="Z246" s="29">
        <f t="shared" si="43"/>
        <v>0</v>
      </c>
      <c r="AA246" s="31">
        <f t="shared" si="43"/>
        <v>0</v>
      </c>
      <c r="AB246" s="29">
        <f t="shared" si="43"/>
        <v>0</v>
      </c>
      <c r="AC246" s="31">
        <f t="shared" si="43"/>
        <v>0</v>
      </c>
      <c r="AD246" s="29">
        <f t="shared" si="43"/>
        <v>0</v>
      </c>
      <c r="AE246" s="31">
        <f t="shared" si="43"/>
        <v>0</v>
      </c>
      <c r="AF246" s="29">
        <f t="shared" si="43"/>
        <v>0</v>
      </c>
      <c r="AG246" s="41">
        <f t="shared" si="43"/>
        <v>0</v>
      </c>
      <c r="AH246" s="39">
        <f t="shared" si="43"/>
        <v>0</v>
      </c>
      <c r="AI246" s="31">
        <f t="shared" si="43"/>
        <v>0</v>
      </c>
      <c r="AJ246" s="29">
        <f t="shared" ref="AJ246:BO246" si="44">SUM(AJ227:AJ245)</f>
        <v>0</v>
      </c>
      <c r="AK246" s="31">
        <f t="shared" si="44"/>
        <v>0</v>
      </c>
      <c r="AL246" s="29">
        <f t="shared" si="44"/>
        <v>0</v>
      </c>
      <c r="AM246" s="31">
        <f t="shared" si="44"/>
        <v>0</v>
      </c>
      <c r="AN246" s="29">
        <f t="shared" si="44"/>
        <v>0</v>
      </c>
      <c r="AO246" s="31">
        <f t="shared" si="44"/>
        <v>0</v>
      </c>
      <c r="AP246" s="29">
        <f t="shared" si="44"/>
        <v>0</v>
      </c>
      <c r="AQ246" s="29">
        <f t="shared" si="44"/>
        <v>0</v>
      </c>
      <c r="AR246" s="29">
        <f t="shared" si="44"/>
        <v>0</v>
      </c>
      <c r="AS246" s="31">
        <f t="shared" si="44"/>
        <v>0</v>
      </c>
      <c r="AT246" s="29">
        <f t="shared" si="44"/>
        <v>0</v>
      </c>
      <c r="AU246" s="31">
        <f t="shared" si="44"/>
        <v>0</v>
      </c>
      <c r="AV246" s="29">
        <f t="shared" si="44"/>
        <v>0</v>
      </c>
      <c r="AW246" s="31">
        <f t="shared" si="44"/>
        <v>0</v>
      </c>
      <c r="AX246" s="29">
        <f t="shared" si="44"/>
        <v>0</v>
      </c>
      <c r="AY246" s="31">
        <f t="shared" si="44"/>
        <v>0</v>
      </c>
      <c r="AZ246" s="29">
        <f t="shared" si="44"/>
        <v>0</v>
      </c>
      <c r="BA246" s="31">
        <f t="shared" si="44"/>
        <v>0</v>
      </c>
      <c r="BB246" s="29">
        <f t="shared" si="44"/>
        <v>0</v>
      </c>
      <c r="BC246" s="31">
        <f t="shared" si="44"/>
        <v>0</v>
      </c>
      <c r="BD246" s="29">
        <f t="shared" si="44"/>
        <v>0</v>
      </c>
      <c r="BE246" s="31">
        <f t="shared" si="44"/>
        <v>0</v>
      </c>
      <c r="BF246" s="29">
        <f t="shared" si="44"/>
        <v>0</v>
      </c>
      <c r="BG246" s="31">
        <f t="shared" si="44"/>
        <v>0</v>
      </c>
      <c r="BH246" s="29">
        <f t="shared" si="44"/>
        <v>0</v>
      </c>
      <c r="BI246" s="31">
        <f t="shared" si="44"/>
        <v>0</v>
      </c>
      <c r="BJ246" s="29">
        <f t="shared" si="44"/>
        <v>0</v>
      </c>
      <c r="BK246" s="41">
        <f t="shared" si="44"/>
        <v>0</v>
      </c>
      <c r="BL246" s="39">
        <f t="shared" si="44"/>
        <v>0</v>
      </c>
      <c r="BM246" s="31">
        <f t="shared" si="44"/>
        <v>0</v>
      </c>
      <c r="BN246" s="32">
        <f t="shared" si="44"/>
        <v>0</v>
      </c>
      <c r="BO246" s="41">
        <f t="shared" si="44"/>
        <v>0</v>
      </c>
      <c r="BP246" s="257">
        <f>SUM(BP227:BP245)</f>
        <v>14</v>
      </c>
      <c r="BQ246" s="240">
        <f>SUM(BQ227:BQ245)</f>
        <v>17</v>
      </c>
    </row>
    <row r="247" spans="2:69" ht="24.75" customHeight="1">
      <c r="B247" s="120"/>
      <c r="AG247" s="34"/>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34"/>
      <c r="BL247" s="7"/>
      <c r="BM247" s="34"/>
      <c r="BN247" s="7"/>
      <c r="BO247" s="7"/>
      <c r="BP247" s="238"/>
      <c r="BQ247" s="239"/>
    </row>
    <row r="248" spans="2:69" ht="24.75" customHeight="1" thickBot="1">
      <c r="B248" s="120"/>
      <c r="AG248" s="8"/>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8"/>
      <c r="BL248" s="7"/>
      <c r="BM248" s="8"/>
      <c r="BN248" s="7"/>
      <c r="BO248" s="7"/>
    </row>
    <row r="249" spans="2:69" ht="24.95" customHeight="1">
      <c r="B249" s="743" t="s">
        <v>54</v>
      </c>
      <c r="C249" s="749">
        <f>COUNTIF(B252:B257,"*")</f>
        <v>4</v>
      </c>
      <c r="D249" s="751">
        <v>1</v>
      </c>
      <c r="E249" s="738"/>
      <c r="F249" s="737">
        <v>2</v>
      </c>
      <c r="G249" s="738"/>
      <c r="H249" s="737">
        <v>3</v>
      </c>
      <c r="I249" s="738"/>
      <c r="J249" s="737">
        <v>4</v>
      </c>
      <c r="K249" s="738"/>
      <c r="L249" s="737">
        <v>5</v>
      </c>
      <c r="M249" s="738"/>
      <c r="N249" s="737">
        <v>6</v>
      </c>
      <c r="O249" s="738"/>
      <c r="P249" s="737">
        <v>7</v>
      </c>
      <c r="Q249" s="738"/>
      <c r="R249" s="737">
        <v>8</v>
      </c>
      <c r="S249" s="738"/>
      <c r="T249" s="737">
        <v>9</v>
      </c>
      <c r="U249" s="738"/>
      <c r="V249" s="737">
        <v>10</v>
      </c>
      <c r="W249" s="738"/>
      <c r="X249" s="737">
        <v>11</v>
      </c>
      <c r="Y249" s="738"/>
      <c r="Z249" s="737">
        <v>12</v>
      </c>
      <c r="AA249" s="738"/>
      <c r="AB249" s="737">
        <v>13</v>
      </c>
      <c r="AC249" s="738"/>
      <c r="AD249" s="737">
        <v>14</v>
      </c>
      <c r="AE249" s="738"/>
      <c r="AF249" s="737">
        <v>15</v>
      </c>
      <c r="AG249" s="742"/>
      <c r="AH249" s="741">
        <v>16</v>
      </c>
      <c r="AI249" s="741"/>
      <c r="AJ249" s="741">
        <v>17</v>
      </c>
      <c r="AK249" s="741"/>
      <c r="AL249" s="741">
        <v>18</v>
      </c>
      <c r="AM249" s="741"/>
      <c r="AN249" s="741">
        <v>19</v>
      </c>
      <c r="AO249" s="741"/>
      <c r="AP249" s="741">
        <v>20</v>
      </c>
      <c r="AQ249" s="741"/>
      <c r="AR249" s="741">
        <v>21</v>
      </c>
      <c r="AS249" s="741"/>
      <c r="AT249" s="741">
        <v>22</v>
      </c>
      <c r="AU249" s="741"/>
      <c r="AV249" s="741">
        <v>23</v>
      </c>
      <c r="AW249" s="741"/>
      <c r="AX249" s="741">
        <v>24</v>
      </c>
      <c r="AY249" s="741"/>
      <c r="AZ249" s="741">
        <v>25</v>
      </c>
      <c r="BA249" s="741"/>
      <c r="BB249" s="741">
        <v>26</v>
      </c>
      <c r="BC249" s="741"/>
      <c r="BD249" s="741">
        <v>27</v>
      </c>
      <c r="BE249" s="741"/>
      <c r="BF249" s="741">
        <v>28</v>
      </c>
      <c r="BG249" s="741"/>
      <c r="BH249" s="741">
        <v>29</v>
      </c>
      <c r="BI249" s="741"/>
      <c r="BJ249" s="741">
        <v>30</v>
      </c>
      <c r="BK249" s="741"/>
      <c r="BL249" s="741">
        <v>31</v>
      </c>
      <c r="BM249" s="741"/>
      <c r="BN249" s="738" t="s">
        <v>251</v>
      </c>
      <c r="BO249" s="760"/>
      <c r="BP249" s="771" t="s">
        <v>353</v>
      </c>
      <c r="BQ249" s="772"/>
    </row>
    <row r="250" spans="2:69" ht="24.95" customHeight="1">
      <c r="B250" s="744"/>
      <c r="C250" s="747"/>
      <c r="D250" s="752" t="str">
        <f>D2</f>
        <v>土</v>
      </c>
      <c r="E250" s="740"/>
      <c r="F250" s="739" t="str">
        <f>F2</f>
        <v>日</v>
      </c>
      <c r="G250" s="740"/>
      <c r="H250" s="739" t="str">
        <f>H2</f>
        <v>月</v>
      </c>
      <c r="I250" s="740"/>
      <c r="J250" s="739" t="str">
        <f>J2</f>
        <v>火</v>
      </c>
      <c r="K250" s="740"/>
      <c r="L250" s="739" t="str">
        <f>L2</f>
        <v>水</v>
      </c>
      <c r="M250" s="740"/>
      <c r="N250" s="739" t="str">
        <f>N2</f>
        <v>木</v>
      </c>
      <c r="O250" s="740"/>
      <c r="P250" s="739" t="str">
        <f>P2</f>
        <v>金</v>
      </c>
      <c r="Q250" s="740"/>
      <c r="R250" s="739" t="str">
        <f>R2</f>
        <v>土</v>
      </c>
      <c r="S250" s="740"/>
      <c r="T250" s="739" t="str">
        <f>T2</f>
        <v>日</v>
      </c>
      <c r="U250" s="740"/>
      <c r="V250" s="739" t="str">
        <f>V2</f>
        <v>月</v>
      </c>
      <c r="W250" s="740"/>
      <c r="X250" s="739" t="str">
        <f>X2</f>
        <v>火</v>
      </c>
      <c r="Y250" s="740"/>
      <c r="Z250" s="739" t="str">
        <f>Z2</f>
        <v>水</v>
      </c>
      <c r="AA250" s="740"/>
      <c r="AB250" s="739" t="str">
        <f>AB2</f>
        <v>木</v>
      </c>
      <c r="AC250" s="740"/>
      <c r="AD250" s="739" t="str">
        <f>AD2</f>
        <v>金</v>
      </c>
      <c r="AE250" s="740"/>
      <c r="AF250" s="739" t="str">
        <f>AF2</f>
        <v>土</v>
      </c>
      <c r="AG250" s="756"/>
      <c r="AH250" s="768" t="str">
        <f>AH2</f>
        <v>日</v>
      </c>
      <c r="AI250" s="769"/>
      <c r="AJ250" s="770" t="str">
        <f>AJ2</f>
        <v>月</v>
      </c>
      <c r="AK250" s="770"/>
      <c r="AL250" s="770" t="str">
        <f>AL2</f>
        <v>火</v>
      </c>
      <c r="AM250" s="770"/>
      <c r="AN250" s="770" t="str">
        <f>AN2</f>
        <v>水</v>
      </c>
      <c r="AO250" s="770"/>
      <c r="AP250" s="770" t="str">
        <f>AP2</f>
        <v>木</v>
      </c>
      <c r="AQ250" s="770"/>
      <c r="AR250" s="770" t="str">
        <f>AR2</f>
        <v>金</v>
      </c>
      <c r="AS250" s="770"/>
      <c r="AT250" s="770" t="str">
        <f>AT2</f>
        <v>土</v>
      </c>
      <c r="AU250" s="770"/>
      <c r="AV250" s="770" t="str">
        <f>AV2</f>
        <v>日</v>
      </c>
      <c r="AW250" s="770"/>
      <c r="AX250" s="770" t="str">
        <f>AX2</f>
        <v>月</v>
      </c>
      <c r="AY250" s="770"/>
      <c r="AZ250" s="770" t="str">
        <f>AZ2</f>
        <v>火</v>
      </c>
      <c r="BA250" s="770"/>
      <c r="BB250" s="770" t="str">
        <f>BB2</f>
        <v>水</v>
      </c>
      <c r="BC250" s="770"/>
      <c r="BD250" s="770" t="str">
        <f>BD2</f>
        <v>木</v>
      </c>
      <c r="BE250" s="770"/>
      <c r="BF250" s="770" t="str">
        <f>BF2</f>
        <v>金</v>
      </c>
      <c r="BG250" s="770"/>
      <c r="BH250" s="770" t="str">
        <f>BH2</f>
        <v>土</v>
      </c>
      <c r="BI250" s="770"/>
      <c r="BJ250" s="770" t="str">
        <f>BJ2</f>
        <v>日</v>
      </c>
      <c r="BK250" s="770"/>
      <c r="BL250" s="770" t="str">
        <f>BL2</f>
        <v>月</v>
      </c>
      <c r="BM250" s="770"/>
      <c r="BN250" s="761"/>
      <c r="BO250" s="762"/>
      <c r="BP250" s="773"/>
      <c r="BQ250" s="774"/>
    </row>
    <row r="251" spans="2:69" ht="24.95" customHeight="1" thickBot="1">
      <c r="B251" s="748"/>
      <c r="C251" s="750"/>
      <c r="D251" s="92" t="s">
        <v>72</v>
      </c>
      <c r="E251" s="93" t="s">
        <v>73</v>
      </c>
      <c r="F251" s="97" t="s">
        <v>72</v>
      </c>
      <c r="G251" s="93" t="s">
        <v>73</v>
      </c>
      <c r="H251" s="97" t="s">
        <v>72</v>
      </c>
      <c r="I251" s="93" t="s">
        <v>73</v>
      </c>
      <c r="J251" s="92" t="s">
        <v>72</v>
      </c>
      <c r="K251" s="93" t="s">
        <v>73</v>
      </c>
      <c r="L251" s="92" t="s">
        <v>72</v>
      </c>
      <c r="M251" s="93" t="s">
        <v>73</v>
      </c>
      <c r="N251" s="92" t="s">
        <v>72</v>
      </c>
      <c r="O251" s="93" t="s">
        <v>73</v>
      </c>
      <c r="P251" s="92" t="s">
        <v>72</v>
      </c>
      <c r="Q251" s="93" t="s">
        <v>73</v>
      </c>
      <c r="R251" s="92" t="s">
        <v>72</v>
      </c>
      <c r="S251" s="93" t="s">
        <v>73</v>
      </c>
      <c r="T251" s="92" t="s">
        <v>72</v>
      </c>
      <c r="U251" s="93" t="s">
        <v>73</v>
      </c>
      <c r="V251" s="92" t="s">
        <v>72</v>
      </c>
      <c r="W251" s="93" t="s">
        <v>73</v>
      </c>
      <c r="X251" s="92" t="s">
        <v>72</v>
      </c>
      <c r="Y251" s="93" t="s">
        <v>73</v>
      </c>
      <c r="Z251" s="92" t="s">
        <v>72</v>
      </c>
      <c r="AA251" s="94" t="s">
        <v>73</v>
      </c>
      <c r="AB251" s="159" t="s">
        <v>72</v>
      </c>
      <c r="AC251" s="94" t="s">
        <v>73</v>
      </c>
      <c r="AD251" s="159" t="s">
        <v>72</v>
      </c>
      <c r="AE251" s="94" t="s">
        <v>73</v>
      </c>
      <c r="AF251" s="159" t="s">
        <v>72</v>
      </c>
      <c r="AG251" s="94" t="s">
        <v>73</v>
      </c>
      <c r="AH251" s="159" t="s">
        <v>72</v>
      </c>
      <c r="AI251" s="93" t="s">
        <v>73</v>
      </c>
      <c r="AJ251" s="97" t="s">
        <v>72</v>
      </c>
      <c r="AK251" s="93" t="s">
        <v>73</v>
      </c>
      <c r="AL251" s="97" t="s">
        <v>72</v>
      </c>
      <c r="AM251" s="93" t="s">
        <v>73</v>
      </c>
      <c r="AN251" s="92" t="s">
        <v>72</v>
      </c>
      <c r="AO251" s="93" t="s">
        <v>73</v>
      </c>
      <c r="AP251" s="92" t="s">
        <v>72</v>
      </c>
      <c r="AQ251" s="93" t="s">
        <v>73</v>
      </c>
      <c r="AR251" s="92" t="s">
        <v>72</v>
      </c>
      <c r="AS251" s="93" t="s">
        <v>73</v>
      </c>
      <c r="AT251" s="92" t="s">
        <v>72</v>
      </c>
      <c r="AU251" s="93" t="s">
        <v>73</v>
      </c>
      <c r="AV251" s="92" t="s">
        <v>72</v>
      </c>
      <c r="AW251" s="93" t="s">
        <v>73</v>
      </c>
      <c r="AX251" s="92" t="s">
        <v>72</v>
      </c>
      <c r="AY251" s="93" t="s">
        <v>73</v>
      </c>
      <c r="AZ251" s="92" t="s">
        <v>72</v>
      </c>
      <c r="BA251" s="93" t="s">
        <v>73</v>
      </c>
      <c r="BB251" s="92" t="s">
        <v>72</v>
      </c>
      <c r="BC251" s="93" t="s">
        <v>73</v>
      </c>
      <c r="BD251" s="92" t="s">
        <v>72</v>
      </c>
      <c r="BE251" s="94" t="s">
        <v>73</v>
      </c>
      <c r="BF251" s="159" t="s">
        <v>72</v>
      </c>
      <c r="BG251" s="94" t="s">
        <v>73</v>
      </c>
      <c r="BH251" s="159" t="s">
        <v>72</v>
      </c>
      <c r="BI251" s="94" t="s">
        <v>73</v>
      </c>
      <c r="BJ251" s="159" t="s">
        <v>72</v>
      </c>
      <c r="BK251" s="94" t="s">
        <v>73</v>
      </c>
      <c r="BL251" s="159" t="s">
        <v>72</v>
      </c>
      <c r="BM251" s="94" t="s">
        <v>73</v>
      </c>
      <c r="BN251" s="98" t="s">
        <v>72</v>
      </c>
      <c r="BO251" s="107" t="s">
        <v>73</v>
      </c>
      <c r="BP251" s="236" t="s">
        <v>252</v>
      </c>
      <c r="BQ251" s="237" t="s">
        <v>254</v>
      </c>
    </row>
    <row r="252" spans="2:69" s="6" customFormat="1" ht="50.1" customHeight="1" thickTop="1">
      <c r="B252" s="201" t="str">
        <f>'1月'!$B$252</f>
        <v>林　覚弘</v>
      </c>
      <c r="C252" s="146"/>
      <c r="D252" s="18"/>
      <c r="E252" s="14"/>
      <c r="F252" s="18"/>
      <c r="G252" s="14"/>
      <c r="H252" s="18"/>
      <c r="I252" s="14"/>
      <c r="J252" s="18"/>
      <c r="K252" s="14"/>
      <c r="L252" s="18"/>
      <c r="M252" s="14"/>
      <c r="N252" s="18"/>
      <c r="O252" s="14"/>
      <c r="P252" s="18"/>
      <c r="Q252" s="14"/>
      <c r="R252" s="18"/>
      <c r="S252" s="14"/>
      <c r="T252" s="18"/>
      <c r="U252" s="14"/>
      <c r="V252" s="18"/>
      <c r="W252" s="14"/>
      <c r="X252" s="18"/>
      <c r="Y252" s="14"/>
      <c r="Z252" s="18"/>
      <c r="AA252" s="14"/>
      <c r="AB252" s="18"/>
      <c r="AC252" s="14"/>
      <c r="AD252" s="18"/>
      <c r="AE252" s="14"/>
      <c r="AF252" s="18"/>
      <c r="AG252" s="600"/>
      <c r="AH252" s="601"/>
      <c r="AI252" s="569"/>
      <c r="AJ252" s="18"/>
      <c r="AK252" s="14"/>
      <c r="AL252" s="18"/>
      <c r="AM252" s="14"/>
      <c r="AN252" s="18"/>
      <c r="AO252" s="14"/>
      <c r="AP252" s="18"/>
      <c r="AQ252" s="14"/>
      <c r="AR252" s="18"/>
      <c r="AS252" s="14"/>
      <c r="AT252" s="18"/>
      <c r="AU252" s="14"/>
      <c r="AV252" s="18"/>
      <c r="AW252" s="14"/>
      <c r="AX252" s="18"/>
      <c r="AY252" s="14"/>
      <c r="AZ252" s="18"/>
      <c r="BA252" s="14"/>
      <c r="BB252" s="18"/>
      <c r="BC252" s="14"/>
      <c r="BD252" s="18"/>
      <c r="BE252" s="14"/>
      <c r="BF252" s="18"/>
      <c r="BG252" s="14"/>
      <c r="BH252" s="18"/>
      <c r="BI252" s="14"/>
      <c r="BJ252" s="18"/>
      <c r="BK252" s="15"/>
      <c r="BL252" s="37"/>
      <c r="BM252" s="14"/>
      <c r="BN252" s="102">
        <f t="shared" ref="BN252:BO257" si="45">SUM(D252,F252,H252,J252,L252,N252,P252,R252,T252,V252,X252,Z252,AB252,AD252,AF252,AH252,AJ252,AL252,AN252,AP252,AR252,AT252,AV252,AX252,AZ252,BB252,BD252,BF252,BH252,BJ252,BL252)</f>
        <v>0</v>
      </c>
      <c r="BO252" s="47">
        <f t="shared" si="45"/>
        <v>0</v>
      </c>
      <c r="BP252" s="631">
        <f>INDEX('2月'!$B$4:$BQ$375,MATCH('3月'!B252,'2月'!$B$4:$B$375,0),67)+BN252</f>
        <v>0</v>
      </c>
      <c r="BQ252" s="702">
        <f>INDEX('2月'!$B$4:$BQ$375,MATCH('3月'!B252,'2月'!$B$4:$B$375,0),68)+BO252</f>
        <v>0</v>
      </c>
    </row>
    <row r="253" spans="2:69" s="6" customFormat="1" ht="50.1" customHeight="1">
      <c r="B253" s="202" t="str">
        <f>'1月'!$B$253</f>
        <v>松橋　誠</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600"/>
      <c r="AH253" s="601"/>
      <c r="AI253" s="569"/>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102">
        <f t="shared" si="45"/>
        <v>0</v>
      </c>
      <c r="BO253" s="47">
        <f t="shared" si="45"/>
        <v>0</v>
      </c>
      <c r="BP253" s="631">
        <f>INDEX('2月'!$B$4:$BQ$375,MATCH('3月'!B253,'2月'!$B$4:$B$375,0),67)+BN253</f>
        <v>2</v>
      </c>
      <c r="BQ253" s="702">
        <f>INDEX('2月'!$B$4:$BQ$375,MATCH('3月'!B253,'2月'!$B$4:$B$375,0),68)+BO253</f>
        <v>4</v>
      </c>
    </row>
    <row r="254" spans="2:69" s="6" customFormat="1" ht="50.1" customHeight="1">
      <c r="B254" s="201" t="str">
        <f>'1月'!$B$254</f>
        <v>三田　亮</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600"/>
      <c r="AH254" s="601"/>
      <c r="AI254" s="569"/>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102">
        <f t="shared" si="45"/>
        <v>0</v>
      </c>
      <c r="BO254" s="47">
        <f t="shared" si="45"/>
        <v>0</v>
      </c>
      <c r="BP254" s="631">
        <f>INDEX('2月'!$B$4:$BQ$375,MATCH('3月'!B254,'2月'!$B$4:$B$375,0),67)+BN254</f>
        <v>0</v>
      </c>
      <c r="BQ254" s="702">
        <f>INDEX('2月'!$B$4:$BQ$375,MATCH('3月'!B254,'2月'!$B$4:$B$375,0),68)+BO254</f>
        <v>0</v>
      </c>
    </row>
    <row r="255" spans="2:69" s="6" customFormat="1" ht="50.1" customHeight="1">
      <c r="B255" s="201" t="str">
        <f>'1月'!$B$255</f>
        <v>橋本　収史</v>
      </c>
      <c r="C255" s="147"/>
      <c r="D255" s="18"/>
      <c r="E255" s="14"/>
      <c r="F255" s="50"/>
      <c r="G255" s="20"/>
      <c r="H255" s="50"/>
      <c r="I255" s="20"/>
      <c r="J255" s="50"/>
      <c r="K255" s="20"/>
      <c r="L255" s="50"/>
      <c r="M255" s="20"/>
      <c r="N255" s="50"/>
      <c r="O255" s="20"/>
      <c r="P255" s="50"/>
      <c r="Q255" s="20"/>
      <c r="R255" s="50"/>
      <c r="S255" s="20"/>
      <c r="T255" s="50"/>
      <c r="U255" s="20"/>
      <c r="V255" s="50"/>
      <c r="W255" s="20"/>
      <c r="X255" s="50"/>
      <c r="Y255" s="20"/>
      <c r="Z255" s="50"/>
      <c r="AA255" s="20"/>
      <c r="AB255" s="50"/>
      <c r="AC255" s="20"/>
      <c r="AD255" s="50"/>
      <c r="AE255" s="20"/>
      <c r="AF255" s="18"/>
      <c r="AG255" s="594"/>
      <c r="AH255" s="612"/>
      <c r="AI255" s="593"/>
      <c r="AJ255" s="50"/>
      <c r="AK255" s="20"/>
      <c r="AL255" s="50"/>
      <c r="AM255" s="20"/>
      <c r="AN255" s="50"/>
      <c r="AO255" s="20"/>
      <c r="AP255" s="50"/>
      <c r="AQ255" s="20"/>
      <c r="AR255" s="50"/>
      <c r="AS255" s="20"/>
      <c r="AT255" s="50"/>
      <c r="AU255" s="20"/>
      <c r="AV255" s="50"/>
      <c r="AW255" s="20"/>
      <c r="AX255" s="50"/>
      <c r="AY255" s="20"/>
      <c r="AZ255" s="50"/>
      <c r="BA255" s="20"/>
      <c r="BB255" s="50"/>
      <c r="BC255" s="20"/>
      <c r="BD255" s="50"/>
      <c r="BE255" s="20"/>
      <c r="BF255" s="50"/>
      <c r="BG255" s="20"/>
      <c r="BH255" s="50"/>
      <c r="BI255" s="20"/>
      <c r="BJ255" s="50"/>
      <c r="BK255" s="21"/>
      <c r="BL255" s="38"/>
      <c r="BM255" s="20"/>
      <c r="BN255" s="102">
        <f t="shared" si="45"/>
        <v>0</v>
      </c>
      <c r="BO255" s="47">
        <f t="shared" si="45"/>
        <v>0</v>
      </c>
      <c r="BP255" s="631">
        <f>INDEX('2月'!$B$4:$BQ$375,MATCH('3月'!B255,'2月'!$B$4:$B$375,0),67)+BN255</f>
        <v>0</v>
      </c>
      <c r="BQ255" s="702">
        <f>INDEX('2月'!$B$4:$BQ$375,MATCH('3月'!B255,'2月'!$B$4:$B$375,0),68)+BO255</f>
        <v>0</v>
      </c>
    </row>
    <row r="256" spans="2:69" s="6" customFormat="1" ht="15.95" customHeight="1">
      <c r="B256" s="154">
        <f>'1月'!$B$256</f>
        <v>0</v>
      </c>
      <c r="C256" s="146"/>
      <c r="D256" s="18"/>
      <c r="E256" s="14"/>
      <c r="F256" s="18"/>
      <c r="G256" s="14"/>
      <c r="H256" s="18"/>
      <c r="I256" s="14"/>
      <c r="J256" s="18"/>
      <c r="K256" s="51"/>
      <c r="L256" s="18"/>
      <c r="M256" s="14"/>
      <c r="N256" s="18"/>
      <c r="O256" s="14"/>
      <c r="P256" s="18"/>
      <c r="Q256" s="14"/>
      <c r="R256" s="18"/>
      <c r="S256" s="14"/>
      <c r="T256" s="18"/>
      <c r="U256" s="14"/>
      <c r="V256" s="18"/>
      <c r="W256" s="14"/>
      <c r="X256" s="18"/>
      <c r="Y256" s="14"/>
      <c r="Z256" s="18"/>
      <c r="AA256" s="14"/>
      <c r="AB256" s="18"/>
      <c r="AC256" s="14"/>
      <c r="AD256" s="18"/>
      <c r="AE256" s="14"/>
      <c r="AF256" s="18"/>
      <c r="AG256" s="600"/>
      <c r="AH256" s="601"/>
      <c r="AI256" s="569"/>
      <c r="AJ256" s="18"/>
      <c r="AK256" s="14"/>
      <c r="AL256" s="18"/>
      <c r="AM256" s="14"/>
      <c r="AN256" s="18"/>
      <c r="AO256" s="51"/>
      <c r="AP256" s="18"/>
      <c r="AQ256" s="14"/>
      <c r="AR256" s="18"/>
      <c r="AS256" s="14"/>
      <c r="AT256" s="18"/>
      <c r="AU256" s="14"/>
      <c r="AV256" s="18"/>
      <c r="AW256" s="14"/>
      <c r="AX256" s="18"/>
      <c r="AY256" s="14"/>
      <c r="AZ256" s="18"/>
      <c r="BA256" s="14"/>
      <c r="BB256" s="18"/>
      <c r="BC256" s="14"/>
      <c r="BD256" s="18"/>
      <c r="BE256" s="14"/>
      <c r="BF256" s="18"/>
      <c r="BG256" s="14"/>
      <c r="BH256" s="18"/>
      <c r="BI256" s="14"/>
      <c r="BJ256" s="18"/>
      <c r="BK256" s="15"/>
      <c r="BL256" s="37"/>
      <c r="BM256" s="14"/>
      <c r="BN256" s="102">
        <f t="shared" si="45"/>
        <v>0</v>
      </c>
      <c r="BO256" s="47">
        <f t="shared" si="45"/>
        <v>0</v>
      </c>
      <c r="BP256" s="631"/>
      <c r="BQ256" s="559"/>
    </row>
    <row r="257" spans="2:69" s="6" customFormat="1" ht="15.95" customHeight="1" thickBot="1">
      <c r="B257" s="156">
        <f>'1月'!$B$257</f>
        <v>0</v>
      </c>
      <c r="C257" s="148"/>
      <c r="D257" s="50"/>
      <c r="E257" s="20"/>
      <c r="F257" s="50"/>
      <c r="G257" s="20"/>
      <c r="H257" s="50"/>
      <c r="I257" s="20"/>
      <c r="J257" s="50"/>
      <c r="K257" s="20"/>
      <c r="L257" s="50"/>
      <c r="M257" s="20"/>
      <c r="N257" s="50"/>
      <c r="O257" s="20"/>
      <c r="P257" s="50"/>
      <c r="Q257" s="20"/>
      <c r="R257" s="50"/>
      <c r="S257" s="20"/>
      <c r="T257" s="50"/>
      <c r="U257" s="20"/>
      <c r="V257" s="50"/>
      <c r="W257" s="20"/>
      <c r="X257" s="50"/>
      <c r="Y257" s="20"/>
      <c r="Z257" s="50"/>
      <c r="AA257" s="20"/>
      <c r="AB257" s="50"/>
      <c r="AC257" s="20"/>
      <c r="AD257" s="50"/>
      <c r="AE257" s="20"/>
      <c r="AF257" s="50"/>
      <c r="AG257" s="594"/>
      <c r="AH257" s="612"/>
      <c r="AI257" s="593"/>
      <c r="AJ257" s="50"/>
      <c r="AK257" s="20"/>
      <c r="AL257" s="50"/>
      <c r="AM257" s="20"/>
      <c r="AN257" s="50"/>
      <c r="AO257" s="20"/>
      <c r="AP257" s="50"/>
      <c r="AQ257" s="20"/>
      <c r="AR257" s="50"/>
      <c r="AS257" s="20"/>
      <c r="AT257" s="50"/>
      <c r="AU257" s="20"/>
      <c r="AV257" s="50"/>
      <c r="AW257" s="20"/>
      <c r="AX257" s="50"/>
      <c r="AY257" s="20"/>
      <c r="AZ257" s="50"/>
      <c r="BA257" s="20"/>
      <c r="BB257" s="50"/>
      <c r="BC257" s="20"/>
      <c r="BD257" s="50"/>
      <c r="BE257" s="20"/>
      <c r="BF257" s="50"/>
      <c r="BG257" s="20"/>
      <c r="BH257" s="50"/>
      <c r="BI257" s="20"/>
      <c r="BJ257" s="50"/>
      <c r="BK257" s="21"/>
      <c r="BL257" s="38"/>
      <c r="BM257" s="20"/>
      <c r="BN257" s="102">
        <f t="shared" si="45"/>
        <v>0</v>
      </c>
      <c r="BO257" s="47">
        <f t="shared" si="45"/>
        <v>0</v>
      </c>
      <c r="BP257" s="631"/>
      <c r="BQ257" s="559"/>
    </row>
    <row r="258" spans="2:69" s="6" customFormat="1" ht="39" customHeight="1" thickBot="1">
      <c r="B258" s="119" t="s">
        <v>101</v>
      </c>
      <c r="C258" s="149"/>
      <c r="D258" s="29">
        <f t="shared" ref="D258:BM258" si="46">SUM(D252:D257)</f>
        <v>0</v>
      </c>
      <c r="E258" s="31">
        <f t="shared" si="46"/>
        <v>0</v>
      </c>
      <c r="F258" s="29">
        <f t="shared" si="46"/>
        <v>0</v>
      </c>
      <c r="G258" s="31">
        <f t="shared" si="46"/>
        <v>0</v>
      </c>
      <c r="H258" s="29">
        <f t="shared" si="46"/>
        <v>0</v>
      </c>
      <c r="I258" s="31">
        <f t="shared" si="46"/>
        <v>0</v>
      </c>
      <c r="J258" s="29">
        <f t="shared" si="46"/>
        <v>0</v>
      </c>
      <c r="K258" s="31">
        <f t="shared" si="46"/>
        <v>0</v>
      </c>
      <c r="L258" s="29">
        <f t="shared" si="46"/>
        <v>0</v>
      </c>
      <c r="M258" s="31">
        <f t="shared" si="46"/>
        <v>0</v>
      </c>
      <c r="N258" s="29">
        <f>SUM(N252:N257)</f>
        <v>0</v>
      </c>
      <c r="O258" s="31">
        <f t="shared" si="46"/>
        <v>0</v>
      </c>
      <c r="P258" s="29">
        <f t="shared" si="46"/>
        <v>0</v>
      </c>
      <c r="Q258" s="31">
        <f t="shared" si="46"/>
        <v>0</v>
      </c>
      <c r="R258" s="29">
        <f t="shared" si="46"/>
        <v>0</v>
      </c>
      <c r="S258" s="31">
        <f t="shared" si="46"/>
        <v>0</v>
      </c>
      <c r="T258" s="29">
        <f t="shared" si="46"/>
        <v>0</v>
      </c>
      <c r="U258" s="31">
        <f t="shared" si="46"/>
        <v>0</v>
      </c>
      <c r="V258" s="29">
        <f t="shared" si="46"/>
        <v>0</v>
      </c>
      <c r="W258" s="31">
        <f t="shared" si="46"/>
        <v>0</v>
      </c>
      <c r="X258" s="29">
        <f t="shared" si="46"/>
        <v>0</v>
      </c>
      <c r="Y258" s="31">
        <f t="shared" si="46"/>
        <v>0</v>
      </c>
      <c r="Z258" s="29">
        <f t="shared" si="46"/>
        <v>0</v>
      </c>
      <c r="AA258" s="31">
        <f t="shared" si="46"/>
        <v>0</v>
      </c>
      <c r="AB258" s="29">
        <f t="shared" si="46"/>
        <v>0</v>
      </c>
      <c r="AC258" s="31">
        <f t="shared" si="46"/>
        <v>0</v>
      </c>
      <c r="AD258" s="29">
        <f t="shared" si="46"/>
        <v>0</v>
      </c>
      <c r="AE258" s="31">
        <f t="shared" si="46"/>
        <v>0</v>
      </c>
      <c r="AF258" s="29">
        <f t="shared" si="46"/>
        <v>0</v>
      </c>
      <c r="AG258" s="41">
        <f t="shared" si="46"/>
        <v>0</v>
      </c>
      <c r="AH258" s="39">
        <f t="shared" si="46"/>
        <v>0</v>
      </c>
      <c r="AI258" s="31">
        <f t="shared" si="46"/>
        <v>0</v>
      </c>
      <c r="AJ258" s="29">
        <f t="shared" si="46"/>
        <v>0</v>
      </c>
      <c r="AK258" s="31">
        <f t="shared" si="46"/>
        <v>0</v>
      </c>
      <c r="AL258" s="29">
        <f t="shared" si="46"/>
        <v>0</v>
      </c>
      <c r="AM258" s="31">
        <f t="shared" si="46"/>
        <v>0</v>
      </c>
      <c r="AN258" s="29">
        <f t="shared" si="46"/>
        <v>0</v>
      </c>
      <c r="AO258" s="31">
        <f t="shared" si="46"/>
        <v>0</v>
      </c>
      <c r="AP258" s="29">
        <f t="shared" si="46"/>
        <v>0</v>
      </c>
      <c r="AQ258" s="31">
        <f t="shared" si="46"/>
        <v>0</v>
      </c>
      <c r="AR258" s="29">
        <f>SUM(AR252:AR257)</f>
        <v>0</v>
      </c>
      <c r="AS258" s="31">
        <f t="shared" si="46"/>
        <v>0</v>
      </c>
      <c r="AT258" s="29">
        <f t="shared" si="46"/>
        <v>0</v>
      </c>
      <c r="AU258" s="31">
        <f t="shared" si="46"/>
        <v>0</v>
      </c>
      <c r="AV258" s="29">
        <f t="shared" si="46"/>
        <v>0</v>
      </c>
      <c r="AW258" s="31">
        <f t="shared" si="46"/>
        <v>0</v>
      </c>
      <c r="AX258" s="29">
        <f t="shared" si="46"/>
        <v>0</v>
      </c>
      <c r="AY258" s="31">
        <f t="shared" si="46"/>
        <v>0</v>
      </c>
      <c r="AZ258" s="29">
        <f t="shared" si="46"/>
        <v>0</v>
      </c>
      <c r="BA258" s="31">
        <f t="shared" si="46"/>
        <v>0</v>
      </c>
      <c r="BB258" s="29">
        <f t="shared" si="46"/>
        <v>0</v>
      </c>
      <c r="BC258" s="31">
        <f t="shared" si="46"/>
        <v>0</v>
      </c>
      <c r="BD258" s="29">
        <f t="shared" si="46"/>
        <v>0</v>
      </c>
      <c r="BE258" s="31">
        <f t="shared" si="46"/>
        <v>0</v>
      </c>
      <c r="BF258" s="29">
        <f t="shared" si="46"/>
        <v>0</v>
      </c>
      <c r="BG258" s="31">
        <f t="shared" si="46"/>
        <v>0</v>
      </c>
      <c r="BH258" s="29">
        <f t="shared" si="46"/>
        <v>0</v>
      </c>
      <c r="BI258" s="31">
        <f t="shared" si="46"/>
        <v>0</v>
      </c>
      <c r="BJ258" s="29">
        <f t="shared" si="46"/>
        <v>0</v>
      </c>
      <c r="BK258" s="41">
        <f t="shared" si="46"/>
        <v>0</v>
      </c>
      <c r="BL258" s="39">
        <f t="shared" si="46"/>
        <v>0</v>
      </c>
      <c r="BM258" s="31">
        <f t="shared" si="46"/>
        <v>0</v>
      </c>
      <c r="BN258" s="43">
        <f>SUM(BN252:BN257)</f>
        <v>0</v>
      </c>
      <c r="BO258" s="108">
        <f>SUM(BO252:BO257)</f>
        <v>0</v>
      </c>
      <c r="BP258" s="257">
        <f>SUM(BP252:BP257)</f>
        <v>2</v>
      </c>
      <c r="BQ258" s="240">
        <f>SUM(BQ252:BQ257)</f>
        <v>4</v>
      </c>
    </row>
    <row r="259" spans="2:69" ht="23.25" customHeight="1">
      <c r="B259" s="120"/>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row>
    <row r="260" spans="2:69" ht="24.95" customHeight="1" thickBo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238"/>
      <c r="BQ260" s="239"/>
    </row>
    <row r="261" spans="2:69" ht="24.95" customHeight="1">
      <c r="B261" s="743" t="s">
        <v>69</v>
      </c>
      <c r="C261" s="749">
        <f>COUNTIF(B264:B291,"*")</f>
        <v>19</v>
      </c>
      <c r="D261" s="751">
        <v>1</v>
      </c>
      <c r="E261" s="738"/>
      <c r="F261" s="737">
        <v>2</v>
      </c>
      <c r="G261" s="738"/>
      <c r="H261" s="737">
        <v>3</v>
      </c>
      <c r="I261" s="738"/>
      <c r="J261" s="737">
        <v>4</v>
      </c>
      <c r="K261" s="738"/>
      <c r="L261" s="737">
        <v>5</v>
      </c>
      <c r="M261" s="738"/>
      <c r="N261" s="737">
        <v>6</v>
      </c>
      <c r="O261" s="738"/>
      <c r="P261" s="737">
        <v>7</v>
      </c>
      <c r="Q261" s="738"/>
      <c r="R261" s="737">
        <v>8</v>
      </c>
      <c r="S261" s="738"/>
      <c r="T261" s="737">
        <v>9</v>
      </c>
      <c r="U261" s="738"/>
      <c r="V261" s="737">
        <v>10</v>
      </c>
      <c r="W261" s="738"/>
      <c r="X261" s="737">
        <v>11</v>
      </c>
      <c r="Y261" s="738"/>
      <c r="Z261" s="737">
        <v>12</v>
      </c>
      <c r="AA261" s="738"/>
      <c r="AB261" s="737">
        <v>13</v>
      </c>
      <c r="AC261" s="738"/>
      <c r="AD261" s="737">
        <v>14</v>
      </c>
      <c r="AE261" s="738"/>
      <c r="AF261" s="737">
        <v>15</v>
      </c>
      <c r="AG261" s="742"/>
      <c r="AH261" s="741">
        <v>16</v>
      </c>
      <c r="AI261" s="741"/>
      <c r="AJ261" s="741">
        <v>17</v>
      </c>
      <c r="AK261" s="741"/>
      <c r="AL261" s="741">
        <v>18</v>
      </c>
      <c r="AM261" s="741"/>
      <c r="AN261" s="741">
        <v>19</v>
      </c>
      <c r="AO261" s="741"/>
      <c r="AP261" s="741">
        <v>20</v>
      </c>
      <c r="AQ261" s="741"/>
      <c r="AR261" s="741">
        <v>21</v>
      </c>
      <c r="AS261" s="741"/>
      <c r="AT261" s="741">
        <v>22</v>
      </c>
      <c r="AU261" s="741"/>
      <c r="AV261" s="741">
        <v>23</v>
      </c>
      <c r="AW261" s="741"/>
      <c r="AX261" s="741">
        <v>24</v>
      </c>
      <c r="AY261" s="741"/>
      <c r="AZ261" s="741">
        <v>25</v>
      </c>
      <c r="BA261" s="741"/>
      <c r="BB261" s="741">
        <v>26</v>
      </c>
      <c r="BC261" s="741"/>
      <c r="BD261" s="741">
        <v>27</v>
      </c>
      <c r="BE261" s="741"/>
      <c r="BF261" s="741">
        <v>28</v>
      </c>
      <c r="BG261" s="741"/>
      <c r="BH261" s="741">
        <v>29</v>
      </c>
      <c r="BI261" s="741"/>
      <c r="BJ261" s="741">
        <v>30</v>
      </c>
      <c r="BK261" s="741"/>
      <c r="BL261" s="741">
        <v>31</v>
      </c>
      <c r="BM261" s="741"/>
      <c r="BN261" s="738" t="s">
        <v>251</v>
      </c>
      <c r="BO261" s="760"/>
      <c r="BP261" s="771" t="s">
        <v>353</v>
      </c>
      <c r="BQ261" s="772"/>
    </row>
    <row r="262" spans="2:69" ht="24.95" customHeight="1">
      <c r="B262" s="744"/>
      <c r="C262" s="747"/>
      <c r="D262" s="752" t="str">
        <f>D2</f>
        <v>土</v>
      </c>
      <c r="E262" s="740"/>
      <c r="F262" s="739" t="str">
        <f>F2</f>
        <v>日</v>
      </c>
      <c r="G262" s="740"/>
      <c r="H262" s="739" t="str">
        <f>H2</f>
        <v>月</v>
      </c>
      <c r="I262" s="740"/>
      <c r="J262" s="739" t="str">
        <f>J2</f>
        <v>火</v>
      </c>
      <c r="K262" s="740"/>
      <c r="L262" s="739" t="str">
        <f>L2</f>
        <v>水</v>
      </c>
      <c r="M262" s="740"/>
      <c r="N262" s="739" t="str">
        <f>N2</f>
        <v>木</v>
      </c>
      <c r="O262" s="740"/>
      <c r="P262" s="739" t="str">
        <f>P2</f>
        <v>金</v>
      </c>
      <c r="Q262" s="740"/>
      <c r="R262" s="739" t="str">
        <f>R2</f>
        <v>土</v>
      </c>
      <c r="S262" s="740"/>
      <c r="T262" s="739" t="str">
        <f>T2</f>
        <v>日</v>
      </c>
      <c r="U262" s="740"/>
      <c r="V262" s="739" t="str">
        <f>V2</f>
        <v>月</v>
      </c>
      <c r="W262" s="740"/>
      <c r="X262" s="739" t="str">
        <f>X2</f>
        <v>火</v>
      </c>
      <c r="Y262" s="740"/>
      <c r="Z262" s="739" t="str">
        <f>Z2</f>
        <v>水</v>
      </c>
      <c r="AA262" s="740"/>
      <c r="AB262" s="739" t="str">
        <f>AB2</f>
        <v>木</v>
      </c>
      <c r="AC262" s="740"/>
      <c r="AD262" s="739" t="str">
        <f>AD2</f>
        <v>金</v>
      </c>
      <c r="AE262" s="740"/>
      <c r="AF262" s="739" t="str">
        <f>AF2</f>
        <v>土</v>
      </c>
      <c r="AG262" s="756"/>
      <c r="AH262" s="768" t="str">
        <f>AH2</f>
        <v>日</v>
      </c>
      <c r="AI262" s="769"/>
      <c r="AJ262" s="770" t="str">
        <f>AJ2</f>
        <v>月</v>
      </c>
      <c r="AK262" s="770"/>
      <c r="AL262" s="770" t="str">
        <f>AL2</f>
        <v>火</v>
      </c>
      <c r="AM262" s="770"/>
      <c r="AN262" s="770" t="str">
        <f>AN2</f>
        <v>水</v>
      </c>
      <c r="AO262" s="770"/>
      <c r="AP262" s="770" t="str">
        <f>AP2</f>
        <v>木</v>
      </c>
      <c r="AQ262" s="770"/>
      <c r="AR262" s="770" t="str">
        <f>AR2</f>
        <v>金</v>
      </c>
      <c r="AS262" s="770"/>
      <c r="AT262" s="770" t="str">
        <f>AT2</f>
        <v>土</v>
      </c>
      <c r="AU262" s="770"/>
      <c r="AV262" s="770" t="str">
        <f>AV2</f>
        <v>日</v>
      </c>
      <c r="AW262" s="770"/>
      <c r="AX262" s="770" t="str">
        <f>AX2</f>
        <v>月</v>
      </c>
      <c r="AY262" s="770"/>
      <c r="AZ262" s="770" t="str">
        <f>AZ2</f>
        <v>火</v>
      </c>
      <c r="BA262" s="770"/>
      <c r="BB262" s="770" t="str">
        <f>BB2</f>
        <v>水</v>
      </c>
      <c r="BC262" s="770"/>
      <c r="BD262" s="770" t="str">
        <f>BD2</f>
        <v>木</v>
      </c>
      <c r="BE262" s="770"/>
      <c r="BF262" s="770" t="str">
        <f>BF2</f>
        <v>金</v>
      </c>
      <c r="BG262" s="770"/>
      <c r="BH262" s="770" t="str">
        <f>BH2</f>
        <v>土</v>
      </c>
      <c r="BI262" s="770"/>
      <c r="BJ262" s="770" t="str">
        <f>BJ2</f>
        <v>日</v>
      </c>
      <c r="BK262" s="770"/>
      <c r="BL262" s="770" t="str">
        <f>BL2</f>
        <v>月</v>
      </c>
      <c r="BM262" s="770"/>
      <c r="BN262" s="761"/>
      <c r="BO262" s="762"/>
      <c r="BP262" s="773"/>
      <c r="BQ262" s="774"/>
    </row>
    <row r="263" spans="2:69" ht="24.95" customHeight="1">
      <c r="B263" s="744"/>
      <c r="C263" s="747"/>
      <c r="D263" s="482" t="s">
        <v>72</v>
      </c>
      <c r="E263" s="583" t="s">
        <v>73</v>
      </c>
      <c r="F263" s="582" t="s">
        <v>72</v>
      </c>
      <c r="G263" s="583" t="s">
        <v>73</v>
      </c>
      <c r="H263" s="582" t="s">
        <v>72</v>
      </c>
      <c r="I263" s="583" t="s">
        <v>73</v>
      </c>
      <c r="J263" s="482" t="s">
        <v>72</v>
      </c>
      <c r="K263" s="583" t="s">
        <v>73</v>
      </c>
      <c r="L263" s="482" t="s">
        <v>72</v>
      </c>
      <c r="M263" s="583" t="s">
        <v>73</v>
      </c>
      <c r="N263" s="482" t="s">
        <v>72</v>
      </c>
      <c r="O263" s="583" t="s">
        <v>73</v>
      </c>
      <c r="P263" s="482" t="s">
        <v>72</v>
      </c>
      <c r="Q263" s="583" t="s">
        <v>73</v>
      </c>
      <c r="R263" s="482" t="s">
        <v>72</v>
      </c>
      <c r="S263" s="583" t="s">
        <v>73</v>
      </c>
      <c r="T263" s="482" t="s">
        <v>72</v>
      </c>
      <c r="U263" s="583" t="s">
        <v>73</v>
      </c>
      <c r="V263" s="482" t="s">
        <v>72</v>
      </c>
      <c r="W263" s="583" t="s">
        <v>73</v>
      </c>
      <c r="X263" s="482" t="s">
        <v>72</v>
      </c>
      <c r="Y263" s="583" t="s">
        <v>73</v>
      </c>
      <c r="Z263" s="482" t="s">
        <v>72</v>
      </c>
      <c r="AA263" s="584" t="s">
        <v>73</v>
      </c>
      <c r="AB263" s="552" t="s">
        <v>72</v>
      </c>
      <c r="AC263" s="584" t="s">
        <v>73</v>
      </c>
      <c r="AD263" s="552" t="s">
        <v>72</v>
      </c>
      <c r="AE263" s="584" t="s">
        <v>73</v>
      </c>
      <c r="AF263" s="552" t="s">
        <v>72</v>
      </c>
      <c r="AG263" s="584" t="s">
        <v>73</v>
      </c>
      <c r="AH263" s="552" t="s">
        <v>72</v>
      </c>
      <c r="AI263" s="583" t="s">
        <v>73</v>
      </c>
      <c r="AJ263" s="582" t="s">
        <v>72</v>
      </c>
      <c r="AK263" s="583" t="s">
        <v>73</v>
      </c>
      <c r="AL263" s="582" t="s">
        <v>72</v>
      </c>
      <c r="AM263" s="583" t="s">
        <v>73</v>
      </c>
      <c r="AN263" s="482" t="s">
        <v>72</v>
      </c>
      <c r="AO263" s="583" t="s">
        <v>73</v>
      </c>
      <c r="AP263" s="482" t="s">
        <v>72</v>
      </c>
      <c r="AQ263" s="583" t="s">
        <v>73</v>
      </c>
      <c r="AR263" s="482" t="s">
        <v>72</v>
      </c>
      <c r="AS263" s="583" t="s">
        <v>73</v>
      </c>
      <c r="AT263" s="482" t="s">
        <v>72</v>
      </c>
      <c r="AU263" s="583" t="s">
        <v>73</v>
      </c>
      <c r="AV263" s="482" t="s">
        <v>72</v>
      </c>
      <c r="AW263" s="583" t="s">
        <v>73</v>
      </c>
      <c r="AX263" s="482" t="s">
        <v>72</v>
      </c>
      <c r="AY263" s="583" t="s">
        <v>73</v>
      </c>
      <c r="AZ263" s="482" t="s">
        <v>72</v>
      </c>
      <c r="BA263" s="583" t="s">
        <v>73</v>
      </c>
      <c r="BB263" s="482" t="s">
        <v>72</v>
      </c>
      <c r="BC263" s="583" t="s">
        <v>73</v>
      </c>
      <c r="BD263" s="482" t="s">
        <v>72</v>
      </c>
      <c r="BE263" s="584" t="s">
        <v>73</v>
      </c>
      <c r="BF263" s="552" t="s">
        <v>72</v>
      </c>
      <c r="BG263" s="584" t="s">
        <v>73</v>
      </c>
      <c r="BH263" s="552" t="s">
        <v>72</v>
      </c>
      <c r="BI263" s="584" t="s">
        <v>73</v>
      </c>
      <c r="BJ263" s="552" t="s">
        <v>72</v>
      </c>
      <c r="BK263" s="584" t="s">
        <v>73</v>
      </c>
      <c r="BL263" s="552" t="s">
        <v>72</v>
      </c>
      <c r="BM263" s="584" t="s">
        <v>73</v>
      </c>
      <c r="BN263" s="514" t="s">
        <v>72</v>
      </c>
      <c r="BO263" s="584" t="s">
        <v>73</v>
      </c>
      <c r="BP263" s="477" t="s">
        <v>252</v>
      </c>
      <c r="BQ263" s="478" t="s">
        <v>254</v>
      </c>
    </row>
    <row r="264" spans="2:69" s="6" customFormat="1" ht="50.1" customHeight="1">
      <c r="B264" s="203" t="str">
        <f>'1月'!$B$264</f>
        <v>赤坂　和子</v>
      </c>
      <c r="C264" s="145"/>
      <c r="D264" s="89"/>
      <c r="E264" s="36"/>
      <c r="F264" s="89"/>
      <c r="G264" s="36"/>
      <c r="H264" s="89"/>
      <c r="I264" s="36"/>
      <c r="J264" s="89"/>
      <c r="K264" s="36"/>
      <c r="L264" s="89"/>
      <c r="M264" s="36"/>
      <c r="N264" s="89"/>
      <c r="O264" s="36"/>
      <c r="P264" s="89"/>
      <c r="Q264" s="36"/>
      <c r="R264" s="89"/>
      <c r="S264" s="36"/>
      <c r="T264" s="89"/>
      <c r="U264" s="36"/>
      <c r="V264" s="89"/>
      <c r="W264" s="36"/>
      <c r="X264" s="89"/>
      <c r="Y264" s="36"/>
      <c r="Z264" s="89"/>
      <c r="AA264" s="36"/>
      <c r="AB264" s="89"/>
      <c r="AC264" s="36"/>
      <c r="AD264" s="89"/>
      <c r="AE264" s="36"/>
      <c r="AF264" s="89"/>
      <c r="AG264" s="42"/>
      <c r="AH264" s="35"/>
      <c r="AI264" s="36"/>
      <c r="AJ264" s="89"/>
      <c r="AK264" s="36"/>
      <c r="AL264" s="89"/>
      <c r="AM264" s="36"/>
      <c r="AN264" s="89"/>
      <c r="AO264" s="36"/>
      <c r="AP264" s="89"/>
      <c r="AQ264" s="36"/>
      <c r="AR264" s="89"/>
      <c r="AS264" s="36"/>
      <c r="AT264" s="89"/>
      <c r="AU264" s="36"/>
      <c r="AV264" s="89"/>
      <c r="AW264" s="36"/>
      <c r="AX264" s="89"/>
      <c r="AY264" s="36"/>
      <c r="AZ264" s="89"/>
      <c r="BA264" s="36"/>
      <c r="BB264" s="89"/>
      <c r="BC264" s="36"/>
      <c r="BD264" s="89"/>
      <c r="BE264" s="36"/>
      <c r="BF264" s="89"/>
      <c r="BG264" s="36"/>
      <c r="BH264" s="89"/>
      <c r="BI264" s="36"/>
      <c r="BJ264" s="89"/>
      <c r="BK264" s="42"/>
      <c r="BL264" s="35"/>
      <c r="BM264" s="36"/>
      <c r="BN264" s="70">
        <f>SUM(D264,F264,H264,J264,L264,N264,P264,R264,T264,V264,X264,Z264,AB264,AD264,AF264,AH264,AJ264,AL264,AN264,AP264,AR264,AT264,AV264,AX264,AZ264,BB264,BD264,BF264,BH264,BJ264,BL264)</f>
        <v>0</v>
      </c>
      <c r="BO264" s="73">
        <f>SUM(E264,G264,I264,K264,M264,O264,Q264,S264,U264,W264,Y264,AA264,AC264,AE264,AG264,AI264,AK264,AM264,AO264,AQ264,AS264,AU264,AW264,AY264,BA264,BC264,BE264,BG264,BI264,BK264,BM264)</f>
        <v>0</v>
      </c>
      <c r="BP264" s="631">
        <f>INDEX('2月'!$B$4:$BQ$375,MATCH('3月'!B264,'2月'!$B$4:$B$375,0),67)+BN264</f>
        <v>0</v>
      </c>
      <c r="BQ264" s="702">
        <f>INDEX('2月'!$B$4:$BQ$375,MATCH('3月'!B264,'2月'!$B$4:$B$375,0),68)+BO264</f>
        <v>0</v>
      </c>
    </row>
    <row r="265" spans="2:69" s="6" customFormat="1" ht="50.1" customHeight="1">
      <c r="B265" s="201" t="str">
        <f>'1月'!$B$265</f>
        <v>赤坂　純子</v>
      </c>
      <c r="C265" s="146"/>
      <c r="D265" s="18"/>
      <c r="E265" s="14"/>
      <c r="F265" s="18"/>
      <c r="G265" s="14"/>
      <c r="H265" s="18"/>
      <c r="I265" s="14"/>
      <c r="J265" s="18"/>
      <c r="K265" s="14"/>
      <c r="L265" s="18"/>
      <c r="M265" s="14"/>
      <c r="N265" s="18"/>
      <c r="O265" s="14"/>
      <c r="P265" s="18"/>
      <c r="Q265" s="14"/>
      <c r="R265" s="18"/>
      <c r="S265" s="14"/>
      <c r="T265" s="18"/>
      <c r="U265" s="14"/>
      <c r="V265" s="18"/>
      <c r="W265" s="14"/>
      <c r="X265" s="18"/>
      <c r="Y265" s="14"/>
      <c r="Z265" s="18"/>
      <c r="AA265" s="14"/>
      <c r="AB265" s="18"/>
      <c r="AC265" s="14"/>
      <c r="AD265" s="18"/>
      <c r="AE265" s="14"/>
      <c r="AF265" s="18"/>
      <c r="AG265" s="600"/>
      <c r="AH265" s="601"/>
      <c r="AI265" s="569"/>
      <c r="AJ265" s="18"/>
      <c r="AK265" s="14"/>
      <c r="AL265" s="18"/>
      <c r="AM265" s="14"/>
      <c r="AN265" s="18"/>
      <c r="AO265" s="14"/>
      <c r="AP265" s="18"/>
      <c r="AQ265" s="14"/>
      <c r="AR265" s="18"/>
      <c r="AS265" s="14"/>
      <c r="AT265" s="18"/>
      <c r="AU265" s="14"/>
      <c r="AV265" s="18"/>
      <c r="AW265" s="14"/>
      <c r="AX265" s="18"/>
      <c r="AY265" s="14"/>
      <c r="AZ265" s="18"/>
      <c r="BA265" s="14"/>
      <c r="BB265" s="18"/>
      <c r="BC265" s="14"/>
      <c r="BD265" s="18"/>
      <c r="BE265" s="14"/>
      <c r="BF265" s="18"/>
      <c r="BG265" s="14"/>
      <c r="BH265" s="18"/>
      <c r="BI265" s="14"/>
      <c r="BJ265" s="18"/>
      <c r="BK265" s="15"/>
      <c r="BL265" s="37"/>
      <c r="BM265" s="14"/>
      <c r="BN265" s="102">
        <f t="shared" ref="BN265:BN291" si="47">SUM(D265,F265,H265,J265,L265,N265,P265,R265,T265,V265,X265,Z265,AB265,AD265,AF265,AH265,AJ265,AL265,AN265,AP265,AR265,AT265,AV265,AX265,AZ265,BB265,BD265,BF265,BH265,BJ265,BL265)</f>
        <v>0</v>
      </c>
      <c r="BO265" s="47">
        <f t="shared" ref="BO265:BO291" si="48">SUM(E265,G265,I265,K265,M265,O265,Q265,S265,U265,W265,Y265,AA265,AC265,AE265,AG265,AI265,AK265,AM265,AO265,AQ265,AS265,AU265,AW265,AY265,BA265,BC265,BE265,BG265,BI265,BK265,BM265)</f>
        <v>0</v>
      </c>
      <c r="BP265" s="631">
        <f>INDEX('2月'!$B$4:$BQ$375,MATCH('3月'!B265,'2月'!$B$4:$B$375,0),67)+BN265</f>
        <v>0</v>
      </c>
      <c r="BQ265" s="702">
        <f>INDEX('2月'!$B$4:$BQ$375,MATCH('3月'!B265,'2月'!$B$4:$B$375,0),68)+BO265</f>
        <v>0</v>
      </c>
    </row>
    <row r="266" spans="2:69" s="6" customFormat="1" ht="50.1" customHeight="1">
      <c r="B266" s="209" t="str">
        <f>'1月'!$B$266</f>
        <v>榎本　明美</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600"/>
      <c r="AH266" s="601"/>
      <c r="AI266" s="569"/>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102">
        <f t="shared" si="47"/>
        <v>0</v>
      </c>
      <c r="BO266" s="47">
        <f t="shared" si="48"/>
        <v>0</v>
      </c>
      <c r="BP266" s="631">
        <f>INDEX('2月'!$B$4:$BQ$375,MATCH('3月'!B266,'2月'!$B$4:$B$375,0),67)+BN266</f>
        <v>2</v>
      </c>
      <c r="BQ266" s="702">
        <f>INDEX('2月'!$B$4:$BQ$375,MATCH('3月'!B266,'2月'!$B$4:$B$375,0),68)+BO266</f>
        <v>3</v>
      </c>
    </row>
    <row r="267" spans="2:69" s="6" customFormat="1" ht="50.1" customHeight="1">
      <c r="B267" s="201" t="str">
        <f>'1月'!$B$267</f>
        <v>大前　順子</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600"/>
      <c r="AH267" s="601"/>
      <c r="AI267" s="569"/>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102">
        <f t="shared" si="47"/>
        <v>0</v>
      </c>
      <c r="BO267" s="47">
        <f t="shared" si="48"/>
        <v>0</v>
      </c>
      <c r="BP267" s="631">
        <f>INDEX('2月'!$B$4:$BQ$375,MATCH('3月'!B267,'2月'!$B$4:$B$375,0),67)+BN267</f>
        <v>0</v>
      </c>
      <c r="BQ267" s="702">
        <f>INDEX('2月'!$B$4:$BQ$375,MATCH('3月'!B267,'2月'!$B$4:$B$375,0),68)+BO267</f>
        <v>0</v>
      </c>
    </row>
    <row r="268" spans="2:69" s="6" customFormat="1" ht="50.1" customHeight="1">
      <c r="B268" s="201" t="str">
        <f>'1月'!$B$268</f>
        <v>小笠原　桂子</v>
      </c>
      <c r="C268" s="146"/>
      <c r="D268" s="18"/>
      <c r="E268" s="14"/>
      <c r="F268" s="50"/>
      <c r="G268" s="20"/>
      <c r="H268" s="50"/>
      <c r="I268" s="20"/>
      <c r="J268" s="50"/>
      <c r="K268" s="20"/>
      <c r="L268" s="50"/>
      <c r="M268" s="20"/>
      <c r="N268" s="50"/>
      <c r="O268" s="20"/>
      <c r="P268" s="50"/>
      <c r="Q268" s="20"/>
      <c r="R268" s="50"/>
      <c r="S268" s="20"/>
      <c r="T268" s="50"/>
      <c r="U268" s="20"/>
      <c r="V268" s="50"/>
      <c r="W268" s="20"/>
      <c r="X268" s="50"/>
      <c r="Y268" s="20"/>
      <c r="Z268" s="50"/>
      <c r="AA268" s="20"/>
      <c r="AB268" s="50"/>
      <c r="AC268" s="20"/>
      <c r="AD268" s="50"/>
      <c r="AE268" s="20"/>
      <c r="AF268" s="18"/>
      <c r="AG268" s="594"/>
      <c r="AH268" s="612"/>
      <c r="AI268" s="593"/>
      <c r="AJ268" s="50"/>
      <c r="AK268" s="20"/>
      <c r="AL268" s="50"/>
      <c r="AM268" s="20"/>
      <c r="AN268" s="50"/>
      <c r="AO268" s="20"/>
      <c r="AP268" s="50"/>
      <c r="AQ268" s="20"/>
      <c r="AR268" s="50"/>
      <c r="AS268" s="20"/>
      <c r="AT268" s="50"/>
      <c r="AU268" s="20"/>
      <c r="AV268" s="50"/>
      <c r="AW268" s="20"/>
      <c r="AX268" s="50"/>
      <c r="AY268" s="20"/>
      <c r="AZ268" s="50"/>
      <c r="BA268" s="20"/>
      <c r="BB268" s="50"/>
      <c r="BC268" s="20"/>
      <c r="BD268" s="50"/>
      <c r="BE268" s="20"/>
      <c r="BF268" s="50"/>
      <c r="BG268" s="20"/>
      <c r="BH268" s="50"/>
      <c r="BI268" s="20"/>
      <c r="BJ268" s="50"/>
      <c r="BK268" s="21"/>
      <c r="BL268" s="38"/>
      <c r="BM268" s="20"/>
      <c r="BN268" s="102">
        <f t="shared" si="47"/>
        <v>0</v>
      </c>
      <c r="BO268" s="47">
        <f t="shared" si="48"/>
        <v>0</v>
      </c>
      <c r="BP268" s="631">
        <f>INDEX('2月'!$B$4:$BQ$375,MATCH('3月'!B268,'2月'!$B$4:$B$375,0),67)+BN268</f>
        <v>0</v>
      </c>
      <c r="BQ268" s="702">
        <f>INDEX('2月'!$B$4:$BQ$375,MATCH('3月'!B268,'2月'!$B$4:$B$375,0),68)+BO268</f>
        <v>0</v>
      </c>
    </row>
    <row r="269" spans="2:69" s="6" customFormat="1" ht="50.1" customHeight="1">
      <c r="B269" s="201" t="str">
        <f>'1月'!$B$269</f>
        <v>小笠原　幹子</v>
      </c>
      <c r="C269" s="146"/>
      <c r="D269" s="18"/>
      <c r="E269" s="14"/>
      <c r="F269" s="18"/>
      <c r="G269" s="14"/>
      <c r="H269" s="18"/>
      <c r="I269" s="14"/>
      <c r="J269" s="18"/>
      <c r="K269" s="14"/>
      <c r="L269" s="18"/>
      <c r="M269" s="14"/>
      <c r="N269" s="18"/>
      <c r="O269" s="14"/>
      <c r="P269" s="18"/>
      <c r="Q269" s="14"/>
      <c r="R269" s="18"/>
      <c r="S269" s="14"/>
      <c r="T269" s="18"/>
      <c r="U269" s="14"/>
      <c r="V269" s="18"/>
      <c r="W269" s="14"/>
      <c r="X269" s="18"/>
      <c r="Y269" s="14"/>
      <c r="Z269" s="18"/>
      <c r="AA269" s="14"/>
      <c r="AB269" s="18"/>
      <c r="AC269" s="14"/>
      <c r="AD269" s="18"/>
      <c r="AE269" s="14"/>
      <c r="AF269" s="18"/>
      <c r="AG269" s="600"/>
      <c r="AH269" s="601"/>
      <c r="AI269" s="569"/>
      <c r="AJ269" s="18"/>
      <c r="AK269" s="14"/>
      <c r="AL269" s="18"/>
      <c r="AM269" s="14"/>
      <c r="AN269" s="18"/>
      <c r="AO269" s="14"/>
      <c r="AP269" s="18"/>
      <c r="AQ269" s="14"/>
      <c r="AR269" s="18"/>
      <c r="AS269" s="14"/>
      <c r="AT269" s="18"/>
      <c r="AU269" s="14"/>
      <c r="AV269" s="18"/>
      <c r="AW269" s="14"/>
      <c r="AX269" s="18"/>
      <c r="AY269" s="14"/>
      <c r="AZ269" s="18"/>
      <c r="BA269" s="14"/>
      <c r="BB269" s="18"/>
      <c r="BC269" s="14"/>
      <c r="BD269" s="18"/>
      <c r="BE269" s="14"/>
      <c r="BF269" s="18"/>
      <c r="BG269" s="14"/>
      <c r="BH269" s="18"/>
      <c r="BI269" s="14"/>
      <c r="BJ269" s="18"/>
      <c r="BK269" s="15"/>
      <c r="BL269" s="37"/>
      <c r="BM269" s="14"/>
      <c r="BN269" s="102">
        <f t="shared" si="47"/>
        <v>0</v>
      </c>
      <c r="BO269" s="47">
        <f t="shared" si="48"/>
        <v>0</v>
      </c>
      <c r="BP269" s="631">
        <f>INDEX('2月'!$B$4:$BQ$375,MATCH('3月'!B269,'2月'!$B$4:$B$375,0),67)+BN269</f>
        <v>2</v>
      </c>
      <c r="BQ269" s="702">
        <f>INDEX('2月'!$B$4:$BQ$375,MATCH('3月'!B269,'2月'!$B$4:$B$375,0),68)+BO269</f>
        <v>3</v>
      </c>
    </row>
    <row r="270" spans="2:69" s="6" customFormat="1" ht="50.1" customHeight="1">
      <c r="B270" s="201" t="str">
        <f>'1月'!$B$270</f>
        <v>貝守　美奈子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600"/>
      <c r="AH270" s="601"/>
      <c r="AI270" s="569"/>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102">
        <f t="shared" si="47"/>
        <v>0</v>
      </c>
      <c r="BO270" s="47">
        <f t="shared" si="48"/>
        <v>0</v>
      </c>
      <c r="BP270" s="631">
        <f>INDEX('2月'!$B$4:$BQ$375,MATCH('3月'!B270,'2月'!$B$4:$B$375,0),67)+BN270</f>
        <v>0</v>
      </c>
      <c r="BQ270" s="702">
        <f>INDEX('2月'!$B$4:$BQ$375,MATCH('3月'!B270,'2月'!$B$4:$B$375,0),68)+BO270</f>
        <v>0</v>
      </c>
    </row>
    <row r="271" spans="2:69" s="6" customFormat="1" ht="50.1" customHeight="1">
      <c r="B271" s="201" t="str">
        <f>'1月'!$B$271</f>
        <v>川守田　潤子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600"/>
      <c r="AH271" s="601"/>
      <c r="AI271" s="569"/>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102">
        <f t="shared" si="47"/>
        <v>0</v>
      </c>
      <c r="BO271" s="47">
        <f t="shared" si="48"/>
        <v>0</v>
      </c>
      <c r="BP271" s="631">
        <f>INDEX('2月'!$B$4:$BQ$375,MATCH('3月'!B271,'2月'!$B$4:$B$375,0),67)+BN271</f>
        <v>1</v>
      </c>
      <c r="BQ271" s="702">
        <f>INDEX('2月'!$B$4:$BQ$375,MATCH('3月'!B271,'2月'!$B$4:$B$375,0),68)+BO271</f>
        <v>2</v>
      </c>
    </row>
    <row r="272" spans="2:69" s="6" customFormat="1" ht="50.1" customHeight="1">
      <c r="B272" s="201" t="str">
        <f>'1月'!$B$272</f>
        <v>木村　かつ</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600"/>
      <c r="AH272" s="601"/>
      <c r="AI272" s="569"/>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102">
        <f t="shared" si="47"/>
        <v>0</v>
      </c>
      <c r="BO272" s="47">
        <f t="shared" si="48"/>
        <v>0</v>
      </c>
      <c r="BP272" s="631">
        <f>INDEX('2月'!$B$4:$BQ$375,MATCH('3月'!B272,'2月'!$B$4:$B$375,0),67)+BN272</f>
        <v>0</v>
      </c>
      <c r="BQ272" s="702">
        <f>INDEX('2月'!$B$4:$BQ$375,MATCH('3月'!B272,'2月'!$B$4:$B$375,0),68)+BO272</f>
        <v>0</v>
      </c>
    </row>
    <row r="273" spans="2:69" s="6" customFormat="1" ht="50.1" customHeight="1">
      <c r="B273" s="201" t="str">
        <f>'1月'!$B$273</f>
        <v>木村　紀子</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600"/>
      <c r="AH273" s="601"/>
      <c r="AI273" s="569"/>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102">
        <f t="shared" si="47"/>
        <v>0</v>
      </c>
      <c r="BO273" s="47">
        <f t="shared" si="48"/>
        <v>0</v>
      </c>
      <c r="BP273" s="631">
        <f>INDEX('2月'!$B$4:$BQ$375,MATCH('3月'!B273,'2月'!$B$4:$B$375,0),67)+BN273</f>
        <v>2</v>
      </c>
      <c r="BQ273" s="702">
        <f>INDEX('2月'!$B$4:$BQ$375,MATCH('3月'!B273,'2月'!$B$4:$B$375,0),68)+BO273</f>
        <v>2</v>
      </c>
    </row>
    <row r="274" spans="2:69" s="6" customFormat="1" ht="50.1" customHeight="1">
      <c r="B274" s="201" t="str">
        <f>'1月'!$B$274</f>
        <v>斉藤　尚子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600"/>
      <c r="AH274" s="601"/>
      <c r="AI274" s="569"/>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102">
        <f t="shared" si="47"/>
        <v>0</v>
      </c>
      <c r="BO274" s="47">
        <f t="shared" si="48"/>
        <v>0</v>
      </c>
      <c r="BP274" s="631">
        <f>INDEX('2月'!$B$4:$BQ$375,MATCH('3月'!B274,'2月'!$B$4:$B$375,0),67)+BN274</f>
        <v>2</v>
      </c>
      <c r="BQ274" s="702">
        <f>INDEX('2月'!$B$4:$BQ$375,MATCH('3月'!B274,'2月'!$B$4:$B$375,0),68)+BO274</f>
        <v>4</v>
      </c>
    </row>
    <row r="275" spans="2:69" s="6" customFormat="1" ht="50.1" customHeight="1">
      <c r="B275" s="201" t="str">
        <f>'1月'!$B$275</f>
        <v>坂　美穂子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600"/>
      <c r="AH275" s="601"/>
      <c r="AI275" s="569"/>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102">
        <f t="shared" si="47"/>
        <v>0</v>
      </c>
      <c r="BO275" s="47">
        <f t="shared" si="48"/>
        <v>0</v>
      </c>
      <c r="BP275" s="631">
        <f>INDEX('2月'!$B$4:$BQ$375,MATCH('3月'!B275,'2月'!$B$4:$B$375,0),67)+BN275</f>
        <v>0</v>
      </c>
      <c r="BQ275" s="702">
        <f>INDEX('2月'!$B$4:$BQ$375,MATCH('3月'!B275,'2月'!$B$4:$B$375,0),68)+BO275</f>
        <v>0</v>
      </c>
    </row>
    <row r="276" spans="2:69" s="6" customFormat="1" ht="50.1" customHeight="1">
      <c r="B276" s="201" t="str">
        <f>'1月'!$B$276</f>
        <v>坂ノ上　由紀</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600"/>
      <c r="AH276" s="601"/>
      <c r="AI276" s="569"/>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102">
        <f t="shared" si="47"/>
        <v>0</v>
      </c>
      <c r="BO276" s="47">
        <f t="shared" si="48"/>
        <v>0</v>
      </c>
      <c r="BP276" s="631">
        <f>INDEX('2月'!$B$4:$BQ$375,MATCH('3月'!B276,'2月'!$B$4:$B$375,0),67)+BN276</f>
        <v>0</v>
      </c>
      <c r="BQ276" s="702">
        <f>INDEX('2月'!$B$4:$BQ$375,MATCH('3月'!B276,'2月'!$B$4:$B$375,0),68)+BO276</f>
        <v>0</v>
      </c>
    </row>
    <row r="277" spans="2:69" s="6" customFormat="1" ht="50.1" customHeight="1">
      <c r="B277" s="201" t="str">
        <f>'1月'!$B$277</f>
        <v>白石　華奈子</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600"/>
      <c r="AH277" s="601"/>
      <c r="AI277" s="569"/>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102">
        <f t="shared" si="47"/>
        <v>0</v>
      </c>
      <c r="BO277" s="47">
        <f t="shared" si="48"/>
        <v>0</v>
      </c>
      <c r="BP277" s="631">
        <f>INDEX('2月'!$B$4:$BQ$375,MATCH('3月'!B277,'2月'!$B$4:$B$375,0),67)+BN277</f>
        <v>0</v>
      </c>
      <c r="BQ277" s="702">
        <f>INDEX('2月'!$B$4:$BQ$375,MATCH('3月'!B277,'2月'!$B$4:$B$375,0),68)+BO277</f>
        <v>0</v>
      </c>
    </row>
    <row r="278" spans="2:69" s="6" customFormat="1" ht="50.1" customHeight="1">
      <c r="B278" s="201" t="str">
        <f>'1月'!$B$278</f>
        <v>清野　由貴子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600"/>
      <c r="AH278" s="601"/>
      <c r="AI278" s="569"/>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102">
        <f t="shared" si="47"/>
        <v>0</v>
      </c>
      <c r="BO278" s="47">
        <f t="shared" si="48"/>
        <v>0</v>
      </c>
      <c r="BP278" s="631">
        <f>INDEX('2月'!$B$4:$BQ$375,MATCH('3月'!B278,'2月'!$B$4:$B$375,0),67)+BN278</f>
        <v>0</v>
      </c>
      <c r="BQ278" s="702">
        <f>INDEX('2月'!$B$4:$BQ$375,MATCH('3月'!B278,'2月'!$B$4:$B$375,0),68)+BO278</f>
        <v>0</v>
      </c>
    </row>
    <row r="279" spans="2:69" s="6" customFormat="1" ht="50.1" customHeight="1">
      <c r="B279" s="201" t="str">
        <f>'1月'!$B$279</f>
        <v>玉川　妙子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600"/>
      <c r="AH279" s="601"/>
      <c r="AI279" s="569"/>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102">
        <f t="shared" si="47"/>
        <v>0</v>
      </c>
      <c r="BO279" s="47">
        <f t="shared" si="48"/>
        <v>0</v>
      </c>
      <c r="BP279" s="631">
        <f>INDEX('2月'!$B$4:$BQ$375,MATCH('3月'!B279,'2月'!$B$4:$B$375,0),67)+BN279</f>
        <v>0</v>
      </c>
      <c r="BQ279" s="702">
        <f>INDEX('2月'!$B$4:$BQ$375,MATCH('3月'!B279,'2月'!$B$4:$B$375,0),68)+BO279</f>
        <v>0</v>
      </c>
    </row>
    <row r="280" spans="2:69" s="6" customFormat="1" ht="50.1" customHeight="1">
      <c r="B280" s="201" t="str">
        <f>'1月'!$B$280</f>
        <v>林下　恵</v>
      </c>
      <c r="C280" s="146"/>
      <c r="D280" s="18"/>
      <c r="E280" s="14"/>
      <c r="F280" s="50"/>
      <c r="G280" s="20"/>
      <c r="H280" s="50"/>
      <c r="I280" s="20"/>
      <c r="J280" s="50"/>
      <c r="K280" s="20"/>
      <c r="L280" s="50"/>
      <c r="M280" s="20"/>
      <c r="N280" s="50"/>
      <c r="O280" s="20"/>
      <c r="P280" s="50"/>
      <c r="Q280" s="20"/>
      <c r="R280" s="50"/>
      <c r="S280" s="20"/>
      <c r="T280" s="50"/>
      <c r="U280" s="20"/>
      <c r="V280" s="50"/>
      <c r="W280" s="20"/>
      <c r="X280" s="50"/>
      <c r="Y280" s="20"/>
      <c r="Z280" s="50"/>
      <c r="AA280" s="20"/>
      <c r="AB280" s="50"/>
      <c r="AC280" s="20"/>
      <c r="AD280" s="50"/>
      <c r="AE280" s="20"/>
      <c r="AF280" s="18"/>
      <c r="AG280" s="594"/>
      <c r="AH280" s="601"/>
      <c r="AI280" s="593"/>
      <c r="AJ280" s="50"/>
      <c r="AK280" s="20"/>
      <c r="AL280" s="50"/>
      <c r="AM280" s="20"/>
      <c r="AN280" s="50"/>
      <c r="AO280" s="20"/>
      <c r="AP280" s="50"/>
      <c r="AQ280" s="20"/>
      <c r="AR280" s="50"/>
      <c r="AS280" s="20"/>
      <c r="AT280" s="50"/>
      <c r="AU280" s="20"/>
      <c r="AV280" s="50"/>
      <c r="AW280" s="20"/>
      <c r="AX280" s="50"/>
      <c r="AY280" s="20"/>
      <c r="AZ280" s="50"/>
      <c r="BA280" s="20"/>
      <c r="BB280" s="50"/>
      <c r="BC280" s="20"/>
      <c r="BD280" s="50"/>
      <c r="BE280" s="20"/>
      <c r="BF280" s="50"/>
      <c r="BG280" s="20"/>
      <c r="BH280" s="50"/>
      <c r="BI280" s="20"/>
      <c r="BJ280" s="50"/>
      <c r="BK280" s="21"/>
      <c r="BL280" s="38"/>
      <c r="BM280" s="20"/>
      <c r="BN280" s="102">
        <f t="shared" si="47"/>
        <v>0</v>
      </c>
      <c r="BO280" s="47">
        <f t="shared" si="48"/>
        <v>0</v>
      </c>
      <c r="BP280" s="631">
        <f>INDEX('2月'!$B$4:$BQ$375,MATCH('3月'!B280,'2月'!$B$4:$B$375,0),67)+BN280</f>
        <v>0</v>
      </c>
      <c r="BQ280" s="702">
        <f>INDEX('2月'!$B$4:$BQ$375,MATCH('3月'!B280,'2月'!$B$4:$B$375,0),68)+BO280</f>
        <v>0</v>
      </c>
    </row>
    <row r="281" spans="2:69" s="6" customFormat="1" ht="50.1" customHeight="1">
      <c r="B281" s="201" t="str">
        <f>'1月'!$B$281</f>
        <v>山村　恭代</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594"/>
      <c r="AH281" s="601"/>
      <c r="AI281" s="593"/>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102">
        <f t="shared" si="47"/>
        <v>0</v>
      </c>
      <c r="BO281" s="47">
        <f t="shared" si="48"/>
        <v>0</v>
      </c>
      <c r="BP281" s="631">
        <f>INDEX('2月'!$B$4:$BQ$375,MATCH('3月'!B281,'2月'!$B$4:$B$375,0),67)+BN281</f>
        <v>0</v>
      </c>
      <c r="BQ281" s="702">
        <f>INDEX('2月'!$B$4:$BQ$375,MATCH('3月'!B281,'2月'!$B$4:$B$375,0),68)+BO281</f>
        <v>0</v>
      </c>
    </row>
    <row r="282" spans="2:69" s="6" customFormat="1" ht="50.1" customHeight="1">
      <c r="B282" s="201" t="str">
        <f>'1月'!$B$282</f>
        <v>山本　えり子</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594"/>
      <c r="AH282" s="601"/>
      <c r="AI282" s="593"/>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102">
        <f t="shared" si="47"/>
        <v>0</v>
      </c>
      <c r="BO282" s="47">
        <f t="shared" si="48"/>
        <v>0</v>
      </c>
      <c r="BP282" s="631">
        <f>INDEX('2月'!$B$4:$BQ$375,MATCH('3月'!B282,'2月'!$B$4:$B$375,0),67)+BN282</f>
        <v>0</v>
      </c>
      <c r="BQ282" s="702">
        <f>INDEX('2月'!$B$4:$BQ$375,MATCH('3月'!B282,'2月'!$B$4:$B$375,0),68)+BO282</f>
        <v>0</v>
      </c>
    </row>
    <row r="283" spans="2:69" s="6" customFormat="1" ht="50.1" customHeight="1">
      <c r="B283" s="201">
        <f>'1月'!$B$283</f>
        <v>0</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594"/>
      <c r="AH283" s="601"/>
      <c r="AI283" s="593"/>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02">
        <f t="shared" si="47"/>
        <v>0</v>
      </c>
      <c r="BO283" s="47">
        <f t="shared" si="48"/>
        <v>0</v>
      </c>
      <c r="BP283" s="631"/>
      <c r="BQ283" s="559"/>
    </row>
    <row r="284" spans="2:69" s="6" customFormat="1" ht="15.95" customHeight="1">
      <c r="B284" s="154">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594"/>
      <c r="AH284" s="601"/>
      <c r="AI284" s="593"/>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02">
        <f t="shared" si="47"/>
        <v>0</v>
      </c>
      <c r="BO284" s="47">
        <f t="shared" si="48"/>
        <v>0</v>
      </c>
      <c r="BP284" s="631"/>
      <c r="BQ284" s="559"/>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594"/>
      <c r="AH285" s="612"/>
      <c r="AI285" s="593"/>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02">
        <f t="shared" si="47"/>
        <v>0</v>
      </c>
      <c r="BO285" s="47">
        <f t="shared" si="48"/>
        <v>0</v>
      </c>
      <c r="BP285" s="631"/>
      <c r="BQ285" s="559"/>
    </row>
    <row r="286" spans="2:69" s="6" customFormat="1" ht="15.95" customHeight="1">
      <c r="B286" s="154">
        <f>'1月'!$B$286</f>
        <v>0</v>
      </c>
      <c r="C286" s="146"/>
      <c r="D286" s="60"/>
      <c r="E286" s="61"/>
      <c r="F286" s="60"/>
      <c r="G286" s="61"/>
      <c r="H286" s="60"/>
      <c r="I286" s="61"/>
      <c r="J286" s="60"/>
      <c r="K286" s="61"/>
      <c r="L286" s="60"/>
      <c r="M286" s="61"/>
      <c r="N286" s="60"/>
      <c r="O286" s="61"/>
      <c r="P286" s="60"/>
      <c r="Q286" s="61"/>
      <c r="R286" s="60"/>
      <c r="S286" s="61"/>
      <c r="T286" s="60"/>
      <c r="U286" s="61"/>
      <c r="V286" s="60"/>
      <c r="W286" s="61"/>
      <c r="X286" s="60"/>
      <c r="Y286" s="61"/>
      <c r="Z286" s="60"/>
      <c r="AA286" s="61"/>
      <c r="AB286" s="60"/>
      <c r="AC286" s="61"/>
      <c r="AD286" s="60"/>
      <c r="AE286" s="61"/>
      <c r="AF286" s="18"/>
      <c r="AG286" s="605"/>
      <c r="AH286" s="612"/>
      <c r="AI286" s="593"/>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02">
        <f t="shared" si="47"/>
        <v>0</v>
      </c>
      <c r="BO286" s="47">
        <f t="shared" si="48"/>
        <v>0</v>
      </c>
      <c r="BP286" s="631"/>
      <c r="BQ286" s="559"/>
    </row>
    <row r="287" spans="2:69" s="6" customFormat="1" ht="15.95" customHeight="1">
      <c r="B287" s="154">
        <f>'1月'!$B$287</f>
        <v>0</v>
      </c>
      <c r="C287" s="146"/>
      <c r="D287" s="50"/>
      <c r="E287" s="20"/>
      <c r="F287" s="50"/>
      <c r="G287" s="20"/>
      <c r="H287" s="50"/>
      <c r="I287" s="20"/>
      <c r="J287" s="50"/>
      <c r="K287" s="20"/>
      <c r="L287" s="50"/>
      <c r="M287" s="20"/>
      <c r="N287" s="50"/>
      <c r="O287" s="20"/>
      <c r="P287" s="50"/>
      <c r="Q287" s="20"/>
      <c r="R287" s="50"/>
      <c r="S287" s="20"/>
      <c r="T287" s="50"/>
      <c r="U287" s="20"/>
      <c r="V287" s="50"/>
      <c r="W287" s="20"/>
      <c r="X287" s="50"/>
      <c r="Y287" s="20"/>
      <c r="Z287" s="50"/>
      <c r="AA287" s="20"/>
      <c r="AB287" s="50"/>
      <c r="AC287" s="20"/>
      <c r="AD287" s="50"/>
      <c r="AE287" s="20"/>
      <c r="AF287" s="50"/>
      <c r="AG287" s="594"/>
      <c r="AH287" s="612"/>
      <c r="AI287" s="593"/>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02">
        <f t="shared" si="47"/>
        <v>0</v>
      </c>
      <c r="BO287" s="47">
        <f t="shared" si="48"/>
        <v>0</v>
      </c>
      <c r="BP287" s="631"/>
      <c r="BQ287" s="559"/>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594"/>
      <c r="AH288" s="612"/>
      <c r="AI288" s="593"/>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02">
        <f t="shared" si="47"/>
        <v>0</v>
      </c>
      <c r="BO288" s="47">
        <f t="shared" si="48"/>
        <v>0</v>
      </c>
      <c r="BP288" s="631"/>
      <c r="BQ288" s="559"/>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594"/>
      <c r="AH289" s="612"/>
      <c r="AI289" s="593"/>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02">
        <f t="shared" si="47"/>
        <v>0</v>
      </c>
      <c r="BO289" s="47">
        <f t="shared" si="48"/>
        <v>0</v>
      </c>
      <c r="BP289" s="631"/>
      <c r="BQ289" s="559"/>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594"/>
      <c r="AH290" s="612"/>
      <c r="AI290" s="593"/>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02">
        <f t="shared" si="47"/>
        <v>0</v>
      </c>
      <c r="BO290" s="47">
        <f t="shared" si="48"/>
        <v>0</v>
      </c>
      <c r="BP290" s="631"/>
      <c r="BQ290" s="559"/>
    </row>
    <row r="291" spans="2:69" s="6" customFormat="1" ht="15.95" customHeight="1" thickBot="1">
      <c r="B291" s="155">
        <f>'1月'!$B$291</f>
        <v>0</v>
      </c>
      <c r="C291" s="147"/>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594"/>
      <c r="AH291" s="601"/>
      <c r="AI291" s="569"/>
      <c r="AJ291" s="18"/>
      <c r="AK291" s="14"/>
      <c r="AL291" s="18"/>
      <c r="AM291" s="14"/>
      <c r="AN291" s="18"/>
      <c r="AO291" s="14"/>
      <c r="AP291" s="18"/>
      <c r="AQ291" s="14"/>
      <c r="AR291" s="18"/>
      <c r="AS291" s="14"/>
      <c r="AT291" s="18"/>
      <c r="AU291" s="14"/>
      <c r="AV291" s="18"/>
      <c r="AW291" s="14"/>
      <c r="AX291" s="18"/>
      <c r="AY291" s="14"/>
      <c r="AZ291" s="18"/>
      <c r="BA291" s="14"/>
      <c r="BB291" s="18"/>
      <c r="BC291" s="14"/>
      <c r="BD291" s="18"/>
      <c r="BE291" s="14"/>
      <c r="BF291" s="18"/>
      <c r="BG291" s="14"/>
      <c r="BH291" s="18"/>
      <c r="BI291" s="14"/>
      <c r="BJ291" s="18"/>
      <c r="BK291" s="15"/>
      <c r="BL291" s="37"/>
      <c r="BM291" s="14"/>
      <c r="BN291" s="102">
        <f t="shared" si="47"/>
        <v>0</v>
      </c>
      <c r="BO291" s="47">
        <f t="shared" si="48"/>
        <v>0</v>
      </c>
      <c r="BP291" s="631"/>
      <c r="BQ291" s="559"/>
    </row>
    <row r="292" spans="2:69" s="6" customFormat="1" ht="48" customHeight="1" thickBot="1">
      <c r="B292" s="119" t="s">
        <v>101</v>
      </c>
      <c r="C292" s="149"/>
      <c r="D292" s="29">
        <f t="shared" ref="D292:AI292" si="49">SUM(D264:D291)</f>
        <v>0</v>
      </c>
      <c r="E292" s="31">
        <f t="shared" si="49"/>
        <v>0</v>
      </c>
      <c r="F292" s="29">
        <f t="shared" si="49"/>
        <v>0</v>
      </c>
      <c r="G292" s="31">
        <f t="shared" si="49"/>
        <v>0</v>
      </c>
      <c r="H292" s="29">
        <f t="shared" si="49"/>
        <v>0</v>
      </c>
      <c r="I292" s="31">
        <f t="shared" si="49"/>
        <v>0</v>
      </c>
      <c r="J292" s="29">
        <f t="shared" si="49"/>
        <v>0</v>
      </c>
      <c r="K292" s="31">
        <f t="shared" si="49"/>
        <v>0</v>
      </c>
      <c r="L292" s="29">
        <f t="shared" si="49"/>
        <v>0</v>
      </c>
      <c r="M292" s="31">
        <f t="shared" si="49"/>
        <v>0</v>
      </c>
      <c r="N292" s="29">
        <f t="shared" si="49"/>
        <v>0</v>
      </c>
      <c r="O292" s="31">
        <f t="shared" si="49"/>
        <v>0</v>
      </c>
      <c r="P292" s="29">
        <f t="shared" si="49"/>
        <v>0</v>
      </c>
      <c r="Q292" s="31">
        <f t="shared" si="49"/>
        <v>0</v>
      </c>
      <c r="R292" s="29">
        <f t="shared" si="49"/>
        <v>0</v>
      </c>
      <c r="S292" s="31">
        <f t="shared" si="49"/>
        <v>0</v>
      </c>
      <c r="T292" s="29">
        <f t="shared" si="49"/>
        <v>0</v>
      </c>
      <c r="U292" s="31">
        <f t="shared" si="49"/>
        <v>0</v>
      </c>
      <c r="V292" s="29">
        <f t="shared" si="49"/>
        <v>0</v>
      </c>
      <c r="W292" s="31">
        <f t="shared" si="49"/>
        <v>0</v>
      </c>
      <c r="X292" s="29">
        <f t="shared" si="49"/>
        <v>0</v>
      </c>
      <c r="Y292" s="31">
        <f t="shared" si="49"/>
        <v>0</v>
      </c>
      <c r="Z292" s="29">
        <f t="shared" si="49"/>
        <v>0</v>
      </c>
      <c r="AA292" s="31">
        <f t="shared" si="49"/>
        <v>0</v>
      </c>
      <c r="AB292" s="29">
        <f t="shared" si="49"/>
        <v>0</v>
      </c>
      <c r="AC292" s="31">
        <f t="shared" si="49"/>
        <v>0</v>
      </c>
      <c r="AD292" s="29">
        <f t="shared" si="49"/>
        <v>0</v>
      </c>
      <c r="AE292" s="31">
        <f t="shared" si="49"/>
        <v>0</v>
      </c>
      <c r="AF292" s="29">
        <f t="shared" si="49"/>
        <v>0</v>
      </c>
      <c r="AG292" s="41">
        <f t="shared" si="49"/>
        <v>0</v>
      </c>
      <c r="AH292" s="39">
        <f t="shared" si="49"/>
        <v>0</v>
      </c>
      <c r="AI292" s="31">
        <f t="shared" si="49"/>
        <v>0</v>
      </c>
      <c r="AJ292" s="29">
        <f t="shared" ref="AJ292:BO292" si="50">SUM(AJ264:AJ291)</f>
        <v>0</v>
      </c>
      <c r="AK292" s="31">
        <f t="shared" si="50"/>
        <v>0</v>
      </c>
      <c r="AL292" s="29">
        <f t="shared" si="50"/>
        <v>0</v>
      </c>
      <c r="AM292" s="31">
        <f t="shared" si="50"/>
        <v>0</v>
      </c>
      <c r="AN292" s="29">
        <f t="shared" si="50"/>
        <v>0</v>
      </c>
      <c r="AO292" s="31">
        <f t="shared" si="50"/>
        <v>0</v>
      </c>
      <c r="AP292" s="29">
        <f t="shared" si="50"/>
        <v>0</v>
      </c>
      <c r="AQ292" s="31">
        <f t="shared" si="50"/>
        <v>0</v>
      </c>
      <c r="AR292" s="29">
        <f t="shared" si="50"/>
        <v>0</v>
      </c>
      <c r="AS292" s="31">
        <f t="shared" si="50"/>
        <v>0</v>
      </c>
      <c r="AT292" s="29">
        <f t="shared" si="50"/>
        <v>0</v>
      </c>
      <c r="AU292" s="31">
        <f t="shared" si="50"/>
        <v>0</v>
      </c>
      <c r="AV292" s="29">
        <f t="shared" si="50"/>
        <v>0</v>
      </c>
      <c r="AW292" s="31">
        <f t="shared" si="50"/>
        <v>0</v>
      </c>
      <c r="AX292" s="29">
        <f t="shared" si="50"/>
        <v>0</v>
      </c>
      <c r="AY292" s="31">
        <f t="shared" si="50"/>
        <v>0</v>
      </c>
      <c r="AZ292" s="29">
        <f t="shared" si="50"/>
        <v>0</v>
      </c>
      <c r="BA292" s="31">
        <f t="shared" si="50"/>
        <v>0</v>
      </c>
      <c r="BB292" s="29">
        <f t="shared" si="50"/>
        <v>0</v>
      </c>
      <c r="BC292" s="31">
        <f t="shared" si="50"/>
        <v>0</v>
      </c>
      <c r="BD292" s="29">
        <f t="shared" si="50"/>
        <v>0</v>
      </c>
      <c r="BE292" s="31">
        <f t="shared" si="50"/>
        <v>0</v>
      </c>
      <c r="BF292" s="29">
        <f t="shared" si="50"/>
        <v>0</v>
      </c>
      <c r="BG292" s="31">
        <f t="shared" si="50"/>
        <v>0</v>
      </c>
      <c r="BH292" s="29">
        <f t="shared" si="50"/>
        <v>0</v>
      </c>
      <c r="BI292" s="31">
        <f t="shared" si="50"/>
        <v>0</v>
      </c>
      <c r="BJ292" s="29">
        <f t="shared" si="50"/>
        <v>0</v>
      </c>
      <c r="BK292" s="41">
        <f t="shared" si="50"/>
        <v>0</v>
      </c>
      <c r="BL292" s="39">
        <f t="shared" si="50"/>
        <v>0</v>
      </c>
      <c r="BM292" s="31">
        <f t="shared" si="50"/>
        <v>0</v>
      </c>
      <c r="BN292" s="32">
        <f t="shared" si="50"/>
        <v>0</v>
      </c>
      <c r="BO292" s="40">
        <f t="shared" si="50"/>
        <v>0</v>
      </c>
      <c r="BP292" s="257">
        <f>SUM(BP264:BP291)</f>
        <v>9</v>
      </c>
      <c r="BQ292" s="240">
        <f>SUM(BQ264:BQ291)</f>
        <v>14</v>
      </c>
    </row>
    <row r="293" spans="2:69" ht="24.75" customHeight="1">
      <c r="B293" s="120"/>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34"/>
      <c r="BL293" s="7"/>
      <c r="BM293" s="34"/>
      <c r="BN293" s="7"/>
      <c r="BO293" s="7"/>
    </row>
    <row r="294" spans="2:69" ht="24.75" customHeight="1" thickBot="1">
      <c r="B294" s="120"/>
      <c r="AG294" s="8"/>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8"/>
      <c r="BL294" s="7"/>
      <c r="BM294" s="8"/>
      <c r="BN294" s="7"/>
      <c r="BO294" s="7"/>
    </row>
    <row r="295" spans="2:69" ht="24.95" customHeight="1">
      <c r="B295" s="743" t="s">
        <v>147</v>
      </c>
      <c r="C295" s="749">
        <f>COUNTIF(B298:B326,"*")</f>
        <v>26</v>
      </c>
      <c r="D295" s="751">
        <v>1</v>
      </c>
      <c r="E295" s="738"/>
      <c r="F295" s="737">
        <v>2</v>
      </c>
      <c r="G295" s="738"/>
      <c r="H295" s="737">
        <v>3</v>
      </c>
      <c r="I295" s="738"/>
      <c r="J295" s="737">
        <v>4</v>
      </c>
      <c r="K295" s="738"/>
      <c r="L295" s="737">
        <v>5</v>
      </c>
      <c r="M295" s="738"/>
      <c r="N295" s="737">
        <v>6</v>
      </c>
      <c r="O295" s="738"/>
      <c r="P295" s="737">
        <v>7</v>
      </c>
      <c r="Q295" s="738"/>
      <c r="R295" s="737">
        <v>8</v>
      </c>
      <c r="S295" s="738"/>
      <c r="T295" s="737">
        <v>9</v>
      </c>
      <c r="U295" s="738"/>
      <c r="V295" s="737">
        <v>10</v>
      </c>
      <c r="W295" s="738"/>
      <c r="X295" s="737">
        <v>11</v>
      </c>
      <c r="Y295" s="738"/>
      <c r="Z295" s="737">
        <v>12</v>
      </c>
      <c r="AA295" s="738"/>
      <c r="AB295" s="737">
        <v>13</v>
      </c>
      <c r="AC295" s="738"/>
      <c r="AD295" s="737">
        <v>14</v>
      </c>
      <c r="AE295" s="738"/>
      <c r="AF295" s="737">
        <v>15</v>
      </c>
      <c r="AG295" s="742"/>
      <c r="AH295" s="741">
        <v>16</v>
      </c>
      <c r="AI295" s="741"/>
      <c r="AJ295" s="741">
        <v>17</v>
      </c>
      <c r="AK295" s="741"/>
      <c r="AL295" s="741">
        <v>18</v>
      </c>
      <c r="AM295" s="741"/>
      <c r="AN295" s="741">
        <v>19</v>
      </c>
      <c r="AO295" s="741"/>
      <c r="AP295" s="741">
        <v>20</v>
      </c>
      <c r="AQ295" s="741"/>
      <c r="AR295" s="741">
        <v>21</v>
      </c>
      <c r="AS295" s="741"/>
      <c r="AT295" s="741">
        <v>22</v>
      </c>
      <c r="AU295" s="741"/>
      <c r="AV295" s="741">
        <v>23</v>
      </c>
      <c r="AW295" s="741"/>
      <c r="AX295" s="741">
        <v>24</v>
      </c>
      <c r="AY295" s="741"/>
      <c r="AZ295" s="741">
        <v>25</v>
      </c>
      <c r="BA295" s="741"/>
      <c r="BB295" s="741">
        <v>26</v>
      </c>
      <c r="BC295" s="741"/>
      <c r="BD295" s="741">
        <v>27</v>
      </c>
      <c r="BE295" s="741"/>
      <c r="BF295" s="741">
        <v>28</v>
      </c>
      <c r="BG295" s="741"/>
      <c r="BH295" s="741">
        <v>29</v>
      </c>
      <c r="BI295" s="741"/>
      <c r="BJ295" s="741">
        <v>30</v>
      </c>
      <c r="BK295" s="741"/>
      <c r="BL295" s="741">
        <v>31</v>
      </c>
      <c r="BM295" s="741"/>
      <c r="BN295" s="738" t="s">
        <v>251</v>
      </c>
      <c r="BO295" s="760"/>
      <c r="BP295" s="771" t="s">
        <v>353</v>
      </c>
      <c r="BQ295" s="772"/>
    </row>
    <row r="296" spans="2:69" ht="24.95" customHeight="1">
      <c r="B296" s="744"/>
      <c r="C296" s="747"/>
      <c r="D296" s="752" t="str">
        <f>D2</f>
        <v>土</v>
      </c>
      <c r="E296" s="740"/>
      <c r="F296" s="739" t="str">
        <f>F2</f>
        <v>日</v>
      </c>
      <c r="G296" s="740"/>
      <c r="H296" s="739" t="str">
        <f>H2</f>
        <v>月</v>
      </c>
      <c r="I296" s="740"/>
      <c r="J296" s="739" t="str">
        <f>J2</f>
        <v>火</v>
      </c>
      <c r="K296" s="740"/>
      <c r="L296" s="739" t="str">
        <f>L2</f>
        <v>水</v>
      </c>
      <c r="M296" s="740"/>
      <c r="N296" s="739" t="str">
        <f>N2</f>
        <v>木</v>
      </c>
      <c r="O296" s="740"/>
      <c r="P296" s="739" t="str">
        <f>P2</f>
        <v>金</v>
      </c>
      <c r="Q296" s="740"/>
      <c r="R296" s="739" t="str">
        <f>R2</f>
        <v>土</v>
      </c>
      <c r="S296" s="740"/>
      <c r="T296" s="739" t="str">
        <f>T2</f>
        <v>日</v>
      </c>
      <c r="U296" s="740"/>
      <c r="V296" s="739" t="str">
        <f>V2</f>
        <v>月</v>
      </c>
      <c r="W296" s="740"/>
      <c r="X296" s="739" t="str">
        <f>X2</f>
        <v>火</v>
      </c>
      <c r="Y296" s="740"/>
      <c r="Z296" s="739" t="str">
        <f>Z2</f>
        <v>水</v>
      </c>
      <c r="AA296" s="740"/>
      <c r="AB296" s="739" t="str">
        <f>AB2</f>
        <v>木</v>
      </c>
      <c r="AC296" s="740"/>
      <c r="AD296" s="739" t="str">
        <f>AD2</f>
        <v>金</v>
      </c>
      <c r="AE296" s="740"/>
      <c r="AF296" s="739" t="str">
        <f>AF2</f>
        <v>土</v>
      </c>
      <c r="AG296" s="756"/>
      <c r="AH296" s="768" t="str">
        <f>AH2</f>
        <v>日</v>
      </c>
      <c r="AI296" s="769"/>
      <c r="AJ296" s="770" t="str">
        <f>AJ2</f>
        <v>月</v>
      </c>
      <c r="AK296" s="770"/>
      <c r="AL296" s="770" t="str">
        <f>AL2</f>
        <v>火</v>
      </c>
      <c r="AM296" s="770"/>
      <c r="AN296" s="770" t="str">
        <f>AN2</f>
        <v>水</v>
      </c>
      <c r="AO296" s="770"/>
      <c r="AP296" s="770" t="str">
        <f>AP2</f>
        <v>木</v>
      </c>
      <c r="AQ296" s="770"/>
      <c r="AR296" s="770" t="str">
        <f>AR2</f>
        <v>金</v>
      </c>
      <c r="AS296" s="770"/>
      <c r="AT296" s="770" t="str">
        <f>AT2</f>
        <v>土</v>
      </c>
      <c r="AU296" s="770"/>
      <c r="AV296" s="770" t="str">
        <f>AV2</f>
        <v>日</v>
      </c>
      <c r="AW296" s="770"/>
      <c r="AX296" s="770" t="str">
        <f>AX2</f>
        <v>月</v>
      </c>
      <c r="AY296" s="770"/>
      <c r="AZ296" s="770" t="str">
        <f>AZ2</f>
        <v>火</v>
      </c>
      <c r="BA296" s="770"/>
      <c r="BB296" s="770" t="str">
        <f>BB2</f>
        <v>水</v>
      </c>
      <c r="BC296" s="770"/>
      <c r="BD296" s="770" t="str">
        <f>BD2</f>
        <v>木</v>
      </c>
      <c r="BE296" s="770"/>
      <c r="BF296" s="770" t="str">
        <f>BF2</f>
        <v>金</v>
      </c>
      <c r="BG296" s="770"/>
      <c r="BH296" s="770" t="str">
        <f>BH2</f>
        <v>土</v>
      </c>
      <c r="BI296" s="770"/>
      <c r="BJ296" s="770" t="str">
        <f>BJ2</f>
        <v>日</v>
      </c>
      <c r="BK296" s="770"/>
      <c r="BL296" s="770" t="str">
        <f>BL2</f>
        <v>月</v>
      </c>
      <c r="BM296" s="770"/>
      <c r="BN296" s="761"/>
      <c r="BO296" s="762"/>
      <c r="BP296" s="773"/>
      <c r="BQ296" s="774"/>
    </row>
    <row r="297" spans="2:69" ht="24.95" customHeight="1" thickBot="1">
      <c r="B297" s="744"/>
      <c r="C297" s="747"/>
      <c r="D297" s="482" t="s">
        <v>72</v>
      </c>
      <c r="E297" s="481" t="s">
        <v>73</v>
      </c>
      <c r="F297" s="480" t="s">
        <v>72</v>
      </c>
      <c r="G297" s="481" t="s">
        <v>73</v>
      </c>
      <c r="H297" s="480" t="s">
        <v>72</v>
      </c>
      <c r="I297" s="481" t="s">
        <v>73</v>
      </c>
      <c r="J297" s="482" t="s">
        <v>72</v>
      </c>
      <c r="K297" s="481" t="s">
        <v>73</v>
      </c>
      <c r="L297" s="482" t="s">
        <v>72</v>
      </c>
      <c r="M297" s="481" t="s">
        <v>73</v>
      </c>
      <c r="N297" s="482" t="s">
        <v>72</v>
      </c>
      <c r="O297" s="481" t="s">
        <v>73</v>
      </c>
      <c r="P297" s="482" t="s">
        <v>72</v>
      </c>
      <c r="Q297" s="481" t="s">
        <v>73</v>
      </c>
      <c r="R297" s="482" t="s">
        <v>72</v>
      </c>
      <c r="S297" s="481" t="s">
        <v>73</v>
      </c>
      <c r="T297" s="482" t="s">
        <v>72</v>
      </c>
      <c r="U297" s="481" t="s">
        <v>73</v>
      </c>
      <c r="V297" s="482" t="s">
        <v>72</v>
      </c>
      <c r="W297" s="481" t="s">
        <v>73</v>
      </c>
      <c r="X297" s="482" t="s">
        <v>72</v>
      </c>
      <c r="Y297" s="481" t="s">
        <v>73</v>
      </c>
      <c r="Z297" s="482" t="s">
        <v>72</v>
      </c>
      <c r="AA297" s="107" t="s">
        <v>73</v>
      </c>
      <c r="AB297" s="194" t="s">
        <v>72</v>
      </c>
      <c r="AC297" s="107" t="s">
        <v>73</v>
      </c>
      <c r="AD297" s="194" t="s">
        <v>72</v>
      </c>
      <c r="AE297" s="107" t="s">
        <v>73</v>
      </c>
      <c r="AF297" s="194" t="s">
        <v>72</v>
      </c>
      <c r="AG297" s="584" t="s">
        <v>73</v>
      </c>
      <c r="AH297" s="552" t="s">
        <v>72</v>
      </c>
      <c r="AI297" s="583" t="s">
        <v>73</v>
      </c>
      <c r="AJ297" s="480" t="s">
        <v>72</v>
      </c>
      <c r="AK297" s="481" t="s">
        <v>73</v>
      </c>
      <c r="AL297" s="480" t="s">
        <v>72</v>
      </c>
      <c r="AM297" s="481" t="s">
        <v>73</v>
      </c>
      <c r="AN297" s="482" t="s">
        <v>72</v>
      </c>
      <c r="AO297" s="481" t="s">
        <v>73</v>
      </c>
      <c r="AP297" s="482" t="s">
        <v>72</v>
      </c>
      <c r="AQ297" s="481" t="s">
        <v>73</v>
      </c>
      <c r="AR297" s="482" t="s">
        <v>72</v>
      </c>
      <c r="AS297" s="481" t="s">
        <v>73</v>
      </c>
      <c r="AT297" s="482" t="s">
        <v>72</v>
      </c>
      <c r="AU297" s="481" t="s">
        <v>73</v>
      </c>
      <c r="AV297" s="482" t="s">
        <v>72</v>
      </c>
      <c r="AW297" s="481" t="s">
        <v>73</v>
      </c>
      <c r="AX297" s="482" t="s">
        <v>72</v>
      </c>
      <c r="AY297" s="481" t="s">
        <v>73</v>
      </c>
      <c r="AZ297" s="482" t="s">
        <v>72</v>
      </c>
      <c r="BA297" s="481" t="s">
        <v>73</v>
      </c>
      <c r="BB297" s="482" t="s">
        <v>72</v>
      </c>
      <c r="BC297" s="481" t="s">
        <v>73</v>
      </c>
      <c r="BD297" s="482" t="s">
        <v>72</v>
      </c>
      <c r="BE297" s="107" t="s">
        <v>73</v>
      </c>
      <c r="BF297" s="194" t="s">
        <v>72</v>
      </c>
      <c r="BG297" s="107" t="s">
        <v>73</v>
      </c>
      <c r="BH297" s="194" t="s">
        <v>72</v>
      </c>
      <c r="BI297" s="107" t="s">
        <v>73</v>
      </c>
      <c r="BJ297" s="194" t="s">
        <v>72</v>
      </c>
      <c r="BK297" s="107" t="s">
        <v>73</v>
      </c>
      <c r="BL297" s="194" t="s">
        <v>72</v>
      </c>
      <c r="BM297" s="107" t="s">
        <v>73</v>
      </c>
      <c r="BN297" s="98" t="s">
        <v>72</v>
      </c>
      <c r="BO297" s="107" t="s">
        <v>73</v>
      </c>
      <c r="BP297" s="477" t="s">
        <v>252</v>
      </c>
      <c r="BQ297" s="478" t="s">
        <v>254</v>
      </c>
    </row>
    <row r="298" spans="2:69" ht="45" customHeight="1" thickTop="1">
      <c r="B298" s="205" t="str">
        <f>'1月'!$B$298</f>
        <v>泉山　郁子</v>
      </c>
      <c r="C298" s="152"/>
      <c r="D298" s="46"/>
      <c r="E298" s="9"/>
      <c r="F298" s="46"/>
      <c r="G298" s="9"/>
      <c r="H298" s="46"/>
      <c r="I298" s="9"/>
      <c r="J298" s="46"/>
      <c r="K298" s="9"/>
      <c r="L298" s="46"/>
      <c r="M298" s="9"/>
      <c r="N298" s="46"/>
      <c r="O298" s="9"/>
      <c r="P298" s="46"/>
      <c r="Q298" s="9"/>
      <c r="R298" s="46"/>
      <c r="S298" s="9"/>
      <c r="T298" s="46"/>
      <c r="U298" s="9"/>
      <c r="V298" s="46"/>
      <c r="W298" s="9"/>
      <c r="X298" s="46"/>
      <c r="Y298" s="9"/>
      <c r="Z298" s="46"/>
      <c r="AA298" s="9"/>
      <c r="AB298" s="46"/>
      <c r="AC298" s="9"/>
      <c r="AD298" s="46"/>
      <c r="AE298" s="9"/>
      <c r="AF298" s="46"/>
      <c r="AG298" s="10"/>
      <c r="AH298" s="179"/>
      <c r="AI298" s="9"/>
      <c r="AJ298" s="46"/>
      <c r="AK298" s="9"/>
      <c r="AL298" s="46"/>
      <c r="AM298" s="9"/>
      <c r="AN298" s="46"/>
      <c r="AO298" s="9"/>
      <c r="AP298" s="46"/>
      <c r="AQ298" s="9"/>
      <c r="AR298" s="46"/>
      <c r="AS298" s="9"/>
      <c r="AT298" s="46"/>
      <c r="AU298" s="9"/>
      <c r="AV298" s="46"/>
      <c r="AW298" s="9"/>
      <c r="AX298" s="46"/>
      <c r="AY298" s="9"/>
      <c r="AZ298" s="46"/>
      <c r="BA298" s="9"/>
      <c r="BB298" s="46"/>
      <c r="BC298" s="9"/>
      <c r="BD298" s="46"/>
      <c r="BE298" s="9"/>
      <c r="BF298" s="46"/>
      <c r="BG298" s="9"/>
      <c r="BH298" s="46"/>
      <c r="BI298" s="9"/>
      <c r="BJ298" s="46"/>
      <c r="BK298" s="9"/>
      <c r="BL298" s="46"/>
      <c r="BM298" s="10"/>
      <c r="BN298" s="102">
        <f>SUM(D298,F298,H298,J298,L298,N298,P298,R298,T298,V298,X298,Z298,AB298,AD298,AF298,AH298,AJ298,AL298,AN298,AP298,AR298,AT298,AV298,AX298,AZ298,BB298,BD298,BF298,BH298,BJ298,BL298)</f>
        <v>0</v>
      </c>
      <c r="BO298" s="47">
        <f>SUM(E298,G298,I298,K298,M298,O298,Q298,S298,U298,W298,Y298,AA298,AC298,AE298,AG298,AI298,AK298,AM298,AO298,AQ298,AS298,AU298,AW298,AY298,BA298,BC298,BE298,BG298,BI298,BK298,BM298)</f>
        <v>0</v>
      </c>
      <c r="BP298" s="631">
        <f>INDEX('2月'!$B$4:$BQ$375,MATCH('3月'!B298,'2月'!$B$4:$B$375,0),67)+BN298</f>
        <v>0</v>
      </c>
      <c r="BQ298" s="702">
        <f>INDEX('2月'!$B$4:$BQ$375,MATCH('3月'!B298,'2月'!$B$4:$B$375,0),68)+BO298</f>
        <v>0</v>
      </c>
    </row>
    <row r="299" spans="2:69" s="6" customFormat="1" ht="50.1" customHeight="1">
      <c r="B299" s="201" t="str">
        <f>'1月'!$B$299</f>
        <v>伊藤　良子</v>
      </c>
      <c r="C299" s="146"/>
      <c r="D299" s="18"/>
      <c r="E299" s="14"/>
      <c r="F299" s="18"/>
      <c r="G299" s="14"/>
      <c r="H299" s="18"/>
      <c r="I299" s="14"/>
      <c r="J299" s="18"/>
      <c r="K299" s="14"/>
      <c r="L299" s="18"/>
      <c r="M299" s="14"/>
      <c r="N299" s="18"/>
      <c r="O299" s="14"/>
      <c r="P299" s="18"/>
      <c r="Q299" s="14"/>
      <c r="R299" s="18"/>
      <c r="S299" s="14"/>
      <c r="T299" s="18"/>
      <c r="U299" s="14"/>
      <c r="V299" s="18"/>
      <c r="W299" s="14"/>
      <c r="X299" s="18"/>
      <c r="Y299" s="14"/>
      <c r="Z299" s="18"/>
      <c r="AA299" s="14"/>
      <c r="AB299" s="18"/>
      <c r="AC299" s="14"/>
      <c r="AD299" s="18"/>
      <c r="AE299" s="14"/>
      <c r="AF299" s="18"/>
      <c r="AG299" s="14"/>
      <c r="AH299" s="18"/>
      <c r="AI299" s="14"/>
      <c r="AJ299" s="18"/>
      <c r="AK299" s="14"/>
      <c r="AL299" s="18"/>
      <c r="AM299" s="14"/>
      <c r="AN299" s="18"/>
      <c r="AO299" s="14"/>
      <c r="AP299" s="18"/>
      <c r="AQ299" s="14"/>
      <c r="AR299" s="18"/>
      <c r="AS299" s="14"/>
      <c r="AT299" s="18"/>
      <c r="AU299" s="14"/>
      <c r="AV299" s="18"/>
      <c r="AW299" s="14"/>
      <c r="AX299" s="18"/>
      <c r="AY299" s="14"/>
      <c r="AZ299" s="18"/>
      <c r="BA299" s="14"/>
      <c r="BB299" s="18"/>
      <c r="BC299" s="14"/>
      <c r="BD299" s="18"/>
      <c r="BE299" s="14"/>
      <c r="BF299" s="18"/>
      <c r="BG299" s="14"/>
      <c r="BH299" s="18"/>
      <c r="BI299" s="14"/>
      <c r="BJ299" s="18"/>
      <c r="BK299" s="14"/>
      <c r="BL299" s="18"/>
      <c r="BM299" s="15"/>
      <c r="BN299" s="102">
        <f t="shared" ref="BN299:BN326" si="51">SUM(D299,F299,H299,J299,L299,N299,P299,R299,T299,V299,X299,Z299,AB299,AD299,AF299,AH299,AJ299,AL299,AN299,AP299,AR299,AT299,AV299,AX299,AZ299,BB299,BD299,BF299,BH299,BJ299,BL299)</f>
        <v>0</v>
      </c>
      <c r="BO299" s="47">
        <f t="shared" ref="BO299:BO326" si="52">SUM(E299,G299,I299,K299,M299,O299,Q299,S299,U299,W299,Y299,AA299,AC299,AE299,AG299,AI299,AK299,AM299,AO299,AQ299,AS299,AU299,AW299,AY299,BA299,BC299,BE299,BG299,BI299,BK299,BM299)</f>
        <v>0</v>
      </c>
      <c r="BP299" s="631">
        <f>INDEX('2月'!$B$4:$BQ$375,MATCH('3月'!B299,'2月'!$B$4:$B$375,0),67)+BN299</f>
        <v>0</v>
      </c>
      <c r="BQ299" s="702">
        <f>INDEX('2月'!$B$4:$BQ$375,MATCH('3月'!B299,'2月'!$B$4:$B$375,0),68)+BO299</f>
        <v>0</v>
      </c>
    </row>
    <row r="300" spans="2:69" s="6" customFormat="1" ht="50.1" customHeight="1">
      <c r="B300" s="201" t="str">
        <f>'1月'!$B$300</f>
        <v>大下　里美</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102">
        <f t="shared" si="51"/>
        <v>0</v>
      </c>
      <c r="BO300" s="47">
        <f t="shared" si="52"/>
        <v>0</v>
      </c>
      <c r="BP300" s="631">
        <f>INDEX('2月'!$B$4:$BQ$375,MATCH('3月'!B300,'2月'!$B$4:$B$375,0),67)+BN300</f>
        <v>0</v>
      </c>
      <c r="BQ300" s="702">
        <f>INDEX('2月'!$B$4:$BQ$375,MATCH('3月'!B300,'2月'!$B$4:$B$375,0),68)+BO300</f>
        <v>0</v>
      </c>
    </row>
    <row r="301" spans="2:69" s="6" customFormat="1" ht="50.1" customHeight="1">
      <c r="B301" s="201" t="str">
        <f>'1月'!$B$301</f>
        <v>小黒　真智</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102">
        <f t="shared" si="51"/>
        <v>0</v>
      </c>
      <c r="BO301" s="47">
        <f t="shared" si="52"/>
        <v>0</v>
      </c>
      <c r="BP301" s="631">
        <f>INDEX('2月'!$B$4:$BQ$375,MATCH('3月'!B301,'2月'!$B$4:$B$375,0),67)+BN301</f>
        <v>0</v>
      </c>
      <c r="BQ301" s="702">
        <f>INDEX('2月'!$B$4:$BQ$375,MATCH('3月'!B301,'2月'!$B$4:$B$375,0),68)+BO301</f>
        <v>0</v>
      </c>
    </row>
    <row r="302" spans="2:69" s="6" customFormat="1" ht="50.1" customHeight="1">
      <c r="B302" s="201" t="str">
        <f>'1月'!$B$302</f>
        <v>川戸　真由美</v>
      </c>
      <c r="C302" s="146"/>
      <c r="D302" s="18"/>
      <c r="E302" s="14"/>
      <c r="F302" s="50"/>
      <c r="G302" s="20"/>
      <c r="H302" s="50"/>
      <c r="I302" s="20"/>
      <c r="J302" s="50"/>
      <c r="K302" s="20"/>
      <c r="L302" s="50"/>
      <c r="M302" s="20"/>
      <c r="N302" s="50"/>
      <c r="O302" s="20"/>
      <c r="P302" s="50"/>
      <c r="Q302" s="20"/>
      <c r="R302" s="50"/>
      <c r="S302" s="20"/>
      <c r="T302" s="50"/>
      <c r="U302" s="20"/>
      <c r="V302" s="50"/>
      <c r="W302" s="20"/>
      <c r="X302" s="50"/>
      <c r="Y302" s="20"/>
      <c r="Z302" s="50"/>
      <c r="AA302" s="20"/>
      <c r="AB302" s="50"/>
      <c r="AC302" s="20"/>
      <c r="AD302" s="50"/>
      <c r="AE302" s="20"/>
      <c r="AF302" s="18"/>
      <c r="AG302" s="20"/>
      <c r="AH302" s="18"/>
      <c r="AI302" s="20"/>
      <c r="AJ302" s="50"/>
      <c r="AK302" s="20"/>
      <c r="AL302" s="50"/>
      <c r="AM302" s="20"/>
      <c r="AN302" s="50"/>
      <c r="AO302" s="20"/>
      <c r="AP302" s="50"/>
      <c r="AQ302" s="20"/>
      <c r="AR302" s="50"/>
      <c r="AS302" s="20"/>
      <c r="AT302" s="50"/>
      <c r="AU302" s="20"/>
      <c r="AV302" s="50"/>
      <c r="AW302" s="20"/>
      <c r="AX302" s="50"/>
      <c r="AY302" s="20"/>
      <c r="AZ302" s="50"/>
      <c r="BA302" s="20"/>
      <c r="BB302" s="50"/>
      <c r="BC302" s="20"/>
      <c r="BD302" s="50"/>
      <c r="BE302" s="20"/>
      <c r="BF302" s="50"/>
      <c r="BG302" s="20"/>
      <c r="BH302" s="50"/>
      <c r="BI302" s="20"/>
      <c r="BJ302" s="50"/>
      <c r="BK302" s="20"/>
      <c r="BL302" s="50"/>
      <c r="BM302" s="21"/>
      <c r="BN302" s="102">
        <f t="shared" si="51"/>
        <v>0</v>
      </c>
      <c r="BO302" s="47">
        <f t="shared" si="52"/>
        <v>0</v>
      </c>
      <c r="BP302" s="631">
        <f>INDEX('2月'!$B$4:$BQ$375,MATCH('3月'!B302,'2月'!$B$4:$B$375,0),67)+BN302</f>
        <v>0</v>
      </c>
      <c r="BQ302" s="702">
        <f>INDEX('2月'!$B$4:$BQ$375,MATCH('3月'!B302,'2月'!$B$4:$B$375,0),68)+BO302</f>
        <v>0</v>
      </c>
    </row>
    <row r="303" spans="2:69" s="6" customFormat="1" ht="50.1" customHeight="1">
      <c r="B303" s="201" t="str">
        <f>'1月'!$B$303</f>
        <v>河村　久美子</v>
      </c>
      <c r="C303" s="146"/>
      <c r="D303" s="18"/>
      <c r="E303" s="14"/>
      <c r="F303" s="18"/>
      <c r="G303" s="14"/>
      <c r="H303" s="18"/>
      <c r="I303" s="14"/>
      <c r="J303" s="18"/>
      <c r="K303" s="14"/>
      <c r="L303" s="18"/>
      <c r="M303" s="14"/>
      <c r="N303" s="18"/>
      <c r="O303" s="14"/>
      <c r="P303" s="18"/>
      <c r="Q303" s="14"/>
      <c r="R303" s="18"/>
      <c r="S303" s="14"/>
      <c r="T303" s="18"/>
      <c r="U303" s="14"/>
      <c r="V303" s="18"/>
      <c r="W303" s="14"/>
      <c r="X303" s="18"/>
      <c r="Y303" s="14"/>
      <c r="Z303" s="18"/>
      <c r="AA303" s="14"/>
      <c r="AB303" s="18"/>
      <c r="AC303" s="14"/>
      <c r="AD303" s="18"/>
      <c r="AE303" s="14"/>
      <c r="AF303" s="18"/>
      <c r="AG303" s="14"/>
      <c r="AH303" s="18"/>
      <c r="AI303" s="14"/>
      <c r="AJ303" s="18"/>
      <c r="AK303" s="14"/>
      <c r="AL303" s="18"/>
      <c r="AM303" s="14"/>
      <c r="AN303" s="18"/>
      <c r="AO303" s="14"/>
      <c r="AP303" s="18"/>
      <c r="AQ303" s="14"/>
      <c r="AR303" s="18"/>
      <c r="AS303" s="14"/>
      <c r="AT303" s="18"/>
      <c r="AU303" s="14"/>
      <c r="AV303" s="18"/>
      <c r="AW303" s="14"/>
      <c r="AX303" s="18"/>
      <c r="AY303" s="14"/>
      <c r="AZ303" s="18"/>
      <c r="BA303" s="14"/>
      <c r="BB303" s="18"/>
      <c r="BC303" s="14"/>
      <c r="BD303" s="18"/>
      <c r="BE303" s="14"/>
      <c r="BF303" s="18"/>
      <c r="BG303" s="14"/>
      <c r="BH303" s="18"/>
      <c r="BI303" s="14"/>
      <c r="BJ303" s="18"/>
      <c r="BK303" s="14"/>
      <c r="BL303" s="18"/>
      <c r="BM303" s="15"/>
      <c r="BN303" s="102">
        <f t="shared" si="51"/>
        <v>0</v>
      </c>
      <c r="BO303" s="47">
        <f t="shared" si="52"/>
        <v>0</v>
      </c>
      <c r="BP303" s="631">
        <f>INDEX('2月'!$B$4:$BQ$375,MATCH('3月'!B303,'2月'!$B$4:$B$375,0),67)+BN303</f>
        <v>1</v>
      </c>
      <c r="BQ303" s="702">
        <f>INDEX('2月'!$B$4:$BQ$375,MATCH('3月'!B303,'2月'!$B$4:$B$375,0),68)+BO303</f>
        <v>2</v>
      </c>
    </row>
    <row r="304" spans="2:69" s="6" customFormat="1" ht="50.1" customHeight="1">
      <c r="B304" s="208" t="str">
        <f>'1月'!$B$304</f>
        <v>工藤　春美</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102">
        <f t="shared" si="51"/>
        <v>0</v>
      </c>
      <c r="BO304" s="47">
        <f t="shared" si="52"/>
        <v>0</v>
      </c>
      <c r="BP304" s="631">
        <f>INDEX('2月'!$B$4:$BQ$375,MATCH('3月'!B304,'2月'!$B$4:$B$375,0),67)+BN304</f>
        <v>0</v>
      </c>
      <c r="BQ304" s="702">
        <f>INDEX('2月'!$B$4:$BQ$375,MATCH('3月'!B304,'2月'!$B$4:$B$375,0),68)+BO304</f>
        <v>0</v>
      </c>
    </row>
    <row r="305" spans="2:69" s="6" customFormat="1" ht="50.1" customHeight="1">
      <c r="B305" s="201" t="str">
        <f>'1月'!$B$305</f>
        <v>小平　厚子</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102">
        <f t="shared" si="51"/>
        <v>0</v>
      </c>
      <c r="BO305" s="47">
        <f t="shared" si="52"/>
        <v>0</v>
      </c>
      <c r="BP305" s="631">
        <f>INDEX('2月'!$B$4:$BQ$375,MATCH('3月'!B305,'2月'!$B$4:$B$375,0),67)+BN305</f>
        <v>0</v>
      </c>
      <c r="BQ305" s="702">
        <f>INDEX('2月'!$B$4:$BQ$375,MATCH('3月'!B305,'2月'!$B$4:$B$375,0),68)+BO305</f>
        <v>0</v>
      </c>
    </row>
    <row r="306" spans="2:69" s="6" customFormat="1" ht="50.1" customHeight="1">
      <c r="B306" s="201" t="str">
        <f>'1月'!$B$306</f>
        <v>佐々木　美知子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102">
        <f t="shared" si="51"/>
        <v>0</v>
      </c>
      <c r="BO306" s="47">
        <f t="shared" si="52"/>
        <v>0</v>
      </c>
      <c r="BP306" s="631">
        <f>INDEX('2月'!$B$4:$BQ$375,MATCH('3月'!B306,'2月'!$B$4:$B$375,0),67)+BN306</f>
        <v>1</v>
      </c>
      <c r="BQ306" s="702">
        <f>INDEX('2月'!$B$4:$BQ$375,MATCH('3月'!B306,'2月'!$B$4:$B$375,0),68)+BO306</f>
        <v>2</v>
      </c>
    </row>
    <row r="307" spans="2:69" s="6" customFormat="1" ht="50.1" customHeight="1">
      <c r="B307" s="201" t="str">
        <f>'1月'!$B$307</f>
        <v>下舘　はるみ</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102">
        <f t="shared" si="51"/>
        <v>0</v>
      </c>
      <c r="BO307" s="47">
        <f t="shared" si="52"/>
        <v>0</v>
      </c>
      <c r="BP307" s="631">
        <f>INDEX('2月'!$B$4:$BQ$375,MATCH('3月'!B307,'2月'!$B$4:$B$375,0),67)+BN307</f>
        <v>0</v>
      </c>
      <c r="BQ307" s="702">
        <f>INDEX('2月'!$B$4:$BQ$375,MATCH('3月'!B307,'2月'!$B$4:$B$375,0),68)+BO307</f>
        <v>0</v>
      </c>
    </row>
    <row r="308" spans="2:69" s="6" customFormat="1" ht="50.1" customHeight="1">
      <c r="B308" s="201" t="str">
        <f>'1月'!$B$308</f>
        <v>品田　ゆり</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102">
        <f t="shared" si="51"/>
        <v>0</v>
      </c>
      <c r="BO308" s="47">
        <f t="shared" si="52"/>
        <v>0</v>
      </c>
      <c r="BP308" s="631">
        <f>INDEX('2月'!$B$4:$BQ$375,MATCH('3月'!B308,'2月'!$B$4:$B$375,0),67)+BN308</f>
        <v>0</v>
      </c>
      <c r="BQ308" s="702">
        <f>INDEX('2月'!$B$4:$BQ$375,MATCH('3月'!B308,'2月'!$B$4:$B$375,0),68)+BO308</f>
        <v>0</v>
      </c>
    </row>
    <row r="309" spans="2:69" s="6" customFormat="1" ht="50.1" customHeight="1">
      <c r="B309" s="202" t="str">
        <f>'1月'!$B$309</f>
        <v>杉浦　ゆみ子</v>
      </c>
      <c r="C309" s="147"/>
      <c r="D309" s="50"/>
      <c r="E309" s="20"/>
      <c r="F309" s="50"/>
      <c r="G309" s="20"/>
      <c r="H309" s="50"/>
      <c r="I309" s="20"/>
      <c r="J309" s="50"/>
      <c r="K309" s="20"/>
      <c r="L309" s="50"/>
      <c r="M309" s="20"/>
      <c r="N309" s="50"/>
      <c r="O309" s="20"/>
      <c r="P309" s="50"/>
      <c r="Q309" s="20"/>
      <c r="R309" s="50"/>
      <c r="S309" s="20"/>
      <c r="T309" s="50"/>
      <c r="U309" s="20"/>
      <c r="V309" s="50"/>
      <c r="W309" s="20"/>
      <c r="X309" s="50"/>
      <c r="Y309" s="20"/>
      <c r="Z309" s="50"/>
      <c r="AA309" s="20"/>
      <c r="AB309" s="50"/>
      <c r="AC309" s="20"/>
      <c r="AD309" s="50"/>
      <c r="AE309" s="20"/>
      <c r="AF309" s="50"/>
      <c r="AG309" s="20"/>
      <c r="AH309" s="50"/>
      <c r="AI309" s="20"/>
      <c r="AJ309" s="50"/>
      <c r="AK309" s="20"/>
      <c r="AL309" s="50"/>
      <c r="AM309" s="20"/>
      <c r="AN309" s="50"/>
      <c r="AO309" s="20"/>
      <c r="AP309" s="50"/>
      <c r="AQ309" s="20"/>
      <c r="AR309" s="50"/>
      <c r="AS309" s="20"/>
      <c r="AT309" s="50"/>
      <c r="AU309" s="20"/>
      <c r="AV309" s="50"/>
      <c r="AW309" s="20"/>
      <c r="AX309" s="50"/>
      <c r="AY309" s="20"/>
      <c r="AZ309" s="50"/>
      <c r="BA309" s="20"/>
      <c r="BB309" s="50"/>
      <c r="BC309" s="20"/>
      <c r="BD309" s="50"/>
      <c r="BE309" s="20"/>
      <c r="BF309" s="50"/>
      <c r="BG309" s="20"/>
      <c r="BH309" s="50"/>
      <c r="BI309" s="20"/>
      <c r="BJ309" s="50"/>
      <c r="BK309" s="20"/>
      <c r="BL309" s="50"/>
      <c r="BM309" s="21"/>
      <c r="BN309" s="102">
        <f t="shared" si="51"/>
        <v>0</v>
      </c>
      <c r="BO309" s="47">
        <f t="shared" si="52"/>
        <v>0</v>
      </c>
      <c r="BP309" s="631">
        <f>INDEX('2月'!$B$4:$BQ$375,MATCH('3月'!B309,'2月'!$B$4:$B$375,0),67)+BN309</f>
        <v>0</v>
      </c>
      <c r="BQ309" s="702">
        <f>INDEX('2月'!$B$4:$BQ$375,MATCH('3月'!B309,'2月'!$B$4:$B$375,0),68)+BO309</f>
        <v>0</v>
      </c>
    </row>
    <row r="310" spans="2:69" s="6" customFormat="1" ht="50.1" customHeight="1">
      <c r="B310" s="201" t="str">
        <f>'1月'!$B$310</f>
        <v>寺下　久美子</v>
      </c>
      <c r="C310" s="146"/>
      <c r="D310" s="18"/>
      <c r="E310" s="14"/>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18"/>
      <c r="AG310" s="20"/>
      <c r="AH310" s="18"/>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102">
        <f t="shared" si="51"/>
        <v>0</v>
      </c>
      <c r="BO310" s="47">
        <f t="shared" si="52"/>
        <v>0</v>
      </c>
      <c r="BP310" s="631">
        <f>INDEX('2月'!$B$4:$BQ$375,MATCH('3月'!B310,'2月'!$B$4:$B$375,0),67)+BN310</f>
        <v>0</v>
      </c>
      <c r="BQ310" s="702">
        <f>INDEX('2月'!$B$4:$BQ$375,MATCH('3月'!B310,'2月'!$B$4:$B$375,0),68)+BO310</f>
        <v>0</v>
      </c>
    </row>
    <row r="311" spans="2:69" s="6" customFormat="1" ht="50.1" customHeight="1">
      <c r="B311" s="201" t="str">
        <f>'1月'!$B$311</f>
        <v>照屋　育子</v>
      </c>
      <c r="C311" s="146"/>
      <c r="D311" s="18"/>
      <c r="E311" s="14"/>
      <c r="F311" s="18"/>
      <c r="G311" s="14"/>
      <c r="H311" s="18"/>
      <c r="I311" s="14"/>
      <c r="J311" s="18"/>
      <c r="K311" s="14"/>
      <c r="L311" s="18"/>
      <c r="M311" s="14"/>
      <c r="N311" s="18"/>
      <c r="O311" s="14"/>
      <c r="P311" s="18"/>
      <c r="Q311" s="14"/>
      <c r="R311" s="18"/>
      <c r="S311" s="14"/>
      <c r="T311" s="18"/>
      <c r="U311" s="14"/>
      <c r="V311" s="18"/>
      <c r="W311" s="14"/>
      <c r="X311" s="18"/>
      <c r="Y311" s="14"/>
      <c r="Z311" s="18"/>
      <c r="AA311" s="14"/>
      <c r="AB311" s="18"/>
      <c r="AC311" s="14"/>
      <c r="AD311" s="18"/>
      <c r="AE311" s="14"/>
      <c r="AF311" s="18"/>
      <c r="AG311" s="14"/>
      <c r="AH311" s="18"/>
      <c r="AI311" s="14"/>
      <c r="AJ311" s="18"/>
      <c r="AK311" s="14"/>
      <c r="AL311" s="18"/>
      <c r="AM311" s="14"/>
      <c r="AN311" s="18"/>
      <c r="AO311" s="14"/>
      <c r="AP311" s="18"/>
      <c r="AQ311" s="14"/>
      <c r="AR311" s="18"/>
      <c r="AS311" s="14"/>
      <c r="AT311" s="18"/>
      <c r="AU311" s="14"/>
      <c r="AV311" s="18"/>
      <c r="AW311" s="14"/>
      <c r="AX311" s="18"/>
      <c r="AY311" s="14"/>
      <c r="AZ311" s="18"/>
      <c r="BA311" s="14"/>
      <c r="BB311" s="18"/>
      <c r="BC311" s="14"/>
      <c r="BD311" s="18"/>
      <c r="BE311" s="14"/>
      <c r="BF311" s="18"/>
      <c r="BG311" s="14"/>
      <c r="BH311" s="18"/>
      <c r="BI311" s="14"/>
      <c r="BJ311" s="18"/>
      <c r="BK311" s="14"/>
      <c r="BL311" s="18"/>
      <c r="BM311" s="15"/>
      <c r="BN311" s="102">
        <f t="shared" si="51"/>
        <v>0</v>
      </c>
      <c r="BO311" s="47">
        <f t="shared" si="52"/>
        <v>0</v>
      </c>
      <c r="BP311" s="631">
        <f>INDEX('2月'!$B$4:$BQ$375,MATCH('3月'!B311,'2月'!$B$4:$B$375,0),67)+BN311</f>
        <v>0</v>
      </c>
      <c r="BQ311" s="702">
        <f>INDEX('2月'!$B$4:$BQ$375,MATCH('3月'!B311,'2月'!$B$4:$B$375,0),68)+BO311</f>
        <v>0</v>
      </c>
    </row>
    <row r="312" spans="2:69" s="6" customFormat="1" ht="50.1" customHeight="1">
      <c r="B312" s="201" t="str">
        <f>'1月'!$B$312</f>
        <v>中城　裕子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102">
        <f t="shared" si="51"/>
        <v>0</v>
      </c>
      <c r="BO312" s="47">
        <f t="shared" si="52"/>
        <v>0</v>
      </c>
      <c r="BP312" s="631">
        <f>INDEX('2月'!$B$4:$BQ$375,MATCH('3月'!B312,'2月'!$B$4:$B$375,0),67)+BN312</f>
        <v>0</v>
      </c>
      <c r="BQ312" s="702">
        <f>INDEX('2月'!$B$4:$BQ$375,MATCH('3月'!B312,'2月'!$B$4:$B$375,0),68)+BO312</f>
        <v>0</v>
      </c>
    </row>
    <row r="313" spans="2:69" s="6" customFormat="1" ht="50.1" customHeight="1">
      <c r="B313" s="201" t="str">
        <f>'1月'!$B$313</f>
        <v>沼田　久子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102">
        <f t="shared" si="51"/>
        <v>0</v>
      </c>
      <c r="BO313" s="47">
        <f t="shared" si="52"/>
        <v>0</v>
      </c>
      <c r="BP313" s="631">
        <f>INDEX('2月'!$B$4:$BQ$375,MATCH('3月'!B313,'2月'!$B$4:$B$375,0),67)+BN313</f>
        <v>0</v>
      </c>
      <c r="BQ313" s="702">
        <f>INDEX('2月'!$B$4:$BQ$375,MATCH('3月'!B313,'2月'!$B$4:$B$375,0),68)+BO313</f>
        <v>0</v>
      </c>
    </row>
    <row r="314" spans="2:69" s="6" customFormat="1" ht="50.1" customHeight="1">
      <c r="B314" s="201" t="str">
        <f>'1月'!$B$314</f>
        <v>野口　美幸</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102">
        <f t="shared" si="51"/>
        <v>0</v>
      </c>
      <c r="BO314" s="47">
        <f t="shared" si="52"/>
        <v>0</v>
      </c>
      <c r="BP314" s="631">
        <f>INDEX('2月'!$B$4:$BQ$375,MATCH('3月'!B314,'2月'!$B$4:$B$375,0),67)+BN314</f>
        <v>2</v>
      </c>
      <c r="BQ314" s="702">
        <f>INDEX('2月'!$B$4:$BQ$375,MATCH('3月'!B314,'2月'!$B$4:$B$375,0),68)+BO314</f>
        <v>2</v>
      </c>
    </row>
    <row r="315" spans="2:69" s="6" customFormat="1" ht="50.1" customHeight="1">
      <c r="B315" s="201" t="str">
        <f>'1月'!$B$315</f>
        <v>柞木田　久子</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102">
        <f t="shared" si="51"/>
        <v>0</v>
      </c>
      <c r="BO315" s="47">
        <f t="shared" si="52"/>
        <v>0</v>
      </c>
      <c r="BP315" s="631">
        <f>INDEX('2月'!$B$4:$BQ$375,MATCH('3月'!B315,'2月'!$B$4:$B$375,0),67)+BN315</f>
        <v>0</v>
      </c>
      <c r="BQ315" s="702">
        <f>INDEX('2月'!$B$4:$BQ$375,MATCH('3月'!B315,'2月'!$B$4:$B$375,0),68)+BO315</f>
        <v>0</v>
      </c>
    </row>
    <row r="316" spans="2:69" s="6" customFormat="1" ht="50.1" customHeight="1">
      <c r="B316" s="201" t="str">
        <f>'1月'!$B$316</f>
        <v>福士　純子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102">
        <f t="shared" si="51"/>
        <v>0</v>
      </c>
      <c r="BO316" s="47">
        <f t="shared" si="52"/>
        <v>0</v>
      </c>
      <c r="BP316" s="631">
        <f>INDEX('2月'!$B$4:$BQ$375,MATCH('3月'!B316,'2月'!$B$4:$B$375,0),67)+BN316</f>
        <v>0</v>
      </c>
      <c r="BQ316" s="702">
        <f>INDEX('2月'!$B$4:$BQ$375,MATCH('3月'!B316,'2月'!$B$4:$B$375,0),68)+BO316</f>
        <v>0</v>
      </c>
    </row>
    <row r="317" spans="2:69" s="6" customFormat="1" ht="50.1" customHeight="1">
      <c r="B317" s="201" t="str">
        <f>'1月'!$B$317</f>
        <v>古舘　美香</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102">
        <f t="shared" si="51"/>
        <v>0</v>
      </c>
      <c r="BO317" s="47">
        <f t="shared" si="52"/>
        <v>0</v>
      </c>
      <c r="BP317" s="631">
        <f>INDEX('2月'!$B$4:$BQ$375,MATCH('3月'!B317,'2月'!$B$4:$B$375,0),67)+BN317</f>
        <v>0</v>
      </c>
      <c r="BQ317" s="702">
        <f>INDEX('2月'!$B$4:$BQ$375,MATCH('3月'!B317,'2月'!$B$4:$B$375,0),68)+BO317</f>
        <v>0</v>
      </c>
    </row>
    <row r="318" spans="2:69" s="6" customFormat="1" ht="50.1" customHeight="1">
      <c r="B318" s="201" t="str">
        <f>'1月'!$B$318</f>
        <v>古舘　優紀</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102">
        <f t="shared" si="51"/>
        <v>0</v>
      </c>
      <c r="BO318" s="47">
        <f t="shared" si="52"/>
        <v>0</v>
      </c>
      <c r="BP318" s="631">
        <f>INDEX('2月'!$B$4:$BQ$375,MATCH('3月'!B318,'2月'!$B$4:$B$375,0),67)+BN318</f>
        <v>0</v>
      </c>
      <c r="BQ318" s="702">
        <f>INDEX('2月'!$B$4:$BQ$375,MATCH('3月'!B318,'2月'!$B$4:$B$375,0),68)+BO318</f>
        <v>0</v>
      </c>
    </row>
    <row r="319" spans="2:69" s="6" customFormat="1" ht="50.1" customHeight="1">
      <c r="B319" s="201" t="str">
        <f>'1月'!$B$319</f>
        <v>母良田　幸子</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102">
        <f t="shared" si="51"/>
        <v>0</v>
      </c>
      <c r="BO319" s="47">
        <f t="shared" si="52"/>
        <v>0</v>
      </c>
      <c r="BP319" s="631">
        <f>INDEX('2月'!$B$4:$BQ$375,MATCH('3月'!B319,'2月'!$B$4:$B$375,0),67)+BN319</f>
        <v>0</v>
      </c>
      <c r="BQ319" s="702">
        <f>INDEX('2月'!$B$4:$BQ$375,MATCH('3月'!B319,'2月'!$B$4:$B$375,0),68)+BO319</f>
        <v>0</v>
      </c>
    </row>
    <row r="320" spans="2:69" s="6" customFormat="1" ht="50.1" customHeight="1">
      <c r="B320" s="201" t="str">
        <f>'1月'!$B$320</f>
        <v>水野　美佳</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102">
        <f t="shared" si="51"/>
        <v>0</v>
      </c>
      <c r="BO320" s="47">
        <f t="shared" si="52"/>
        <v>0</v>
      </c>
      <c r="BP320" s="631">
        <f>INDEX('2月'!$B$4:$BQ$375,MATCH('3月'!B320,'2月'!$B$4:$B$375,0),67)+BN320</f>
        <v>0</v>
      </c>
      <c r="BQ320" s="702">
        <f>INDEX('2月'!$B$4:$BQ$375,MATCH('3月'!B320,'2月'!$B$4:$B$375,0),68)+BO320</f>
        <v>0</v>
      </c>
    </row>
    <row r="321" spans="2:69" s="6" customFormat="1" ht="50.1" customHeight="1">
      <c r="B321" s="201" t="str">
        <f>'1月'!$B$321</f>
        <v>見付　弘美</v>
      </c>
      <c r="C321" s="147"/>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102">
        <f t="shared" si="51"/>
        <v>0</v>
      </c>
      <c r="BO321" s="47">
        <f t="shared" si="52"/>
        <v>0</v>
      </c>
      <c r="BP321" s="631">
        <f>INDEX('2月'!$B$4:$BQ$375,MATCH('3月'!B321,'2月'!$B$4:$B$375,0),67)+BN321</f>
        <v>0</v>
      </c>
      <c r="BQ321" s="702">
        <f>INDEX('2月'!$B$4:$BQ$375,MATCH('3月'!B321,'2月'!$B$4:$B$375,0),68)+BO321</f>
        <v>0</v>
      </c>
    </row>
    <row r="322" spans="2:69" s="6" customFormat="1" ht="50.1" customHeight="1">
      <c r="B322" s="202" t="str">
        <f>'1月'!$B$323</f>
        <v>一条　愛</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102">
        <f t="shared" si="51"/>
        <v>0</v>
      </c>
      <c r="BO322" s="47">
        <f t="shared" si="52"/>
        <v>0</v>
      </c>
      <c r="BP322" s="631">
        <f>INDEX('2月'!$B$4:$BQ$375,MATCH('3月'!B322,'2月'!$B$4:$B$375,0),67)+BN322</f>
        <v>0</v>
      </c>
      <c r="BQ322" s="702">
        <f>INDEX('2月'!$B$4:$BQ$375,MATCH('3月'!B322,'2月'!$B$4:$B$375,0),68)+BO322</f>
        <v>0</v>
      </c>
    </row>
    <row r="323" spans="2:69" s="6" customFormat="1" ht="45" customHeight="1">
      <c r="B323" s="201" t="str">
        <f>'1月'!$B$322</f>
        <v>安ヶ平　真由美</v>
      </c>
      <c r="C323" s="146"/>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102">
        <f t="shared" si="51"/>
        <v>0</v>
      </c>
      <c r="BO323" s="47">
        <f t="shared" si="52"/>
        <v>0</v>
      </c>
      <c r="BP323" s="631">
        <f>INDEX('2月'!$B$4:$BQ$375,MATCH('3月'!B323,'2月'!$B$4:$B$375,0),67)+BN323</f>
        <v>0</v>
      </c>
      <c r="BQ323" s="702">
        <f>INDEX('2月'!$B$4:$BQ$375,MATCH('3月'!B323,'2月'!$B$4:$B$375,0),68)+BO323</f>
        <v>0</v>
      </c>
    </row>
    <row r="324" spans="2:69" s="6" customFormat="1" ht="15.95" customHeight="1">
      <c r="B324" s="155"/>
      <c r="C324" s="147"/>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02">
        <f t="shared" si="51"/>
        <v>0</v>
      </c>
      <c r="BO324" s="47">
        <f t="shared" si="52"/>
        <v>0</v>
      </c>
      <c r="BP324" s="631"/>
      <c r="BQ324" s="559"/>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02">
        <f t="shared" si="51"/>
        <v>0</v>
      </c>
      <c r="BO325" s="47">
        <f t="shared" si="52"/>
        <v>0</v>
      </c>
      <c r="BP325" s="631"/>
      <c r="BQ325" s="559"/>
    </row>
    <row r="326" spans="2:69" s="6" customFormat="1" ht="15.95" customHeight="1" thickBo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02">
        <f t="shared" si="51"/>
        <v>0</v>
      </c>
      <c r="BO326" s="47">
        <f t="shared" si="52"/>
        <v>0</v>
      </c>
      <c r="BP326" s="631"/>
      <c r="BQ326" s="559"/>
    </row>
    <row r="327" spans="2:69" s="6" customFormat="1" ht="49.5" customHeight="1" thickBot="1">
      <c r="B327" s="119" t="s">
        <v>462</v>
      </c>
      <c r="C327" s="149"/>
      <c r="D327" s="29">
        <f t="shared" ref="D327:AG327" si="53">SUM(D298:D326)</f>
        <v>0</v>
      </c>
      <c r="E327" s="31">
        <f t="shared" si="53"/>
        <v>0</v>
      </c>
      <c r="F327" s="29">
        <f t="shared" si="53"/>
        <v>0</v>
      </c>
      <c r="G327" s="31">
        <f t="shared" si="53"/>
        <v>0</v>
      </c>
      <c r="H327" s="29">
        <f t="shared" si="53"/>
        <v>0</v>
      </c>
      <c r="I327" s="31">
        <f t="shared" si="53"/>
        <v>0</v>
      </c>
      <c r="J327" s="29">
        <f t="shared" si="53"/>
        <v>0</v>
      </c>
      <c r="K327" s="31">
        <f t="shared" si="53"/>
        <v>0</v>
      </c>
      <c r="L327" s="29">
        <f t="shared" si="53"/>
        <v>0</v>
      </c>
      <c r="M327" s="31">
        <f t="shared" si="53"/>
        <v>0</v>
      </c>
      <c r="N327" s="29">
        <f t="shared" si="53"/>
        <v>0</v>
      </c>
      <c r="O327" s="31">
        <f t="shared" si="53"/>
        <v>0</v>
      </c>
      <c r="P327" s="29">
        <f t="shared" si="53"/>
        <v>0</v>
      </c>
      <c r="Q327" s="31">
        <f t="shared" si="53"/>
        <v>0</v>
      </c>
      <c r="R327" s="29">
        <f t="shared" si="53"/>
        <v>0</v>
      </c>
      <c r="S327" s="31">
        <f t="shared" si="53"/>
        <v>0</v>
      </c>
      <c r="T327" s="29">
        <f t="shared" si="53"/>
        <v>0</v>
      </c>
      <c r="U327" s="31">
        <f t="shared" si="53"/>
        <v>0</v>
      </c>
      <c r="V327" s="29">
        <f t="shared" si="53"/>
        <v>0</v>
      </c>
      <c r="W327" s="31">
        <f t="shared" si="53"/>
        <v>0</v>
      </c>
      <c r="X327" s="29">
        <f t="shared" si="53"/>
        <v>0</v>
      </c>
      <c r="Y327" s="31">
        <f t="shared" si="53"/>
        <v>0</v>
      </c>
      <c r="Z327" s="29">
        <f t="shared" si="53"/>
        <v>0</v>
      </c>
      <c r="AA327" s="31">
        <f t="shared" si="53"/>
        <v>0</v>
      </c>
      <c r="AB327" s="29">
        <f t="shared" si="53"/>
        <v>0</v>
      </c>
      <c r="AC327" s="31">
        <f t="shared" si="53"/>
        <v>0</v>
      </c>
      <c r="AD327" s="29">
        <f t="shared" si="53"/>
        <v>0</v>
      </c>
      <c r="AE327" s="31">
        <f t="shared" si="53"/>
        <v>0</v>
      </c>
      <c r="AF327" s="29">
        <f t="shared" si="53"/>
        <v>0</v>
      </c>
      <c r="AG327" s="31">
        <f t="shared" si="53"/>
        <v>0</v>
      </c>
      <c r="AH327" s="29">
        <f t="shared" ref="AH327:BQ327" si="54">SUM(AH298:AH326)</f>
        <v>0</v>
      </c>
      <c r="AI327" s="31">
        <f t="shared" si="54"/>
        <v>0</v>
      </c>
      <c r="AJ327" s="29">
        <f t="shared" si="54"/>
        <v>0</v>
      </c>
      <c r="AK327" s="31">
        <f t="shared" si="54"/>
        <v>0</v>
      </c>
      <c r="AL327" s="29">
        <f t="shared" si="54"/>
        <v>0</v>
      </c>
      <c r="AM327" s="31">
        <f t="shared" si="54"/>
        <v>0</v>
      </c>
      <c r="AN327" s="29">
        <f t="shared" si="54"/>
        <v>0</v>
      </c>
      <c r="AO327" s="31">
        <f t="shared" si="54"/>
        <v>0</v>
      </c>
      <c r="AP327" s="29">
        <f t="shared" si="54"/>
        <v>0</v>
      </c>
      <c r="AQ327" s="31">
        <f t="shared" si="54"/>
        <v>0</v>
      </c>
      <c r="AR327" s="29">
        <f t="shared" si="54"/>
        <v>0</v>
      </c>
      <c r="AS327" s="31">
        <f t="shared" si="54"/>
        <v>0</v>
      </c>
      <c r="AT327" s="29">
        <f t="shared" si="54"/>
        <v>0</v>
      </c>
      <c r="AU327" s="31">
        <f t="shared" si="54"/>
        <v>0</v>
      </c>
      <c r="AV327" s="29">
        <f t="shared" si="54"/>
        <v>0</v>
      </c>
      <c r="AW327" s="31">
        <f t="shared" si="54"/>
        <v>0</v>
      </c>
      <c r="AX327" s="29">
        <f t="shared" si="54"/>
        <v>0</v>
      </c>
      <c r="AY327" s="31">
        <f t="shared" si="54"/>
        <v>0</v>
      </c>
      <c r="AZ327" s="29">
        <f t="shared" si="54"/>
        <v>0</v>
      </c>
      <c r="BA327" s="31">
        <f t="shared" si="54"/>
        <v>0</v>
      </c>
      <c r="BB327" s="29">
        <f t="shared" si="54"/>
        <v>0</v>
      </c>
      <c r="BC327" s="31">
        <f t="shared" si="54"/>
        <v>0</v>
      </c>
      <c r="BD327" s="29">
        <f t="shared" si="54"/>
        <v>0</v>
      </c>
      <c r="BE327" s="31">
        <f t="shared" si="54"/>
        <v>0</v>
      </c>
      <c r="BF327" s="29">
        <f t="shared" si="54"/>
        <v>0</v>
      </c>
      <c r="BG327" s="31">
        <f t="shared" si="54"/>
        <v>0</v>
      </c>
      <c r="BH327" s="29">
        <f t="shared" si="54"/>
        <v>0</v>
      </c>
      <c r="BI327" s="31">
        <f t="shared" si="54"/>
        <v>0</v>
      </c>
      <c r="BJ327" s="29">
        <f t="shared" si="54"/>
        <v>0</v>
      </c>
      <c r="BK327" s="31">
        <f t="shared" si="54"/>
        <v>0</v>
      </c>
      <c r="BL327" s="29">
        <f t="shared" si="54"/>
        <v>0</v>
      </c>
      <c r="BM327" s="41">
        <f t="shared" si="54"/>
        <v>0</v>
      </c>
      <c r="BN327" s="32">
        <f t="shared" si="54"/>
        <v>0</v>
      </c>
      <c r="BO327" s="41">
        <f t="shared" si="54"/>
        <v>0</v>
      </c>
      <c r="BP327" s="257">
        <f t="shared" si="54"/>
        <v>4</v>
      </c>
      <c r="BQ327" s="240">
        <f t="shared" si="54"/>
        <v>6</v>
      </c>
    </row>
    <row r="328" spans="2:69" ht="24.75" customHeight="1">
      <c r="B328" s="120"/>
      <c r="AG328" s="34"/>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34"/>
      <c r="BL328" s="7"/>
      <c r="BM328" s="34"/>
      <c r="BN328" s="7"/>
      <c r="BO328" s="7"/>
    </row>
    <row r="329" spans="2:69" ht="24.95" customHeight="1" thickBot="1">
      <c r="B329" s="120"/>
      <c r="AG329" s="8"/>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8"/>
      <c r="BL329" s="7"/>
      <c r="BM329" s="8"/>
      <c r="BN329" s="7"/>
      <c r="BO329" s="7"/>
    </row>
    <row r="330" spans="2:69" ht="24.95" customHeight="1">
      <c r="B330" s="743" t="s">
        <v>49</v>
      </c>
      <c r="C330" s="749">
        <f>COUNTIF(B333:B341,"*")</f>
        <v>8</v>
      </c>
      <c r="D330" s="751">
        <v>1</v>
      </c>
      <c r="E330" s="738"/>
      <c r="F330" s="737">
        <v>2</v>
      </c>
      <c r="G330" s="738"/>
      <c r="H330" s="737">
        <v>3</v>
      </c>
      <c r="I330" s="738"/>
      <c r="J330" s="737">
        <v>4</v>
      </c>
      <c r="K330" s="738"/>
      <c r="L330" s="737">
        <v>5</v>
      </c>
      <c r="M330" s="738"/>
      <c r="N330" s="737">
        <v>6</v>
      </c>
      <c r="O330" s="738"/>
      <c r="P330" s="737">
        <v>7</v>
      </c>
      <c r="Q330" s="738"/>
      <c r="R330" s="737">
        <v>8</v>
      </c>
      <c r="S330" s="738"/>
      <c r="T330" s="737">
        <v>9</v>
      </c>
      <c r="U330" s="738"/>
      <c r="V330" s="737">
        <v>10</v>
      </c>
      <c r="W330" s="738"/>
      <c r="X330" s="737">
        <v>11</v>
      </c>
      <c r="Y330" s="738"/>
      <c r="Z330" s="737">
        <v>12</v>
      </c>
      <c r="AA330" s="738"/>
      <c r="AB330" s="737">
        <v>13</v>
      </c>
      <c r="AC330" s="738"/>
      <c r="AD330" s="737">
        <v>14</v>
      </c>
      <c r="AE330" s="738"/>
      <c r="AF330" s="737">
        <v>15</v>
      </c>
      <c r="AG330" s="742"/>
      <c r="AH330" s="741">
        <v>16</v>
      </c>
      <c r="AI330" s="741"/>
      <c r="AJ330" s="741">
        <v>17</v>
      </c>
      <c r="AK330" s="741"/>
      <c r="AL330" s="741">
        <v>18</v>
      </c>
      <c r="AM330" s="741"/>
      <c r="AN330" s="741">
        <v>19</v>
      </c>
      <c r="AO330" s="741"/>
      <c r="AP330" s="741">
        <v>20</v>
      </c>
      <c r="AQ330" s="741"/>
      <c r="AR330" s="741">
        <v>21</v>
      </c>
      <c r="AS330" s="741"/>
      <c r="AT330" s="741">
        <v>22</v>
      </c>
      <c r="AU330" s="741"/>
      <c r="AV330" s="741">
        <v>23</v>
      </c>
      <c r="AW330" s="741"/>
      <c r="AX330" s="741">
        <v>24</v>
      </c>
      <c r="AY330" s="741"/>
      <c r="AZ330" s="741">
        <v>25</v>
      </c>
      <c r="BA330" s="741"/>
      <c r="BB330" s="741">
        <v>26</v>
      </c>
      <c r="BC330" s="741"/>
      <c r="BD330" s="741">
        <v>27</v>
      </c>
      <c r="BE330" s="741"/>
      <c r="BF330" s="741">
        <v>28</v>
      </c>
      <c r="BG330" s="741"/>
      <c r="BH330" s="741">
        <v>29</v>
      </c>
      <c r="BI330" s="741"/>
      <c r="BJ330" s="741">
        <v>30</v>
      </c>
      <c r="BK330" s="741"/>
      <c r="BL330" s="741">
        <v>31</v>
      </c>
      <c r="BM330" s="741"/>
      <c r="BN330" s="738" t="s">
        <v>251</v>
      </c>
      <c r="BO330" s="760"/>
      <c r="BP330" s="771" t="s">
        <v>353</v>
      </c>
      <c r="BQ330" s="772"/>
    </row>
    <row r="331" spans="2:69" ht="24.95" customHeight="1">
      <c r="B331" s="744"/>
      <c r="C331" s="747"/>
      <c r="D331" s="752" t="str">
        <f>D2</f>
        <v>土</v>
      </c>
      <c r="E331" s="740"/>
      <c r="F331" s="739" t="str">
        <f>F2</f>
        <v>日</v>
      </c>
      <c r="G331" s="740"/>
      <c r="H331" s="739" t="str">
        <f>H2</f>
        <v>月</v>
      </c>
      <c r="I331" s="740"/>
      <c r="J331" s="739" t="str">
        <f>J2</f>
        <v>火</v>
      </c>
      <c r="K331" s="740"/>
      <c r="L331" s="739" t="str">
        <f>L2</f>
        <v>水</v>
      </c>
      <c r="M331" s="740"/>
      <c r="N331" s="739" t="str">
        <f>N2</f>
        <v>木</v>
      </c>
      <c r="O331" s="740"/>
      <c r="P331" s="739" t="str">
        <f>P2</f>
        <v>金</v>
      </c>
      <c r="Q331" s="740"/>
      <c r="R331" s="739" t="str">
        <f>R2</f>
        <v>土</v>
      </c>
      <c r="S331" s="740"/>
      <c r="T331" s="739" t="str">
        <f>T2</f>
        <v>日</v>
      </c>
      <c r="U331" s="740"/>
      <c r="V331" s="739" t="str">
        <f>V2</f>
        <v>月</v>
      </c>
      <c r="W331" s="740"/>
      <c r="X331" s="739" t="str">
        <f>X2</f>
        <v>火</v>
      </c>
      <c r="Y331" s="740"/>
      <c r="Z331" s="739" t="str">
        <f>Z2</f>
        <v>水</v>
      </c>
      <c r="AA331" s="740"/>
      <c r="AB331" s="739" t="str">
        <f>AB2</f>
        <v>木</v>
      </c>
      <c r="AC331" s="740"/>
      <c r="AD331" s="739" t="str">
        <f>AD2</f>
        <v>金</v>
      </c>
      <c r="AE331" s="740"/>
      <c r="AF331" s="739" t="str">
        <f>AF2</f>
        <v>土</v>
      </c>
      <c r="AG331" s="756"/>
      <c r="AH331" s="768" t="str">
        <f>AH2</f>
        <v>日</v>
      </c>
      <c r="AI331" s="769"/>
      <c r="AJ331" s="770" t="str">
        <f>AJ2</f>
        <v>月</v>
      </c>
      <c r="AK331" s="770"/>
      <c r="AL331" s="770" t="str">
        <f>AL2</f>
        <v>火</v>
      </c>
      <c r="AM331" s="770"/>
      <c r="AN331" s="770" t="str">
        <f>AN2</f>
        <v>水</v>
      </c>
      <c r="AO331" s="770"/>
      <c r="AP331" s="770" t="str">
        <f>AP2</f>
        <v>木</v>
      </c>
      <c r="AQ331" s="770"/>
      <c r="AR331" s="770" t="str">
        <f>AR2</f>
        <v>金</v>
      </c>
      <c r="AS331" s="770"/>
      <c r="AT331" s="770" t="str">
        <f>AT2</f>
        <v>土</v>
      </c>
      <c r="AU331" s="770"/>
      <c r="AV331" s="770" t="str">
        <f>AV2</f>
        <v>日</v>
      </c>
      <c r="AW331" s="770"/>
      <c r="AX331" s="770" t="str">
        <f>AX2</f>
        <v>月</v>
      </c>
      <c r="AY331" s="770"/>
      <c r="AZ331" s="770" t="str">
        <f>AZ2</f>
        <v>火</v>
      </c>
      <c r="BA331" s="770"/>
      <c r="BB331" s="770" t="str">
        <f>BB2</f>
        <v>水</v>
      </c>
      <c r="BC331" s="770"/>
      <c r="BD331" s="770" t="str">
        <f>BD2</f>
        <v>木</v>
      </c>
      <c r="BE331" s="770"/>
      <c r="BF331" s="770" t="str">
        <f>BF2</f>
        <v>金</v>
      </c>
      <c r="BG331" s="770"/>
      <c r="BH331" s="770" t="str">
        <f>BH2</f>
        <v>土</v>
      </c>
      <c r="BI331" s="770"/>
      <c r="BJ331" s="770" t="str">
        <f>BJ2</f>
        <v>日</v>
      </c>
      <c r="BK331" s="770"/>
      <c r="BL331" s="770" t="str">
        <f>BL2</f>
        <v>月</v>
      </c>
      <c r="BM331" s="770"/>
      <c r="BN331" s="761"/>
      <c r="BO331" s="762"/>
      <c r="BP331" s="773"/>
      <c r="BQ331" s="774"/>
    </row>
    <row r="332" spans="2:69" ht="24.95" customHeight="1" thickBot="1">
      <c r="B332" s="748"/>
      <c r="C332" s="750"/>
      <c r="D332" s="92" t="s">
        <v>72</v>
      </c>
      <c r="E332" s="93" t="s">
        <v>73</v>
      </c>
      <c r="F332" s="97" t="s">
        <v>72</v>
      </c>
      <c r="G332" s="93" t="s">
        <v>73</v>
      </c>
      <c r="H332" s="97" t="s">
        <v>72</v>
      </c>
      <c r="I332" s="93" t="s">
        <v>73</v>
      </c>
      <c r="J332" s="92" t="s">
        <v>72</v>
      </c>
      <c r="K332" s="93" t="s">
        <v>73</v>
      </c>
      <c r="L332" s="92" t="s">
        <v>72</v>
      </c>
      <c r="M332" s="93" t="s">
        <v>73</v>
      </c>
      <c r="N332" s="92" t="s">
        <v>72</v>
      </c>
      <c r="O332" s="93" t="s">
        <v>73</v>
      </c>
      <c r="P332" s="92" t="s">
        <v>72</v>
      </c>
      <c r="Q332" s="93" t="s">
        <v>73</v>
      </c>
      <c r="R332" s="92" t="s">
        <v>72</v>
      </c>
      <c r="S332" s="93" t="s">
        <v>73</v>
      </c>
      <c r="T332" s="92" t="s">
        <v>72</v>
      </c>
      <c r="U332" s="93" t="s">
        <v>73</v>
      </c>
      <c r="V332" s="92" t="s">
        <v>72</v>
      </c>
      <c r="W332" s="93" t="s">
        <v>73</v>
      </c>
      <c r="X332" s="92" t="s">
        <v>72</v>
      </c>
      <c r="Y332" s="93" t="s">
        <v>73</v>
      </c>
      <c r="Z332" s="92" t="s">
        <v>72</v>
      </c>
      <c r="AA332" s="94" t="s">
        <v>73</v>
      </c>
      <c r="AB332" s="159" t="s">
        <v>72</v>
      </c>
      <c r="AC332" s="94" t="s">
        <v>73</v>
      </c>
      <c r="AD332" s="159" t="s">
        <v>72</v>
      </c>
      <c r="AE332" s="94" t="s">
        <v>73</v>
      </c>
      <c r="AF332" s="159" t="s">
        <v>72</v>
      </c>
      <c r="AG332" s="94" t="s">
        <v>73</v>
      </c>
      <c r="AH332" s="159" t="s">
        <v>72</v>
      </c>
      <c r="AI332" s="93" t="s">
        <v>73</v>
      </c>
      <c r="AJ332" s="97" t="s">
        <v>72</v>
      </c>
      <c r="AK332" s="93" t="s">
        <v>73</v>
      </c>
      <c r="AL332" s="97" t="s">
        <v>72</v>
      </c>
      <c r="AM332" s="93" t="s">
        <v>73</v>
      </c>
      <c r="AN332" s="92" t="s">
        <v>72</v>
      </c>
      <c r="AO332" s="93" t="s">
        <v>73</v>
      </c>
      <c r="AP332" s="92" t="s">
        <v>72</v>
      </c>
      <c r="AQ332" s="93" t="s">
        <v>73</v>
      </c>
      <c r="AR332" s="92" t="s">
        <v>72</v>
      </c>
      <c r="AS332" s="93" t="s">
        <v>73</v>
      </c>
      <c r="AT332" s="92" t="s">
        <v>72</v>
      </c>
      <c r="AU332" s="93" t="s">
        <v>73</v>
      </c>
      <c r="AV332" s="92" t="s">
        <v>72</v>
      </c>
      <c r="AW332" s="93" t="s">
        <v>73</v>
      </c>
      <c r="AX332" s="92" t="s">
        <v>72</v>
      </c>
      <c r="AY332" s="93" t="s">
        <v>73</v>
      </c>
      <c r="AZ332" s="92" t="s">
        <v>72</v>
      </c>
      <c r="BA332" s="93" t="s">
        <v>73</v>
      </c>
      <c r="BB332" s="92" t="s">
        <v>72</v>
      </c>
      <c r="BC332" s="93" t="s">
        <v>73</v>
      </c>
      <c r="BD332" s="92" t="s">
        <v>72</v>
      </c>
      <c r="BE332" s="94" t="s">
        <v>73</v>
      </c>
      <c r="BF332" s="159" t="s">
        <v>72</v>
      </c>
      <c r="BG332" s="94" t="s">
        <v>73</v>
      </c>
      <c r="BH332" s="159" t="s">
        <v>72</v>
      </c>
      <c r="BI332" s="94" t="s">
        <v>73</v>
      </c>
      <c r="BJ332" s="159" t="s">
        <v>72</v>
      </c>
      <c r="BK332" s="94" t="s">
        <v>73</v>
      </c>
      <c r="BL332" s="159" t="s">
        <v>72</v>
      </c>
      <c r="BM332" s="94" t="s">
        <v>73</v>
      </c>
      <c r="BN332" s="95" t="s">
        <v>72</v>
      </c>
      <c r="BO332" s="94" t="s">
        <v>73</v>
      </c>
      <c r="BP332" s="236" t="s">
        <v>252</v>
      </c>
      <c r="BQ332" s="237" t="s">
        <v>254</v>
      </c>
    </row>
    <row r="333" spans="2:69" s="6" customFormat="1" ht="50.1" customHeight="1" thickTop="1">
      <c r="B333" s="205" t="str">
        <f>'1月'!$B$333</f>
        <v>石橋　優子</v>
      </c>
      <c r="C333" s="152"/>
      <c r="D333" s="46"/>
      <c r="E333" s="9"/>
      <c r="F333" s="46"/>
      <c r="G333" s="9"/>
      <c r="H333" s="46"/>
      <c r="I333" s="9"/>
      <c r="J333" s="46"/>
      <c r="K333" s="9"/>
      <c r="L333" s="46"/>
      <c r="M333" s="9"/>
      <c r="N333" s="46"/>
      <c r="O333" s="9"/>
      <c r="P333" s="46"/>
      <c r="Q333" s="9"/>
      <c r="R333" s="46"/>
      <c r="S333" s="9"/>
      <c r="T333" s="46"/>
      <c r="U333" s="9"/>
      <c r="V333" s="46"/>
      <c r="W333" s="9"/>
      <c r="X333" s="46"/>
      <c r="Y333" s="9"/>
      <c r="Z333" s="46"/>
      <c r="AA333" s="9"/>
      <c r="AB333" s="46"/>
      <c r="AC333" s="9"/>
      <c r="AD333" s="46"/>
      <c r="AE333" s="9"/>
      <c r="AF333" s="46"/>
      <c r="AG333" s="10"/>
      <c r="AH333" s="179"/>
      <c r="AI333" s="9"/>
      <c r="AJ333" s="46"/>
      <c r="AK333" s="9"/>
      <c r="AL333" s="46"/>
      <c r="AM333" s="9"/>
      <c r="AN333" s="46"/>
      <c r="AO333" s="9"/>
      <c r="AP333" s="46"/>
      <c r="AQ333" s="9"/>
      <c r="AR333" s="46"/>
      <c r="AS333" s="9"/>
      <c r="AT333" s="46"/>
      <c r="AU333" s="9"/>
      <c r="AV333" s="46"/>
      <c r="AW333" s="9"/>
      <c r="AX333" s="46"/>
      <c r="AY333" s="9"/>
      <c r="AZ333" s="46"/>
      <c r="BA333" s="9"/>
      <c r="BB333" s="46"/>
      <c r="BC333" s="9"/>
      <c r="BD333" s="46"/>
      <c r="BE333" s="9"/>
      <c r="BF333" s="46"/>
      <c r="BG333" s="9"/>
      <c r="BH333" s="46"/>
      <c r="BI333" s="9"/>
      <c r="BJ333" s="46"/>
      <c r="BK333" s="10"/>
      <c r="BL333" s="11"/>
      <c r="BM333" s="10"/>
      <c r="BN333" s="102">
        <f>SUM(D333,F333,H333,J333,L333,N333,P333,R333,T333,V333,X333,Z333,AB333,AD333,AF333,AH333,AJ333,AL333,AN333,AP333,AR333,AT333,AV333,AX333,AZ333,BB333,BD333,BF333,BH333,BJ333,BL333)</f>
        <v>0</v>
      </c>
      <c r="BO333" s="47">
        <f>SUM(E333,G333,I333,K333,M333,O333,Q333,S333,U333,W333,Y333,AA333,AC333,AE333,AG333,AI333,AK333,AM333,AO333,AQ333,AS333,AU333,AW333,AY333,BA333,BC333,BE333,BG333,BI333,BK333,BM333)</f>
        <v>0</v>
      </c>
      <c r="BP333" s="631">
        <f>INDEX('2月'!$B$4:$BQ$375,MATCH('3月'!B333,'2月'!$B$4:$B$375,0),67)+BN333</f>
        <v>0</v>
      </c>
      <c r="BQ333" s="702">
        <f>INDEX('2月'!$B$4:$BQ$375,MATCH('3月'!B333,'2月'!$B$4:$B$375,0),68)+BO333</f>
        <v>0</v>
      </c>
    </row>
    <row r="334" spans="2:69" s="6" customFormat="1" ht="50.1" customHeight="1">
      <c r="B334" s="201" t="str">
        <f>'1月'!$B$334</f>
        <v>上田　敏子</v>
      </c>
      <c r="C334" s="146"/>
      <c r="D334" s="18"/>
      <c r="E334" s="14"/>
      <c r="F334" s="18"/>
      <c r="G334" s="14"/>
      <c r="H334" s="18"/>
      <c r="I334" s="14"/>
      <c r="J334" s="18"/>
      <c r="K334" s="14"/>
      <c r="L334" s="18"/>
      <c r="M334" s="14"/>
      <c r="N334" s="18"/>
      <c r="O334" s="14"/>
      <c r="P334" s="18"/>
      <c r="Q334" s="14"/>
      <c r="R334" s="18"/>
      <c r="S334" s="14"/>
      <c r="T334" s="18"/>
      <c r="U334" s="14"/>
      <c r="V334" s="18"/>
      <c r="W334" s="14"/>
      <c r="X334" s="18"/>
      <c r="Y334" s="14"/>
      <c r="Z334" s="18"/>
      <c r="AA334" s="14"/>
      <c r="AB334" s="18"/>
      <c r="AC334" s="14"/>
      <c r="AD334" s="18"/>
      <c r="AE334" s="14"/>
      <c r="AF334" s="18"/>
      <c r="AG334" s="600"/>
      <c r="AH334" s="601"/>
      <c r="AI334" s="569"/>
      <c r="AJ334" s="18"/>
      <c r="AK334" s="14"/>
      <c r="AL334" s="18"/>
      <c r="AM334" s="14"/>
      <c r="AN334" s="18"/>
      <c r="AO334" s="14"/>
      <c r="AP334" s="18"/>
      <c r="AQ334" s="14"/>
      <c r="AR334" s="18"/>
      <c r="AS334" s="14"/>
      <c r="AT334" s="18"/>
      <c r="AU334" s="14"/>
      <c r="AV334" s="18"/>
      <c r="AW334" s="14"/>
      <c r="AX334" s="18"/>
      <c r="AY334" s="14"/>
      <c r="AZ334" s="18"/>
      <c r="BA334" s="14"/>
      <c r="BB334" s="18"/>
      <c r="BC334" s="14"/>
      <c r="BD334" s="18"/>
      <c r="BE334" s="14"/>
      <c r="BF334" s="18"/>
      <c r="BG334" s="14"/>
      <c r="BH334" s="18"/>
      <c r="BI334" s="14"/>
      <c r="BJ334" s="18"/>
      <c r="BK334" s="15"/>
      <c r="BL334" s="16"/>
      <c r="BM334" s="15"/>
      <c r="BN334" s="102">
        <f t="shared" ref="BN334:BN342" si="55">SUM(D334,F334,H334,J334,L334,N334,P334,R334,T334,V334,X334,Z334,AB334,AD334,AF334,AH334,AJ334,AL334,AN334,AP334,AR334,AT334,AV334,AX334,AZ334,BB334,BD334,BF334,BH334,BJ334,BL334)</f>
        <v>0</v>
      </c>
      <c r="BO334" s="47">
        <f t="shared" ref="BO334:BO342" si="56">SUM(E334,G334,I334,K334,M334,O334,Q334,S334,U334,W334,Y334,AA334,AC334,AE334,AG334,AI334,AK334,AM334,AO334,AQ334,AS334,AU334,AW334,AY334,BA334,BC334,BE334,BG334,BI334,BK334,BM334)</f>
        <v>0</v>
      </c>
      <c r="BP334" s="631">
        <f>INDEX('2月'!$B$4:$BQ$375,MATCH('3月'!B334,'2月'!$B$4:$B$375,0),67)+BN334</f>
        <v>3</v>
      </c>
      <c r="BQ334" s="702">
        <f>INDEX('2月'!$B$4:$BQ$375,MATCH('3月'!B334,'2月'!$B$4:$B$375,0),68)+BO334</f>
        <v>5</v>
      </c>
    </row>
    <row r="335" spans="2:69" s="6" customFormat="1" ht="50.1" customHeight="1">
      <c r="B335" s="201" t="str">
        <f>'1月'!$B$335</f>
        <v>齋藤　小百合</v>
      </c>
      <c r="C335" s="146"/>
      <c r="D335" s="18"/>
      <c r="E335" s="14"/>
      <c r="F335" s="50"/>
      <c r="G335" s="20"/>
      <c r="H335" s="50"/>
      <c r="I335" s="20"/>
      <c r="J335" s="50"/>
      <c r="K335" s="20"/>
      <c r="L335" s="50"/>
      <c r="M335" s="20"/>
      <c r="N335" s="50"/>
      <c r="O335" s="20"/>
      <c r="P335" s="50"/>
      <c r="Q335" s="20"/>
      <c r="R335" s="50"/>
      <c r="S335" s="20"/>
      <c r="T335" s="50"/>
      <c r="U335" s="20"/>
      <c r="V335" s="50"/>
      <c r="W335" s="20"/>
      <c r="X335" s="50"/>
      <c r="Y335" s="20"/>
      <c r="Z335" s="50"/>
      <c r="AA335" s="20"/>
      <c r="AB335" s="50"/>
      <c r="AC335" s="20"/>
      <c r="AD335" s="50"/>
      <c r="AE335" s="20"/>
      <c r="AF335" s="18"/>
      <c r="AG335" s="594"/>
      <c r="AH335" s="612"/>
      <c r="AI335" s="593"/>
      <c r="AJ335" s="50"/>
      <c r="AK335" s="20"/>
      <c r="AL335" s="50"/>
      <c r="AM335" s="20"/>
      <c r="AN335" s="50"/>
      <c r="AO335" s="20"/>
      <c r="AP335" s="50"/>
      <c r="AQ335" s="20"/>
      <c r="AR335" s="50"/>
      <c r="AS335" s="20"/>
      <c r="AT335" s="50"/>
      <c r="AU335" s="20"/>
      <c r="AV335" s="50"/>
      <c r="AW335" s="20"/>
      <c r="AX335" s="50"/>
      <c r="AY335" s="20"/>
      <c r="AZ335" s="50"/>
      <c r="BA335" s="20"/>
      <c r="BB335" s="50"/>
      <c r="BC335" s="20"/>
      <c r="BD335" s="50"/>
      <c r="BE335" s="20"/>
      <c r="BF335" s="50"/>
      <c r="BG335" s="20"/>
      <c r="BH335" s="50"/>
      <c r="BI335" s="20"/>
      <c r="BJ335" s="50"/>
      <c r="BK335" s="21"/>
      <c r="BL335" s="22"/>
      <c r="BM335" s="21"/>
      <c r="BN335" s="102">
        <f t="shared" si="55"/>
        <v>0</v>
      </c>
      <c r="BO335" s="47">
        <f t="shared" si="56"/>
        <v>0</v>
      </c>
      <c r="BP335" s="631">
        <f>INDEX('2月'!$B$4:$BQ$375,MATCH('3月'!B335,'2月'!$B$4:$B$375,0),67)+BN335</f>
        <v>0</v>
      </c>
      <c r="BQ335" s="702">
        <f>INDEX('2月'!$B$4:$BQ$375,MATCH('3月'!B335,'2月'!$B$4:$B$375,0),68)+BO335</f>
        <v>0</v>
      </c>
    </row>
    <row r="336" spans="2:69" s="6" customFormat="1" ht="50.1" customHeight="1">
      <c r="B336" s="201" t="str">
        <f>'1月'!$B$336</f>
        <v>鹿内　美海</v>
      </c>
      <c r="C336" s="146"/>
      <c r="D336" s="18"/>
      <c r="E336" s="14"/>
      <c r="F336" s="18"/>
      <c r="G336" s="14"/>
      <c r="H336" s="18"/>
      <c r="I336" s="14"/>
      <c r="J336" s="18"/>
      <c r="K336" s="14"/>
      <c r="L336" s="18"/>
      <c r="M336" s="14"/>
      <c r="N336" s="18"/>
      <c r="O336" s="14"/>
      <c r="P336" s="18"/>
      <c r="Q336" s="14"/>
      <c r="R336" s="18"/>
      <c r="S336" s="14"/>
      <c r="T336" s="18"/>
      <c r="U336" s="14"/>
      <c r="V336" s="18"/>
      <c r="W336" s="14"/>
      <c r="X336" s="18"/>
      <c r="Y336" s="14"/>
      <c r="Z336" s="18"/>
      <c r="AA336" s="14"/>
      <c r="AB336" s="18"/>
      <c r="AC336" s="14"/>
      <c r="AD336" s="18"/>
      <c r="AE336" s="14"/>
      <c r="AF336" s="18"/>
      <c r="AG336" s="600"/>
      <c r="AH336" s="612"/>
      <c r="AI336" s="569"/>
      <c r="AJ336" s="18"/>
      <c r="AK336" s="14"/>
      <c r="AL336" s="18"/>
      <c r="AM336" s="14"/>
      <c r="AN336" s="18"/>
      <c r="AO336" s="14"/>
      <c r="AP336" s="18"/>
      <c r="AQ336" s="14"/>
      <c r="AR336" s="18"/>
      <c r="AS336" s="14"/>
      <c r="AT336" s="18"/>
      <c r="AU336" s="14"/>
      <c r="AV336" s="18"/>
      <c r="AW336" s="14"/>
      <c r="AX336" s="18"/>
      <c r="AY336" s="14"/>
      <c r="AZ336" s="18"/>
      <c r="BA336" s="14"/>
      <c r="BB336" s="18"/>
      <c r="BC336" s="14"/>
      <c r="BD336" s="18"/>
      <c r="BE336" s="14"/>
      <c r="BF336" s="18"/>
      <c r="BG336" s="14"/>
      <c r="BH336" s="18"/>
      <c r="BI336" s="14"/>
      <c r="BJ336" s="18"/>
      <c r="BK336" s="15"/>
      <c r="BL336" s="16"/>
      <c r="BM336" s="15"/>
      <c r="BN336" s="102">
        <f t="shared" si="55"/>
        <v>0</v>
      </c>
      <c r="BO336" s="47">
        <f t="shared" si="56"/>
        <v>0</v>
      </c>
      <c r="BP336" s="631">
        <f>INDEX('2月'!$B$4:$BQ$375,MATCH('3月'!B336,'2月'!$B$4:$B$375,0),67)+BN336</f>
        <v>0</v>
      </c>
      <c r="BQ336" s="702">
        <f>INDEX('2月'!$B$4:$BQ$375,MATCH('3月'!B336,'2月'!$B$4:$B$375,0),68)+BO336</f>
        <v>0</v>
      </c>
    </row>
    <row r="337" spans="2:69" s="6" customFormat="1" ht="50.1" customHeight="1">
      <c r="B337" s="201" t="str">
        <f>'1月'!$B$337</f>
        <v>田中　良子</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600"/>
      <c r="AH337" s="612"/>
      <c r="AI337" s="569"/>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102">
        <f t="shared" si="55"/>
        <v>0</v>
      </c>
      <c r="BO337" s="47">
        <f t="shared" si="56"/>
        <v>0</v>
      </c>
      <c r="BP337" s="631">
        <f>INDEX('2月'!$B$4:$BQ$375,MATCH('3月'!B337,'2月'!$B$4:$B$375,0),67)+BN337</f>
        <v>0</v>
      </c>
      <c r="BQ337" s="702">
        <f>INDEX('2月'!$B$4:$BQ$375,MATCH('3月'!B337,'2月'!$B$4:$B$375,0),68)+BO337</f>
        <v>0</v>
      </c>
    </row>
    <row r="338" spans="2:69" s="6" customFormat="1" ht="50.1" customHeight="1">
      <c r="B338" s="201" t="str">
        <f>'1月'!$B$338</f>
        <v>中村　章子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600"/>
      <c r="AH338" s="612"/>
      <c r="AI338" s="569"/>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102">
        <f t="shared" si="55"/>
        <v>0</v>
      </c>
      <c r="BO338" s="47">
        <f t="shared" si="56"/>
        <v>0</v>
      </c>
      <c r="BP338" s="631">
        <f>INDEX('2月'!$B$4:$BQ$375,MATCH('3月'!B338,'2月'!$B$4:$B$375,0),67)+BN338</f>
        <v>0</v>
      </c>
      <c r="BQ338" s="702">
        <f>INDEX('2月'!$B$4:$BQ$375,MATCH('3月'!B338,'2月'!$B$4:$B$375,0),68)+BO338</f>
        <v>0</v>
      </c>
    </row>
    <row r="339" spans="2:69" s="6" customFormat="1" ht="50.1" customHeight="1">
      <c r="B339" s="201" t="str">
        <f>'1月'!$B$339</f>
        <v>林　京子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600"/>
      <c r="AH339" s="612"/>
      <c r="AI339" s="569"/>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102">
        <f t="shared" si="55"/>
        <v>0</v>
      </c>
      <c r="BO339" s="47">
        <f t="shared" si="56"/>
        <v>0</v>
      </c>
      <c r="BP339" s="631">
        <f>INDEX('2月'!$B$4:$BQ$375,MATCH('3月'!B339,'2月'!$B$4:$B$375,0),67)+BN339</f>
        <v>0</v>
      </c>
      <c r="BQ339" s="702">
        <f>INDEX('2月'!$B$4:$BQ$375,MATCH('3月'!B339,'2月'!$B$4:$B$375,0),68)+BO339</f>
        <v>0</v>
      </c>
    </row>
    <row r="340" spans="2:69" s="6" customFormat="1" ht="50.1" customHeight="1">
      <c r="B340" s="202" t="str">
        <f>'1月'!$B$340</f>
        <v>三上　紗津</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600"/>
      <c r="AH340" s="612"/>
      <c r="AI340" s="569"/>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102">
        <f t="shared" si="55"/>
        <v>0</v>
      </c>
      <c r="BO340" s="47">
        <f t="shared" si="56"/>
        <v>0</v>
      </c>
      <c r="BP340" s="631">
        <f>INDEX('2月'!$B$4:$BQ$375,MATCH('3月'!B340,'2月'!$B$4:$B$375,0),67)+BN340</f>
        <v>0</v>
      </c>
      <c r="BQ340" s="702">
        <f>INDEX('2月'!$B$4:$BQ$375,MATCH('3月'!B340,'2月'!$B$4:$B$375,0),68)+BO340</f>
        <v>0</v>
      </c>
    </row>
    <row r="341" spans="2:69" s="6" customFormat="1" ht="15.95" customHeight="1">
      <c r="B341" s="202">
        <f>'1月'!$B$341</f>
        <v>0</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600"/>
      <c r="AH341" s="601"/>
      <c r="AI341" s="569"/>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02">
        <f t="shared" si="55"/>
        <v>0</v>
      </c>
      <c r="BO341" s="47">
        <f t="shared" si="56"/>
        <v>0</v>
      </c>
      <c r="BP341" s="631"/>
      <c r="BQ341" s="559"/>
    </row>
    <row r="342" spans="2:69" s="6" customFormat="1" ht="15.95" customHeight="1" thickBot="1">
      <c r="B342" s="156">
        <f>'1月'!$B$342</f>
        <v>0</v>
      </c>
      <c r="C342" s="148"/>
      <c r="D342" s="7"/>
      <c r="E342" s="86"/>
      <c r="F342" s="7"/>
      <c r="G342" s="86"/>
      <c r="H342" s="7"/>
      <c r="I342" s="86"/>
      <c r="J342" s="7"/>
      <c r="K342" s="86"/>
      <c r="L342" s="7"/>
      <c r="M342" s="86"/>
      <c r="N342" s="7"/>
      <c r="O342" s="86"/>
      <c r="P342" s="7"/>
      <c r="Q342" s="86"/>
      <c r="R342" s="7"/>
      <c r="S342" s="86"/>
      <c r="T342" s="7"/>
      <c r="U342" s="86"/>
      <c r="V342" s="7"/>
      <c r="W342" s="86"/>
      <c r="X342" s="7"/>
      <c r="Y342" s="86"/>
      <c r="Z342" s="7"/>
      <c r="AA342" s="86"/>
      <c r="AB342" s="7"/>
      <c r="AC342" s="86"/>
      <c r="AD342" s="7"/>
      <c r="AE342" s="86"/>
      <c r="AF342" s="7"/>
      <c r="AG342" s="87"/>
      <c r="AH342" s="322"/>
      <c r="AI342" s="86"/>
      <c r="AJ342" s="7"/>
      <c r="AK342" s="86"/>
      <c r="AL342" s="7"/>
      <c r="AM342" s="86"/>
      <c r="AN342" s="7"/>
      <c r="AO342" s="86"/>
      <c r="AP342" s="7"/>
      <c r="AQ342" s="86"/>
      <c r="AR342" s="7"/>
      <c r="AS342" s="86"/>
      <c r="AT342" s="7"/>
      <c r="AU342" s="86"/>
      <c r="AV342" s="7"/>
      <c r="AW342" s="86"/>
      <c r="AX342" s="7"/>
      <c r="AY342" s="86"/>
      <c r="AZ342" s="7"/>
      <c r="BA342" s="86"/>
      <c r="BB342" s="7"/>
      <c r="BC342" s="86"/>
      <c r="BD342" s="7"/>
      <c r="BE342" s="86"/>
      <c r="BF342" s="7"/>
      <c r="BG342" s="86"/>
      <c r="BH342" s="7"/>
      <c r="BI342" s="86"/>
      <c r="BJ342" s="7"/>
      <c r="BK342" s="87"/>
      <c r="BL342" s="183"/>
      <c r="BM342" s="87"/>
      <c r="BN342" s="102">
        <f t="shared" si="55"/>
        <v>0</v>
      </c>
      <c r="BO342" s="47">
        <f t="shared" si="56"/>
        <v>0</v>
      </c>
      <c r="BP342" s="631"/>
      <c r="BQ342" s="559"/>
    </row>
    <row r="343" spans="2:69" s="6" customFormat="1" ht="48" customHeight="1" thickBot="1">
      <c r="B343" s="119" t="s">
        <v>101</v>
      </c>
      <c r="C343" s="149"/>
      <c r="D343" s="32">
        <f t="shared" ref="D343:BM343" si="57">SUM(D333:D342)</f>
        <v>0</v>
      </c>
      <c r="E343" s="31">
        <f t="shared" si="57"/>
        <v>0</v>
      </c>
      <c r="F343" s="30">
        <f t="shared" si="57"/>
        <v>0</v>
      </c>
      <c r="G343" s="31">
        <f t="shared" si="57"/>
        <v>0</v>
      </c>
      <c r="H343" s="30">
        <f t="shared" si="57"/>
        <v>0</v>
      </c>
      <c r="I343" s="91">
        <f t="shared" si="57"/>
        <v>0</v>
      </c>
      <c r="J343" s="30">
        <f t="shared" si="57"/>
        <v>0</v>
      </c>
      <c r="K343" s="91">
        <f t="shared" si="57"/>
        <v>0</v>
      </c>
      <c r="L343" s="30">
        <f t="shared" si="57"/>
        <v>0</v>
      </c>
      <c r="M343" s="91">
        <f t="shared" si="57"/>
        <v>0</v>
      </c>
      <c r="N343" s="30">
        <f t="shared" si="57"/>
        <v>0</v>
      </c>
      <c r="O343" s="91">
        <f t="shared" si="57"/>
        <v>0</v>
      </c>
      <c r="P343" s="30">
        <f t="shared" si="57"/>
        <v>0</v>
      </c>
      <c r="Q343" s="91">
        <f t="shared" si="57"/>
        <v>0</v>
      </c>
      <c r="R343" s="30">
        <f t="shared" si="57"/>
        <v>0</v>
      </c>
      <c r="S343" s="91">
        <f t="shared" si="57"/>
        <v>0</v>
      </c>
      <c r="T343" s="30">
        <f t="shared" si="57"/>
        <v>0</v>
      </c>
      <c r="U343" s="91">
        <f t="shared" si="57"/>
        <v>0</v>
      </c>
      <c r="V343" s="30">
        <f t="shared" si="57"/>
        <v>0</v>
      </c>
      <c r="W343" s="91">
        <f t="shared" si="57"/>
        <v>0</v>
      </c>
      <c r="X343" s="30">
        <f t="shared" si="57"/>
        <v>0</v>
      </c>
      <c r="Y343" s="91">
        <f t="shared" si="57"/>
        <v>0</v>
      </c>
      <c r="Z343" s="30">
        <f t="shared" si="57"/>
        <v>0</v>
      </c>
      <c r="AA343" s="91">
        <f t="shared" si="57"/>
        <v>0</v>
      </c>
      <c r="AB343" s="30">
        <f t="shared" si="57"/>
        <v>0</v>
      </c>
      <c r="AC343" s="91">
        <f t="shared" si="57"/>
        <v>0</v>
      </c>
      <c r="AD343" s="30">
        <f t="shared" si="57"/>
        <v>0</v>
      </c>
      <c r="AE343" s="91">
        <f t="shared" si="57"/>
        <v>0</v>
      </c>
      <c r="AF343" s="30">
        <f t="shared" si="57"/>
        <v>0</v>
      </c>
      <c r="AG343" s="29">
        <f t="shared" si="57"/>
        <v>0</v>
      </c>
      <c r="AH343" s="30">
        <f t="shared" si="57"/>
        <v>0</v>
      </c>
      <c r="AI343" s="31">
        <f t="shared" si="57"/>
        <v>0</v>
      </c>
      <c r="AJ343" s="30">
        <f t="shared" si="57"/>
        <v>0</v>
      </c>
      <c r="AK343" s="31">
        <f t="shared" si="57"/>
        <v>0</v>
      </c>
      <c r="AL343" s="30">
        <f t="shared" si="57"/>
        <v>0</v>
      </c>
      <c r="AM343" s="91">
        <f t="shared" si="57"/>
        <v>0</v>
      </c>
      <c r="AN343" s="30">
        <f t="shared" si="57"/>
        <v>0</v>
      </c>
      <c r="AO343" s="91">
        <f t="shared" si="57"/>
        <v>0</v>
      </c>
      <c r="AP343" s="30">
        <f t="shared" si="57"/>
        <v>0</v>
      </c>
      <c r="AQ343" s="91">
        <f t="shared" si="57"/>
        <v>0</v>
      </c>
      <c r="AR343" s="30">
        <f t="shared" si="57"/>
        <v>0</v>
      </c>
      <c r="AS343" s="91">
        <f t="shared" si="57"/>
        <v>0</v>
      </c>
      <c r="AT343" s="30">
        <f t="shared" si="57"/>
        <v>0</v>
      </c>
      <c r="AU343" s="91">
        <f t="shared" si="57"/>
        <v>0</v>
      </c>
      <c r="AV343" s="30">
        <f t="shared" si="57"/>
        <v>0</v>
      </c>
      <c r="AW343" s="91">
        <f t="shared" si="57"/>
        <v>0</v>
      </c>
      <c r="AX343" s="30">
        <f t="shared" si="57"/>
        <v>0</v>
      </c>
      <c r="AY343" s="91">
        <f t="shared" si="57"/>
        <v>0</v>
      </c>
      <c r="AZ343" s="30">
        <f t="shared" si="57"/>
        <v>0</v>
      </c>
      <c r="BA343" s="91">
        <f t="shared" si="57"/>
        <v>0</v>
      </c>
      <c r="BB343" s="30">
        <f t="shared" si="57"/>
        <v>0</v>
      </c>
      <c r="BC343" s="91">
        <f t="shared" si="57"/>
        <v>0</v>
      </c>
      <c r="BD343" s="30">
        <f t="shared" si="57"/>
        <v>0</v>
      </c>
      <c r="BE343" s="91">
        <f t="shared" si="57"/>
        <v>0</v>
      </c>
      <c r="BF343" s="30">
        <f t="shared" si="57"/>
        <v>0</v>
      </c>
      <c r="BG343" s="91">
        <f t="shared" si="57"/>
        <v>0</v>
      </c>
      <c r="BH343" s="30">
        <f t="shared" si="57"/>
        <v>0</v>
      </c>
      <c r="BI343" s="91">
        <f t="shared" si="57"/>
        <v>0</v>
      </c>
      <c r="BJ343" s="30">
        <f t="shared" si="57"/>
        <v>0</v>
      </c>
      <c r="BK343" s="91">
        <f t="shared" si="57"/>
        <v>0</v>
      </c>
      <c r="BL343" s="30">
        <f t="shared" si="57"/>
        <v>0</v>
      </c>
      <c r="BM343" s="91">
        <f t="shared" si="57"/>
        <v>0</v>
      </c>
      <c r="BN343" s="32">
        <f>SUM(BN333:BN342)</f>
        <v>0</v>
      </c>
      <c r="BO343" s="40">
        <f>SUM(BO333:BO342)</f>
        <v>0</v>
      </c>
      <c r="BP343" s="257">
        <f>SUM(BP333:BP342)</f>
        <v>3</v>
      </c>
      <c r="BQ343" s="240">
        <f>SUM(BQ333:BQ342)</f>
        <v>5</v>
      </c>
    </row>
    <row r="344" spans="2:69" ht="24.95" customHeight="1">
      <c r="B344" s="120"/>
      <c r="AG344" s="34"/>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34"/>
      <c r="BL344" s="7"/>
      <c r="BM344" s="34"/>
      <c r="BN344" s="7"/>
      <c r="BO344" s="7"/>
      <c r="BQ344" s="238"/>
    </row>
    <row r="345" spans="2:69" ht="24.95" customHeight="1" thickBot="1">
      <c r="B345" s="120"/>
      <c r="AG345" s="8"/>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8"/>
      <c r="BL345" s="7"/>
      <c r="BM345" s="8"/>
      <c r="BN345" s="7"/>
      <c r="BO345" s="7"/>
      <c r="BP345" s="238"/>
      <c r="BQ345" s="239"/>
    </row>
    <row r="346" spans="2:69" ht="24.95" customHeight="1">
      <c r="B346" s="743" t="s">
        <v>95</v>
      </c>
      <c r="C346" s="749">
        <f>COUNTIF(B350:B364,"*")</f>
        <v>15</v>
      </c>
      <c r="D346" s="751">
        <v>1</v>
      </c>
      <c r="E346" s="738"/>
      <c r="F346" s="737">
        <v>2</v>
      </c>
      <c r="G346" s="738"/>
      <c r="H346" s="737">
        <v>3</v>
      </c>
      <c r="I346" s="738"/>
      <c r="J346" s="737">
        <v>4</v>
      </c>
      <c r="K346" s="738"/>
      <c r="L346" s="737">
        <v>5</v>
      </c>
      <c r="M346" s="738"/>
      <c r="N346" s="737">
        <v>6</v>
      </c>
      <c r="O346" s="738"/>
      <c r="P346" s="737">
        <v>7</v>
      </c>
      <c r="Q346" s="738"/>
      <c r="R346" s="737">
        <v>8</v>
      </c>
      <c r="S346" s="738"/>
      <c r="T346" s="737">
        <v>9</v>
      </c>
      <c r="U346" s="738"/>
      <c r="V346" s="737">
        <v>10</v>
      </c>
      <c r="W346" s="738"/>
      <c r="X346" s="737">
        <v>11</v>
      </c>
      <c r="Y346" s="738"/>
      <c r="Z346" s="737">
        <v>12</v>
      </c>
      <c r="AA346" s="738"/>
      <c r="AB346" s="737">
        <v>13</v>
      </c>
      <c r="AC346" s="738"/>
      <c r="AD346" s="737">
        <v>14</v>
      </c>
      <c r="AE346" s="738"/>
      <c r="AF346" s="737">
        <v>15</v>
      </c>
      <c r="AG346" s="742"/>
      <c r="AH346" s="741">
        <v>16</v>
      </c>
      <c r="AI346" s="741"/>
      <c r="AJ346" s="741">
        <v>17</v>
      </c>
      <c r="AK346" s="741"/>
      <c r="AL346" s="741">
        <v>18</v>
      </c>
      <c r="AM346" s="741"/>
      <c r="AN346" s="741">
        <v>19</v>
      </c>
      <c r="AO346" s="741"/>
      <c r="AP346" s="741">
        <v>20</v>
      </c>
      <c r="AQ346" s="741"/>
      <c r="AR346" s="741">
        <v>21</v>
      </c>
      <c r="AS346" s="741"/>
      <c r="AT346" s="741">
        <v>22</v>
      </c>
      <c r="AU346" s="741"/>
      <c r="AV346" s="741">
        <v>23</v>
      </c>
      <c r="AW346" s="741"/>
      <c r="AX346" s="741">
        <v>24</v>
      </c>
      <c r="AY346" s="741"/>
      <c r="AZ346" s="741">
        <v>25</v>
      </c>
      <c r="BA346" s="741"/>
      <c r="BB346" s="741">
        <v>26</v>
      </c>
      <c r="BC346" s="741"/>
      <c r="BD346" s="741">
        <v>27</v>
      </c>
      <c r="BE346" s="741"/>
      <c r="BF346" s="741">
        <v>28</v>
      </c>
      <c r="BG346" s="741"/>
      <c r="BH346" s="741">
        <v>29</v>
      </c>
      <c r="BI346" s="741"/>
      <c r="BJ346" s="741">
        <v>30</v>
      </c>
      <c r="BK346" s="741"/>
      <c r="BL346" s="741">
        <v>31</v>
      </c>
      <c r="BM346" s="741"/>
      <c r="BN346" s="738" t="s">
        <v>251</v>
      </c>
      <c r="BO346" s="760"/>
      <c r="BP346" s="771" t="s">
        <v>353</v>
      </c>
      <c r="BQ346" s="772"/>
    </row>
    <row r="347" spans="2:69" ht="24.95" customHeight="1">
      <c r="B347" s="744"/>
      <c r="C347" s="747"/>
      <c r="D347" s="752" t="str">
        <f>D2</f>
        <v>土</v>
      </c>
      <c r="E347" s="740"/>
      <c r="F347" s="739" t="str">
        <f>F2</f>
        <v>日</v>
      </c>
      <c r="G347" s="740"/>
      <c r="H347" s="739" t="str">
        <f>H2</f>
        <v>月</v>
      </c>
      <c r="I347" s="740"/>
      <c r="J347" s="739" t="str">
        <f>J2</f>
        <v>火</v>
      </c>
      <c r="K347" s="740"/>
      <c r="L347" s="739" t="str">
        <f>L2</f>
        <v>水</v>
      </c>
      <c r="M347" s="740"/>
      <c r="N347" s="739" t="str">
        <f>N2</f>
        <v>木</v>
      </c>
      <c r="O347" s="740"/>
      <c r="P347" s="739" t="str">
        <f>P2</f>
        <v>金</v>
      </c>
      <c r="Q347" s="740"/>
      <c r="R347" s="739" t="str">
        <f>R2</f>
        <v>土</v>
      </c>
      <c r="S347" s="740"/>
      <c r="T347" s="739" t="str">
        <f>T2</f>
        <v>日</v>
      </c>
      <c r="U347" s="740"/>
      <c r="V347" s="739" t="str">
        <f>V2</f>
        <v>月</v>
      </c>
      <c r="W347" s="740"/>
      <c r="X347" s="739" t="str">
        <f>X2</f>
        <v>火</v>
      </c>
      <c r="Y347" s="740"/>
      <c r="Z347" s="739" t="str">
        <f>Z2</f>
        <v>水</v>
      </c>
      <c r="AA347" s="740"/>
      <c r="AB347" s="739" t="str">
        <f>AB2</f>
        <v>木</v>
      </c>
      <c r="AC347" s="740"/>
      <c r="AD347" s="739" t="str">
        <f>AD2</f>
        <v>金</v>
      </c>
      <c r="AE347" s="740"/>
      <c r="AF347" s="739" t="str">
        <f>AF2</f>
        <v>土</v>
      </c>
      <c r="AG347" s="756"/>
      <c r="AH347" s="768" t="str">
        <f>AH2</f>
        <v>日</v>
      </c>
      <c r="AI347" s="769"/>
      <c r="AJ347" s="770" t="str">
        <f>AJ2</f>
        <v>月</v>
      </c>
      <c r="AK347" s="770"/>
      <c r="AL347" s="770" t="str">
        <f>AL2</f>
        <v>火</v>
      </c>
      <c r="AM347" s="770"/>
      <c r="AN347" s="770" t="str">
        <f>AN2</f>
        <v>水</v>
      </c>
      <c r="AO347" s="770"/>
      <c r="AP347" s="770" t="str">
        <f>AP2</f>
        <v>木</v>
      </c>
      <c r="AQ347" s="770"/>
      <c r="AR347" s="770" t="str">
        <f>AR2</f>
        <v>金</v>
      </c>
      <c r="AS347" s="770"/>
      <c r="AT347" s="770" t="str">
        <f>AT2</f>
        <v>土</v>
      </c>
      <c r="AU347" s="770"/>
      <c r="AV347" s="770" t="str">
        <f>AV2</f>
        <v>日</v>
      </c>
      <c r="AW347" s="770"/>
      <c r="AX347" s="770" t="str">
        <f>AX2</f>
        <v>月</v>
      </c>
      <c r="AY347" s="770"/>
      <c r="AZ347" s="770" t="str">
        <f>AZ2</f>
        <v>火</v>
      </c>
      <c r="BA347" s="770"/>
      <c r="BB347" s="770" t="str">
        <f>BB2</f>
        <v>水</v>
      </c>
      <c r="BC347" s="770"/>
      <c r="BD347" s="770" t="str">
        <f>BD2</f>
        <v>木</v>
      </c>
      <c r="BE347" s="770"/>
      <c r="BF347" s="770" t="str">
        <f>BF2</f>
        <v>金</v>
      </c>
      <c r="BG347" s="770"/>
      <c r="BH347" s="770" t="str">
        <f>BH2</f>
        <v>土</v>
      </c>
      <c r="BI347" s="770"/>
      <c r="BJ347" s="770" t="str">
        <f>BJ2</f>
        <v>日</v>
      </c>
      <c r="BK347" s="770"/>
      <c r="BL347" s="770" t="str">
        <f>BL2</f>
        <v>月</v>
      </c>
      <c r="BM347" s="770"/>
      <c r="BN347" s="761"/>
      <c r="BO347" s="762"/>
      <c r="BP347" s="773"/>
      <c r="BQ347" s="774"/>
    </row>
    <row r="348" spans="2:69" ht="24.95" customHeight="1">
      <c r="B348" s="744"/>
      <c r="C348" s="747"/>
      <c r="D348" s="482" t="s">
        <v>72</v>
      </c>
      <c r="E348" s="481" t="s">
        <v>73</v>
      </c>
      <c r="F348" s="480" t="s">
        <v>72</v>
      </c>
      <c r="G348" s="481" t="s">
        <v>73</v>
      </c>
      <c r="H348" s="480" t="s">
        <v>72</v>
      </c>
      <c r="I348" s="481" t="s">
        <v>73</v>
      </c>
      <c r="J348" s="482" t="s">
        <v>72</v>
      </c>
      <c r="K348" s="481" t="s">
        <v>73</v>
      </c>
      <c r="L348" s="482" t="s">
        <v>72</v>
      </c>
      <c r="M348" s="481" t="s">
        <v>73</v>
      </c>
      <c r="N348" s="482" t="s">
        <v>72</v>
      </c>
      <c r="O348" s="481" t="s">
        <v>73</v>
      </c>
      <c r="P348" s="482" t="s">
        <v>72</v>
      </c>
      <c r="Q348" s="481" t="s">
        <v>73</v>
      </c>
      <c r="R348" s="482" t="s">
        <v>72</v>
      </c>
      <c r="S348" s="481" t="s">
        <v>73</v>
      </c>
      <c r="T348" s="482" t="s">
        <v>72</v>
      </c>
      <c r="U348" s="481" t="s">
        <v>73</v>
      </c>
      <c r="V348" s="482" t="s">
        <v>72</v>
      </c>
      <c r="W348" s="481" t="s">
        <v>73</v>
      </c>
      <c r="X348" s="482" t="s">
        <v>72</v>
      </c>
      <c r="Y348" s="481" t="s">
        <v>73</v>
      </c>
      <c r="Z348" s="482" t="s">
        <v>72</v>
      </c>
      <c r="AA348" s="107" t="s">
        <v>73</v>
      </c>
      <c r="AB348" s="194" t="s">
        <v>72</v>
      </c>
      <c r="AC348" s="107" t="s">
        <v>73</v>
      </c>
      <c r="AD348" s="194" t="s">
        <v>72</v>
      </c>
      <c r="AE348" s="107" t="s">
        <v>73</v>
      </c>
      <c r="AF348" s="194" t="s">
        <v>72</v>
      </c>
      <c r="AG348" s="584" t="s">
        <v>73</v>
      </c>
      <c r="AH348" s="552" t="s">
        <v>72</v>
      </c>
      <c r="AI348" s="583" t="s">
        <v>73</v>
      </c>
      <c r="AJ348" s="480" t="s">
        <v>72</v>
      </c>
      <c r="AK348" s="481" t="s">
        <v>73</v>
      </c>
      <c r="AL348" s="480" t="s">
        <v>72</v>
      </c>
      <c r="AM348" s="481" t="s">
        <v>73</v>
      </c>
      <c r="AN348" s="482" t="s">
        <v>72</v>
      </c>
      <c r="AO348" s="481" t="s">
        <v>73</v>
      </c>
      <c r="AP348" s="482" t="s">
        <v>72</v>
      </c>
      <c r="AQ348" s="481" t="s">
        <v>73</v>
      </c>
      <c r="AR348" s="482" t="s">
        <v>72</v>
      </c>
      <c r="AS348" s="481" t="s">
        <v>73</v>
      </c>
      <c r="AT348" s="482" t="s">
        <v>72</v>
      </c>
      <c r="AU348" s="481" t="s">
        <v>73</v>
      </c>
      <c r="AV348" s="482" t="s">
        <v>72</v>
      </c>
      <c r="AW348" s="481" t="s">
        <v>73</v>
      </c>
      <c r="AX348" s="482" t="s">
        <v>72</v>
      </c>
      <c r="AY348" s="481" t="s">
        <v>73</v>
      </c>
      <c r="AZ348" s="482" t="s">
        <v>72</v>
      </c>
      <c r="BA348" s="481" t="s">
        <v>73</v>
      </c>
      <c r="BB348" s="482" t="s">
        <v>72</v>
      </c>
      <c r="BC348" s="481" t="s">
        <v>73</v>
      </c>
      <c r="BD348" s="482" t="s">
        <v>72</v>
      </c>
      <c r="BE348" s="107" t="s">
        <v>73</v>
      </c>
      <c r="BF348" s="194" t="s">
        <v>72</v>
      </c>
      <c r="BG348" s="107" t="s">
        <v>73</v>
      </c>
      <c r="BH348" s="194" t="s">
        <v>72</v>
      </c>
      <c r="BI348" s="107" t="s">
        <v>73</v>
      </c>
      <c r="BJ348" s="194" t="s">
        <v>72</v>
      </c>
      <c r="BK348" s="107" t="s">
        <v>73</v>
      </c>
      <c r="BL348" s="194" t="s">
        <v>72</v>
      </c>
      <c r="BM348" s="107" t="s">
        <v>73</v>
      </c>
      <c r="BN348" s="98" t="s">
        <v>72</v>
      </c>
      <c r="BO348" s="107" t="s">
        <v>73</v>
      </c>
      <c r="BP348" s="477" t="s">
        <v>252</v>
      </c>
      <c r="BQ348" s="478" t="s">
        <v>254</v>
      </c>
    </row>
    <row r="349" spans="2:69" ht="45" customHeight="1">
      <c r="B349" s="540" t="str">
        <f>'1月'!$B$349</f>
        <v>諏訪　房子</v>
      </c>
      <c r="C349" s="541"/>
      <c r="D349" s="18"/>
      <c r="E349" s="14"/>
      <c r="F349" s="18"/>
      <c r="G349" s="14"/>
      <c r="H349" s="18"/>
      <c r="I349" s="14"/>
      <c r="J349" s="18"/>
      <c r="K349" s="14"/>
      <c r="L349" s="18"/>
      <c r="M349" s="14"/>
      <c r="N349" s="18"/>
      <c r="O349" s="14"/>
      <c r="P349" s="18"/>
      <c r="Q349" s="14"/>
      <c r="R349" s="18"/>
      <c r="S349" s="14"/>
      <c r="T349" s="18"/>
      <c r="U349" s="14"/>
      <c r="V349" s="18"/>
      <c r="W349" s="14"/>
      <c r="X349" s="18"/>
      <c r="Y349" s="14"/>
      <c r="Z349" s="18"/>
      <c r="AA349" s="14"/>
      <c r="AB349" s="18"/>
      <c r="AC349" s="14"/>
      <c r="AD349" s="18"/>
      <c r="AE349" s="14"/>
      <c r="AF349" s="18"/>
      <c r="AG349" s="600"/>
      <c r="AH349" s="601"/>
      <c r="AI349" s="569"/>
      <c r="AJ349" s="18"/>
      <c r="AK349" s="14"/>
      <c r="AL349" s="18"/>
      <c r="AM349" s="14"/>
      <c r="AN349" s="18"/>
      <c r="AO349" s="14"/>
      <c r="AP349" s="18"/>
      <c r="AQ349" s="14"/>
      <c r="AR349" s="18"/>
      <c r="AS349" s="14"/>
      <c r="AT349" s="18"/>
      <c r="AU349" s="14"/>
      <c r="AV349" s="18"/>
      <c r="AW349" s="14"/>
      <c r="AX349" s="18"/>
      <c r="AY349" s="14"/>
      <c r="AZ349" s="18"/>
      <c r="BA349" s="14"/>
      <c r="BB349" s="18"/>
      <c r="BC349" s="14"/>
      <c r="BD349" s="18"/>
      <c r="BE349" s="14"/>
      <c r="BF349" s="18"/>
      <c r="BG349" s="14"/>
      <c r="BH349" s="18"/>
      <c r="BI349" s="14"/>
      <c r="BJ349" s="18"/>
      <c r="BK349" s="15"/>
      <c r="BL349" s="37"/>
      <c r="BM349" s="14"/>
      <c r="BN349" s="102">
        <f t="shared" ref="BN349:BN354" si="58">SUM(D349,F349,H349,J349,L349,N349,P349,R349,T349,V349,X349,Z349,AB349,AD349,AF349,AH349,AJ349,AL349,AN349,AP349,AR349,AT349,AV349,AX349,AZ349,BB349,BD349,BF349,BH349,BJ349,BL349)</f>
        <v>0</v>
      </c>
      <c r="BO349" s="47">
        <f t="shared" ref="BO349:BO354" si="59">SUM(E349,G349,I349,K349,M349,O349,Q349,S349,U349,W349,Y349,AA349,AC349,AE349,AG349,AI349,AK349,AM349,AO349,AQ349,AS349,AU349,AW349,AY349,BA349,BC349,BE349,BG349,BI349,BK349,BM349)</f>
        <v>0</v>
      </c>
      <c r="BP349" s="631">
        <f>INDEX('2月'!$B$4:$BQ$375,MATCH('3月'!B349,'2月'!$B$4:$B$375,0),67)+BN349</f>
        <v>0</v>
      </c>
      <c r="BQ349" s="702">
        <f>INDEX('2月'!$B$4:$BQ$375,MATCH('3月'!B349,'2月'!$B$4:$B$375,0),68)+BO349</f>
        <v>0</v>
      </c>
    </row>
    <row r="350" spans="2:69" ht="45" customHeight="1">
      <c r="B350" s="580" t="str">
        <f>'1月'!$B$350</f>
        <v>松森　正利</v>
      </c>
      <c r="C350" s="581"/>
      <c r="D350" s="18"/>
      <c r="E350" s="14"/>
      <c r="F350" s="18"/>
      <c r="G350" s="14"/>
      <c r="H350" s="18"/>
      <c r="I350" s="14"/>
      <c r="J350" s="18"/>
      <c r="K350" s="14"/>
      <c r="L350" s="18"/>
      <c r="M350" s="14"/>
      <c r="N350" s="18"/>
      <c r="O350" s="14"/>
      <c r="P350" s="18"/>
      <c r="Q350" s="14"/>
      <c r="R350" s="18"/>
      <c r="S350" s="14"/>
      <c r="T350" s="18"/>
      <c r="U350" s="14"/>
      <c r="V350" s="18"/>
      <c r="W350" s="14"/>
      <c r="X350" s="18"/>
      <c r="Y350" s="14"/>
      <c r="Z350" s="18"/>
      <c r="AA350" s="14"/>
      <c r="AB350" s="18"/>
      <c r="AC350" s="14"/>
      <c r="AD350" s="18"/>
      <c r="AE350" s="14"/>
      <c r="AF350" s="18"/>
      <c r="AG350" s="600"/>
      <c r="AH350" s="601"/>
      <c r="AI350" s="569"/>
      <c r="AJ350" s="18"/>
      <c r="AK350" s="14"/>
      <c r="AL350" s="18"/>
      <c r="AM350" s="14"/>
      <c r="AN350" s="18"/>
      <c r="AO350" s="14"/>
      <c r="AP350" s="18"/>
      <c r="AQ350" s="14"/>
      <c r="AR350" s="18"/>
      <c r="AS350" s="14"/>
      <c r="AT350" s="18"/>
      <c r="AU350" s="14"/>
      <c r="AV350" s="18"/>
      <c r="AW350" s="14"/>
      <c r="AX350" s="18"/>
      <c r="AY350" s="14"/>
      <c r="AZ350" s="18"/>
      <c r="BA350" s="14"/>
      <c r="BB350" s="18"/>
      <c r="BC350" s="14"/>
      <c r="BD350" s="18"/>
      <c r="BE350" s="14"/>
      <c r="BF350" s="18"/>
      <c r="BG350" s="14"/>
      <c r="BH350" s="18"/>
      <c r="BI350" s="14"/>
      <c r="BJ350" s="18"/>
      <c r="BK350" s="15"/>
      <c r="BL350" s="37"/>
      <c r="BM350" s="14"/>
      <c r="BN350" s="102">
        <f t="shared" si="58"/>
        <v>0</v>
      </c>
      <c r="BO350" s="47">
        <f t="shared" si="59"/>
        <v>0</v>
      </c>
      <c r="BP350" s="631">
        <f>INDEX('2月'!$B$4:$BQ$375,MATCH('3月'!B350,'2月'!$B$4:$B$375,0),67)+BN350</f>
        <v>0</v>
      </c>
      <c r="BQ350" s="702">
        <f>INDEX('2月'!$B$4:$BQ$375,MATCH('3月'!B350,'2月'!$B$4:$B$375,0),68)+BO350</f>
        <v>0</v>
      </c>
    </row>
    <row r="351" spans="2:69" ht="45" customHeight="1" thickBot="1">
      <c r="B351" s="580" t="str">
        <f>'1月'!$B$351</f>
        <v>川口　義弘</v>
      </c>
      <c r="C351" s="581"/>
      <c r="D351" s="18"/>
      <c r="E351" s="14"/>
      <c r="F351" s="18"/>
      <c r="G351" s="14"/>
      <c r="H351" s="18"/>
      <c r="I351" s="14"/>
      <c r="J351" s="18"/>
      <c r="K351" s="14"/>
      <c r="L351" s="18"/>
      <c r="M351" s="14"/>
      <c r="N351" s="18"/>
      <c r="O351" s="14"/>
      <c r="P351" s="18"/>
      <c r="Q351" s="14"/>
      <c r="R351" s="18"/>
      <c r="S351" s="14"/>
      <c r="T351" s="18"/>
      <c r="U351" s="14"/>
      <c r="V351" s="18"/>
      <c r="W351" s="14"/>
      <c r="X351" s="18"/>
      <c r="Y351" s="14"/>
      <c r="Z351" s="18"/>
      <c r="AA351" s="14"/>
      <c r="AB351" s="18"/>
      <c r="AC351" s="14"/>
      <c r="AD351" s="18"/>
      <c r="AE351" s="14"/>
      <c r="AF351" s="18"/>
      <c r="AG351" s="600"/>
      <c r="AH351" s="601"/>
      <c r="AI351" s="569"/>
      <c r="AJ351" s="18"/>
      <c r="AK351" s="14"/>
      <c r="AL351" s="18"/>
      <c r="AM351" s="14"/>
      <c r="AN351" s="18"/>
      <c r="AO351" s="14"/>
      <c r="AP351" s="18"/>
      <c r="AQ351" s="14"/>
      <c r="AR351" s="18"/>
      <c r="AS351" s="14"/>
      <c r="AT351" s="18"/>
      <c r="AU351" s="14"/>
      <c r="AV351" s="18"/>
      <c r="AW351" s="14"/>
      <c r="AX351" s="18"/>
      <c r="AY351" s="14"/>
      <c r="AZ351" s="18"/>
      <c r="BA351" s="14"/>
      <c r="BB351" s="18"/>
      <c r="BC351" s="14"/>
      <c r="BD351" s="18"/>
      <c r="BE351" s="14"/>
      <c r="BF351" s="18"/>
      <c r="BG351" s="14"/>
      <c r="BH351" s="18"/>
      <c r="BI351" s="14"/>
      <c r="BJ351" s="18"/>
      <c r="BK351" s="15"/>
      <c r="BL351" s="37"/>
      <c r="BM351" s="14"/>
      <c r="BN351" s="102">
        <f t="shared" si="58"/>
        <v>0</v>
      </c>
      <c r="BO351" s="47">
        <f t="shared" si="59"/>
        <v>0</v>
      </c>
      <c r="BP351" s="631">
        <f>INDEX('2月'!$B$4:$BQ$375,MATCH('3月'!B351,'2月'!$B$4:$B$375,0),67)+BN351</f>
        <v>0</v>
      </c>
      <c r="BQ351" s="702">
        <f>INDEX('2月'!$B$4:$BQ$375,MATCH('3月'!B351,'2月'!$B$4:$B$375,0),68)+BO351</f>
        <v>0</v>
      </c>
    </row>
    <row r="352" spans="2:69" ht="45" customHeight="1" thickTop="1">
      <c r="B352" s="565" t="str">
        <f>'1月'!$B$352</f>
        <v>松橋　さち</v>
      </c>
      <c r="C352" s="152"/>
      <c r="D352" s="18"/>
      <c r="E352" s="14"/>
      <c r="F352" s="18"/>
      <c r="G352" s="14"/>
      <c r="H352" s="18"/>
      <c r="I352" s="14"/>
      <c r="J352" s="18"/>
      <c r="K352" s="14"/>
      <c r="L352" s="18"/>
      <c r="M352" s="14"/>
      <c r="N352" s="18"/>
      <c r="O352" s="14"/>
      <c r="P352" s="18"/>
      <c r="Q352" s="14"/>
      <c r="R352" s="18"/>
      <c r="S352" s="14"/>
      <c r="T352" s="18"/>
      <c r="U352" s="14"/>
      <c r="V352" s="18"/>
      <c r="W352" s="14"/>
      <c r="X352" s="18"/>
      <c r="Y352" s="14"/>
      <c r="Z352" s="18"/>
      <c r="AA352" s="14"/>
      <c r="AB352" s="18"/>
      <c r="AC352" s="14"/>
      <c r="AD352" s="18"/>
      <c r="AE352" s="14"/>
      <c r="AF352" s="18"/>
      <c r="AG352" s="600"/>
      <c r="AH352" s="601"/>
      <c r="AI352" s="569"/>
      <c r="AJ352" s="18"/>
      <c r="AK352" s="14"/>
      <c r="AL352" s="18"/>
      <c r="AM352" s="14"/>
      <c r="AN352" s="18"/>
      <c r="AO352" s="14"/>
      <c r="AP352" s="18"/>
      <c r="AQ352" s="14"/>
      <c r="AR352" s="18"/>
      <c r="AS352" s="14"/>
      <c r="AT352" s="18"/>
      <c r="AU352" s="14"/>
      <c r="AV352" s="18"/>
      <c r="AW352" s="14"/>
      <c r="AX352" s="18"/>
      <c r="AY352" s="14"/>
      <c r="AZ352" s="18"/>
      <c r="BA352" s="14"/>
      <c r="BB352" s="18"/>
      <c r="BC352" s="14"/>
      <c r="BD352" s="18"/>
      <c r="BE352" s="14"/>
      <c r="BF352" s="18"/>
      <c r="BG352" s="14"/>
      <c r="BH352" s="18"/>
      <c r="BI352" s="14"/>
      <c r="BJ352" s="18"/>
      <c r="BK352" s="15"/>
      <c r="BL352" s="37"/>
      <c r="BM352" s="14"/>
      <c r="BN352" s="102">
        <f t="shared" si="58"/>
        <v>0</v>
      </c>
      <c r="BO352" s="47">
        <f t="shared" si="59"/>
        <v>0</v>
      </c>
      <c r="BP352" s="631">
        <f>INDEX('2月'!$B$4:$BQ$375,MATCH('3月'!B352,'2月'!$B$4:$B$375,0),67)+BN352</f>
        <v>0</v>
      </c>
      <c r="BQ352" s="702">
        <f>INDEX('2月'!$B$4:$BQ$375,MATCH('3月'!B352,'2月'!$B$4:$B$375,0),68)+BO352</f>
        <v>0</v>
      </c>
    </row>
    <row r="353" spans="2:69" ht="45" customHeight="1">
      <c r="B353" s="201" t="str">
        <f>'1月'!$B$353</f>
        <v>東小川昭子</v>
      </c>
      <c r="C353" s="146"/>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600"/>
      <c r="AH353" s="601"/>
      <c r="AI353" s="569"/>
      <c r="AJ353" s="18"/>
      <c r="AK353" s="14"/>
      <c r="AL353" s="18"/>
      <c r="AM353" s="14"/>
      <c r="AN353" s="18"/>
      <c r="AO353" s="14"/>
      <c r="AP353" s="18"/>
      <c r="AQ353" s="14"/>
      <c r="AR353" s="18"/>
      <c r="AS353" s="14"/>
      <c r="AT353" s="18"/>
      <c r="AU353" s="14"/>
      <c r="AV353" s="18"/>
      <c r="AW353" s="14"/>
      <c r="AX353" s="18"/>
      <c r="AY353" s="14"/>
      <c r="AZ353" s="18"/>
      <c r="BA353" s="14"/>
      <c r="BB353" s="18"/>
      <c r="BC353" s="14"/>
      <c r="BD353" s="18"/>
      <c r="BE353" s="14"/>
      <c r="BF353" s="18"/>
      <c r="BG353" s="14"/>
      <c r="BH353" s="18"/>
      <c r="BI353" s="14"/>
      <c r="BJ353" s="18"/>
      <c r="BK353" s="15"/>
      <c r="BL353" s="37"/>
      <c r="BM353" s="14"/>
      <c r="BN353" s="102">
        <f t="shared" si="58"/>
        <v>0</v>
      </c>
      <c r="BO353" s="47">
        <f t="shared" si="59"/>
        <v>0</v>
      </c>
      <c r="BP353" s="631">
        <f>INDEX('2月'!$B$4:$BQ$375,MATCH('3月'!B353,'2月'!$B$4:$B$375,0),67)+BN353</f>
        <v>0</v>
      </c>
      <c r="BQ353" s="702">
        <f>INDEX('2月'!$B$4:$BQ$375,MATCH('3月'!B353,'2月'!$B$4:$B$375,0),68)+BO353</f>
        <v>0</v>
      </c>
    </row>
    <row r="354" spans="2:69" s="6" customFormat="1" ht="50.1" customHeight="1">
      <c r="B354" s="201" t="str">
        <f>'1月'!$B$354</f>
        <v>伊藤　和子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600"/>
      <c r="AH354" s="601"/>
      <c r="AI354" s="569"/>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18"/>
      <c r="BK354" s="15"/>
      <c r="BL354" s="37"/>
      <c r="BM354" s="14"/>
      <c r="BN354" s="102">
        <f t="shared" si="58"/>
        <v>0</v>
      </c>
      <c r="BO354" s="47">
        <f t="shared" si="59"/>
        <v>0</v>
      </c>
      <c r="BP354" s="631">
        <f>INDEX('2月'!$B$4:$BQ$375,MATCH('3月'!B354,'2月'!$B$4:$B$375,0),67)+BN354</f>
        <v>0</v>
      </c>
      <c r="BQ354" s="702">
        <f>INDEX('2月'!$B$4:$BQ$375,MATCH('3月'!B354,'2月'!$B$4:$B$375,0),68)+BO354</f>
        <v>0</v>
      </c>
    </row>
    <row r="355" spans="2:69" s="6" customFormat="1" ht="50.1" customHeight="1">
      <c r="B355" s="201" t="str">
        <f>'1月'!$B$355</f>
        <v>笹本　照子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600"/>
      <c r="AH355" s="601"/>
      <c r="AI355" s="569"/>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102">
        <f t="shared" ref="BN355:BN364" si="60">SUM(D355,F355,H355,J355,L355,N355,P355,R355,T355,V355,X355,Z355,AB355,AD355,AF355,AH355,AJ355,AL355,AN355,AP355,AR355,AT355,AV355,AX355,AZ355,BB355,BD355,BF355,BH355,BJ355,BL355)</f>
        <v>0</v>
      </c>
      <c r="BO355" s="47">
        <f t="shared" ref="BO355:BO364" si="61">SUM(E355,G355,I355,K355,M355,O355,Q355,S355,U355,W355,Y355,AA355,AC355,AE355,AG355,AI355,AK355,AM355,AO355,AQ355,AS355,AU355,AW355,AY355,BA355,BC355,BE355,BG355,BI355,BK355,BM355)</f>
        <v>0</v>
      </c>
      <c r="BP355" s="631">
        <f>INDEX('2月'!$B$4:$BQ$375,MATCH('3月'!B355,'2月'!$B$4:$B$375,0),67)+BN355</f>
        <v>0</v>
      </c>
      <c r="BQ355" s="702">
        <f>INDEX('2月'!$B$4:$BQ$375,MATCH('3月'!B355,'2月'!$B$4:$B$375,0),68)+BO355</f>
        <v>0</v>
      </c>
    </row>
    <row r="356" spans="2:69" s="6" customFormat="1" ht="50.1" customHeight="1">
      <c r="B356" s="201" t="str">
        <f>'1月'!$B$356</f>
        <v>山野　ツヨ</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600"/>
      <c r="AH356" s="601"/>
      <c r="AI356" s="569"/>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102">
        <f t="shared" si="60"/>
        <v>0</v>
      </c>
      <c r="BO356" s="47">
        <f t="shared" si="61"/>
        <v>0</v>
      </c>
      <c r="BP356" s="631">
        <f>INDEX('2月'!$B$4:$BQ$375,MATCH('3月'!B356,'2月'!$B$4:$B$375,0),67)+BN356</f>
        <v>0</v>
      </c>
      <c r="BQ356" s="702">
        <f>INDEX('2月'!$B$4:$BQ$375,MATCH('3月'!B356,'2月'!$B$4:$B$375,0),68)+BO356</f>
        <v>0</v>
      </c>
    </row>
    <row r="357" spans="2:69" s="6" customFormat="1" ht="50.1" customHeight="1">
      <c r="B357" s="201" t="str">
        <f>'1月'!$B$357</f>
        <v>前田　むつ子</v>
      </c>
      <c r="C357" s="146"/>
      <c r="D357" s="18"/>
      <c r="E357" s="14"/>
      <c r="F357" s="50"/>
      <c r="G357" s="20"/>
      <c r="H357" s="50"/>
      <c r="I357" s="20"/>
      <c r="J357" s="50"/>
      <c r="K357" s="20"/>
      <c r="L357" s="50"/>
      <c r="M357" s="20"/>
      <c r="N357" s="50"/>
      <c r="O357" s="20"/>
      <c r="P357" s="50"/>
      <c r="Q357" s="20"/>
      <c r="R357" s="50"/>
      <c r="S357" s="20"/>
      <c r="T357" s="50"/>
      <c r="U357" s="20"/>
      <c r="V357" s="50"/>
      <c r="W357" s="20"/>
      <c r="X357" s="50"/>
      <c r="Y357" s="20"/>
      <c r="Z357" s="50"/>
      <c r="AA357" s="20"/>
      <c r="AB357" s="50"/>
      <c r="AC357" s="20"/>
      <c r="AD357" s="50"/>
      <c r="AE357" s="20"/>
      <c r="AF357" s="50"/>
      <c r="AG357" s="594"/>
      <c r="AH357" s="612"/>
      <c r="AI357" s="593"/>
      <c r="AJ357" s="50"/>
      <c r="AK357" s="20"/>
      <c r="AL357" s="50"/>
      <c r="AM357" s="20"/>
      <c r="AN357" s="50"/>
      <c r="AO357" s="20"/>
      <c r="AP357" s="50"/>
      <c r="AQ357" s="20"/>
      <c r="AR357" s="50"/>
      <c r="AS357" s="20"/>
      <c r="AT357" s="50"/>
      <c r="AU357" s="20"/>
      <c r="AV357" s="50"/>
      <c r="AW357" s="20"/>
      <c r="AX357" s="50"/>
      <c r="AY357" s="20"/>
      <c r="AZ357" s="50"/>
      <c r="BA357" s="20"/>
      <c r="BB357" s="50"/>
      <c r="BC357" s="20"/>
      <c r="BD357" s="50"/>
      <c r="BE357" s="20"/>
      <c r="BF357" s="50"/>
      <c r="BG357" s="20"/>
      <c r="BH357" s="50"/>
      <c r="BI357" s="20"/>
      <c r="BJ357" s="50"/>
      <c r="BK357" s="21"/>
      <c r="BL357" s="38"/>
      <c r="BM357" s="20"/>
      <c r="BN357" s="102">
        <f t="shared" si="60"/>
        <v>0</v>
      </c>
      <c r="BO357" s="47">
        <f t="shared" si="61"/>
        <v>0</v>
      </c>
      <c r="BP357" s="631">
        <f>INDEX('2月'!$B$4:$BQ$375,MATCH('3月'!B357,'2月'!$B$4:$B$375,0),67)+BN357</f>
        <v>0</v>
      </c>
      <c r="BQ357" s="702">
        <f>INDEX('2月'!$B$4:$BQ$375,MATCH('3月'!B357,'2月'!$B$4:$B$375,0),68)+BO357</f>
        <v>0</v>
      </c>
    </row>
    <row r="358" spans="2:69" s="6" customFormat="1" ht="50.1" customHeight="1">
      <c r="B358" s="201" t="str">
        <f>'1月'!$B$358</f>
        <v>石橋　千世子</v>
      </c>
      <c r="C358" s="146"/>
      <c r="D358" s="18"/>
      <c r="E358" s="14"/>
      <c r="F358" s="18"/>
      <c r="G358" s="14"/>
      <c r="H358" s="18"/>
      <c r="I358" s="14"/>
      <c r="J358" s="18"/>
      <c r="K358" s="14"/>
      <c r="L358" s="18"/>
      <c r="M358" s="14"/>
      <c r="N358" s="18"/>
      <c r="O358" s="14"/>
      <c r="P358" s="18"/>
      <c r="Q358" s="14"/>
      <c r="R358" s="18"/>
      <c r="S358" s="14"/>
      <c r="T358" s="18"/>
      <c r="U358" s="14"/>
      <c r="V358" s="18"/>
      <c r="W358" s="14"/>
      <c r="X358" s="18"/>
      <c r="Y358" s="14"/>
      <c r="Z358" s="18"/>
      <c r="AA358" s="14"/>
      <c r="AB358" s="18"/>
      <c r="AC358" s="14"/>
      <c r="AD358" s="18"/>
      <c r="AE358" s="14"/>
      <c r="AF358" s="18"/>
      <c r="AG358" s="600"/>
      <c r="AH358" s="601"/>
      <c r="AI358" s="569"/>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102">
        <f t="shared" si="60"/>
        <v>0</v>
      </c>
      <c r="BO358" s="47">
        <f t="shared" si="61"/>
        <v>0</v>
      </c>
      <c r="BP358" s="631">
        <f>INDEX('2月'!$B$4:$BQ$375,MATCH('3月'!B358,'2月'!$B$4:$B$375,0),67)+BN358</f>
        <v>0</v>
      </c>
      <c r="BQ358" s="702">
        <f>INDEX('2月'!$B$4:$BQ$375,MATCH('3月'!B358,'2月'!$B$4:$B$375,0),68)+BO358</f>
        <v>0</v>
      </c>
    </row>
    <row r="359" spans="2:69" s="6" customFormat="1" ht="50.1" customHeight="1">
      <c r="B359" s="201" t="str">
        <f>'1月'!$B$359</f>
        <v>長谷川　雅胤</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600"/>
      <c r="AH359" s="601"/>
      <c r="AI359" s="569"/>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102">
        <f t="shared" si="60"/>
        <v>0</v>
      </c>
      <c r="BO359" s="47">
        <f t="shared" si="61"/>
        <v>0</v>
      </c>
      <c r="BP359" s="631">
        <f>INDEX('2月'!$B$4:$BQ$375,MATCH('3月'!B359,'2月'!$B$4:$B$375,0),67)+BN359</f>
        <v>0</v>
      </c>
      <c r="BQ359" s="702">
        <f>INDEX('2月'!$B$4:$BQ$375,MATCH('3月'!B359,'2月'!$B$4:$B$375,0),68)+BO359</f>
        <v>0</v>
      </c>
    </row>
    <row r="360" spans="2:69" s="6" customFormat="1" ht="50.1" customHeight="1">
      <c r="B360" s="201" t="str">
        <f>'1月'!$B$360</f>
        <v>西川　美智子</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600"/>
      <c r="AH360" s="601"/>
      <c r="AI360" s="569"/>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4"/>
      <c r="BL360" s="37"/>
      <c r="BM360" s="14"/>
      <c r="BN360" s="102">
        <f t="shared" si="60"/>
        <v>0</v>
      </c>
      <c r="BO360" s="47">
        <f t="shared" si="61"/>
        <v>0</v>
      </c>
      <c r="BP360" s="631">
        <f>INDEX('2月'!$B$4:$BQ$375,MATCH('3月'!B360,'2月'!$B$4:$B$375,0),67)+BN360</f>
        <v>0</v>
      </c>
      <c r="BQ360" s="702">
        <f>INDEX('2月'!$B$4:$BQ$375,MATCH('3月'!B360,'2月'!$B$4:$B$375,0),68)+BO360</f>
        <v>0</v>
      </c>
    </row>
    <row r="361" spans="2:69" s="6" customFormat="1" ht="50.1" customHeight="1">
      <c r="B361" s="201" t="str">
        <f>'1月'!$B$361</f>
        <v>吉田　優子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600"/>
      <c r="AH361" s="601"/>
      <c r="AI361" s="569"/>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102">
        <f t="shared" si="60"/>
        <v>0</v>
      </c>
      <c r="BO361" s="47">
        <f t="shared" si="61"/>
        <v>0</v>
      </c>
      <c r="BP361" s="631">
        <f>INDEX('2月'!$B$4:$BQ$375,MATCH('3月'!B361,'2月'!$B$4:$B$375,0),67)+BN361</f>
        <v>0</v>
      </c>
      <c r="BQ361" s="702">
        <f>INDEX('2月'!$B$4:$BQ$375,MATCH('3月'!B361,'2月'!$B$4:$B$375,0),68)+BO361</f>
        <v>0</v>
      </c>
    </row>
    <row r="362" spans="2:69" s="6" customFormat="1" ht="45" customHeight="1">
      <c r="B362" s="580" t="str">
        <f>'1月'!$B$362</f>
        <v>今渕　利子</v>
      </c>
      <c r="C362" s="581"/>
      <c r="D362" s="582"/>
      <c r="E362" s="583"/>
      <c r="F362" s="582"/>
      <c r="G362" s="583"/>
      <c r="H362" s="582"/>
      <c r="I362" s="583"/>
      <c r="J362" s="582"/>
      <c r="K362" s="583"/>
      <c r="L362" s="582"/>
      <c r="M362" s="583"/>
      <c r="N362" s="582"/>
      <c r="O362" s="583"/>
      <c r="P362" s="582"/>
      <c r="Q362" s="583"/>
      <c r="R362" s="582"/>
      <c r="S362" s="583"/>
      <c r="T362" s="582"/>
      <c r="U362" s="583"/>
      <c r="V362" s="582"/>
      <c r="W362" s="583"/>
      <c r="X362" s="18"/>
      <c r="Y362" s="14"/>
      <c r="Z362" s="18"/>
      <c r="AA362" s="14"/>
      <c r="AB362" s="18"/>
      <c r="AC362" s="14"/>
      <c r="AD362" s="18"/>
      <c r="AE362" s="14"/>
      <c r="AF362" s="18"/>
      <c r="AG362" s="600"/>
      <c r="AH362" s="601"/>
      <c r="AI362" s="569"/>
      <c r="AJ362" s="582"/>
      <c r="AK362" s="583"/>
      <c r="AL362" s="582"/>
      <c r="AM362" s="583"/>
      <c r="AN362" s="582"/>
      <c r="AO362" s="583"/>
      <c r="AP362" s="582"/>
      <c r="AQ362" s="583"/>
      <c r="AR362" s="582"/>
      <c r="AS362" s="583"/>
      <c r="AT362" s="582"/>
      <c r="AU362" s="583"/>
      <c r="AV362" s="582"/>
      <c r="AW362" s="583"/>
      <c r="AX362" s="582"/>
      <c r="AY362" s="583"/>
      <c r="AZ362" s="582"/>
      <c r="BA362" s="583"/>
      <c r="BB362" s="582"/>
      <c r="BC362" s="583"/>
      <c r="BD362" s="18"/>
      <c r="BE362" s="14"/>
      <c r="BF362" s="18"/>
      <c r="BG362" s="14"/>
      <c r="BH362" s="18"/>
      <c r="BI362" s="14"/>
      <c r="BJ362" s="18"/>
      <c r="BK362" s="15"/>
      <c r="BL362" s="552"/>
      <c r="BM362" s="584"/>
      <c r="BN362" s="629">
        <f t="shared" si="60"/>
        <v>0</v>
      </c>
      <c r="BO362" s="630">
        <f t="shared" si="61"/>
        <v>0</v>
      </c>
      <c r="BP362" s="631">
        <f>INDEX('2月'!$B$4:$BQ$375,MATCH('3月'!B362,'2月'!$B$4:$B$375,0),67)+BN362</f>
        <v>0</v>
      </c>
      <c r="BQ362" s="702">
        <f>INDEX('2月'!$B$4:$BQ$375,MATCH('3月'!B362,'2月'!$B$4:$B$375,0),68)+BO362</f>
        <v>0</v>
      </c>
    </row>
    <row r="363" spans="2:69" s="6" customFormat="1" ht="45" customHeight="1">
      <c r="B363" s="580" t="str">
        <f>'1月'!$B$363</f>
        <v>阿部　清志</v>
      </c>
      <c r="C363" s="581"/>
      <c r="D363" s="582"/>
      <c r="E363" s="583"/>
      <c r="F363" s="582"/>
      <c r="G363" s="583"/>
      <c r="H363" s="582"/>
      <c r="I363" s="583"/>
      <c r="J363" s="582"/>
      <c r="K363" s="583"/>
      <c r="L363" s="582"/>
      <c r="M363" s="583"/>
      <c r="N363" s="582"/>
      <c r="O363" s="583"/>
      <c r="P363" s="582"/>
      <c r="Q363" s="583"/>
      <c r="R363" s="582"/>
      <c r="S363" s="583"/>
      <c r="T363" s="582"/>
      <c r="U363" s="583"/>
      <c r="V363" s="582"/>
      <c r="W363" s="583"/>
      <c r="X363" s="18"/>
      <c r="Y363" s="14"/>
      <c r="Z363" s="18"/>
      <c r="AA363" s="14"/>
      <c r="AB363" s="18"/>
      <c r="AC363" s="14"/>
      <c r="AD363" s="18"/>
      <c r="AE363" s="14"/>
      <c r="AF363" s="18"/>
      <c r="AG363" s="600"/>
      <c r="AH363" s="601"/>
      <c r="AI363" s="569"/>
      <c r="AJ363" s="582"/>
      <c r="AK363" s="583"/>
      <c r="AL363" s="582"/>
      <c r="AM363" s="583"/>
      <c r="AN363" s="582"/>
      <c r="AO363" s="583"/>
      <c r="AP363" s="582"/>
      <c r="AQ363" s="583"/>
      <c r="AR363" s="582"/>
      <c r="AS363" s="583"/>
      <c r="AT363" s="582"/>
      <c r="AU363" s="583"/>
      <c r="AV363" s="582"/>
      <c r="AW363" s="583"/>
      <c r="AX363" s="582"/>
      <c r="AY363" s="583"/>
      <c r="AZ363" s="582"/>
      <c r="BA363" s="583"/>
      <c r="BB363" s="582"/>
      <c r="BC363" s="583"/>
      <c r="BD363" s="567"/>
      <c r="BE363" s="569"/>
      <c r="BF363" s="567"/>
      <c r="BG363" s="569"/>
      <c r="BH363" s="567"/>
      <c r="BI363" s="569"/>
      <c r="BJ363" s="567"/>
      <c r="BK363" s="600"/>
      <c r="BL363" s="552"/>
      <c r="BM363" s="584"/>
      <c r="BN363" s="629">
        <f>SUM(D363,F363,H363,J363,L363,N363,P363,R363,T363,V363,X363,Z363,AB363,AD363,AF363,AH363,AJ363,AL363,AN363,AP363,AR363,AT363,AV363,AX363,AZ363,BB363,BD363,BF363,BH363,BJ363,BL363)</f>
        <v>0</v>
      </c>
      <c r="BO363" s="630">
        <f>SUM(E363,G363,I363,K363,M363,O363,Q363,S363,U363,W363,Y363,AA363,AC363,AE363,AG363,AI363,AK363,AM363,AO363,AQ363,AS363,AU363,AW363,AY363,BA363,BC363,BE363,BG363,BI363,BK363,BM363)</f>
        <v>0</v>
      </c>
      <c r="BP363" s="631">
        <f>INDEX('2月'!$B$4:$BQ$375,MATCH('3月'!B363,'2月'!$B$4:$B$375,0),67)+BN363</f>
        <v>1</v>
      </c>
      <c r="BQ363" s="702">
        <f>INDEX('2月'!$B$4:$BQ$375,MATCH('3月'!B363,'2月'!$B$4:$B$375,0),68)+BO363</f>
        <v>2</v>
      </c>
    </row>
    <row r="364" spans="2:69" s="6" customFormat="1" ht="45" customHeight="1" thickBot="1">
      <c r="B364" s="632" t="str">
        <f>'1月'!$B$364</f>
        <v>梅香堂</v>
      </c>
      <c r="C364" s="633"/>
      <c r="D364" s="531"/>
      <c r="E364" s="530"/>
      <c r="F364" s="531"/>
      <c r="G364" s="530"/>
      <c r="H364" s="531"/>
      <c r="I364" s="530"/>
      <c r="J364" s="531"/>
      <c r="K364" s="530"/>
      <c r="L364" s="531"/>
      <c r="M364" s="530"/>
      <c r="N364" s="531"/>
      <c r="O364" s="530"/>
      <c r="P364" s="531"/>
      <c r="Q364" s="530"/>
      <c r="R364" s="531"/>
      <c r="S364" s="530"/>
      <c r="T364" s="531"/>
      <c r="U364" s="530"/>
      <c r="V364" s="531"/>
      <c r="W364" s="530"/>
      <c r="X364" s="18"/>
      <c r="Y364" s="14"/>
      <c r="Z364" s="18"/>
      <c r="AA364" s="14"/>
      <c r="AB364" s="18"/>
      <c r="AC364" s="14"/>
      <c r="AD364" s="18"/>
      <c r="AE364" s="14"/>
      <c r="AF364" s="18"/>
      <c r="AG364" s="600"/>
      <c r="AH364" s="601"/>
      <c r="AI364" s="569"/>
      <c r="AJ364" s="531"/>
      <c r="AK364" s="530"/>
      <c r="AL364" s="531"/>
      <c r="AM364" s="530"/>
      <c r="AN364" s="531"/>
      <c r="AO364" s="530"/>
      <c r="AP364" s="531"/>
      <c r="AQ364" s="530"/>
      <c r="AR364" s="531"/>
      <c r="AS364" s="530"/>
      <c r="AT364" s="531"/>
      <c r="AU364" s="530"/>
      <c r="AV364" s="531"/>
      <c r="AW364" s="530"/>
      <c r="AX364" s="531"/>
      <c r="AY364" s="530"/>
      <c r="AZ364" s="531"/>
      <c r="BA364" s="530"/>
      <c r="BB364" s="531"/>
      <c r="BC364" s="530"/>
      <c r="BD364" s="18"/>
      <c r="BE364" s="14"/>
      <c r="BF364" s="18"/>
      <c r="BG364" s="14"/>
      <c r="BH364" s="18"/>
      <c r="BI364" s="14"/>
      <c r="BJ364" s="18"/>
      <c r="BK364" s="15"/>
      <c r="BL364" s="533"/>
      <c r="BM364" s="532"/>
      <c r="BN364" s="422">
        <f t="shared" si="60"/>
        <v>0</v>
      </c>
      <c r="BO364" s="49">
        <f t="shared" si="61"/>
        <v>0</v>
      </c>
      <c r="BP364" s="631">
        <f>INDEX('2月'!$B$4:$BQ$375,MATCH('3月'!B364,'2月'!$B$4:$B$375,0),67)+BN364</f>
        <v>0</v>
      </c>
      <c r="BQ364" s="702">
        <f>INDEX('2月'!$B$4:$BQ$375,MATCH('3月'!B364,'2月'!$B$4:$B$375,0),68)+BO364</f>
        <v>0</v>
      </c>
    </row>
    <row r="365" spans="2:69" s="6" customFormat="1" ht="49.5" customHeight="1" thickBot="1">
      <c r="B365" s="119" t="s">
        <v>462</v>
      </c>
      <c r="C365" s="149"/>
      <c r="D365" s="29">
        <f>SUM(D350:D364)</f>
        <v>0</v>
      </c>
      <c r="E365" s="31">
        <f>SUM(E350:E364)</f>
        <v>0</v>
      </c>
      <c r="F365" s="29">
        <f>SUM(F350:F364)</f>
        <v>0</v>
      </c>
      <c r="G365" s="31">
        <f>SUM(G350:G364)</f>
        <v>0</v>
      </c>
      <c r="H365" s="29">
        <f>SUM(H350:H364)</f>
        <v>0</v>
      </c>
      <c r="I365" s="31">
        <f>SUM(I350:I364)</f>
        <v>0</v>
      </c>
      <c r="J365" s="29">
        <f>SUM(J350:J364)</f>
        <v>0</v>
      </c>
      <c r="K365" s="31">
        <f>SUM(K350:K364)</f>
        <v>0</v>
      </c>
      <c r="L365" s="29">
        <f>SUM(L350:L364)</f>
        <v>0</v>
      </c>
      <c r="M365" s="31">
        <f>SUM(M350:M364)</f>
        <v>0</v>
      </c>
      <c r="N365" s="29">
        <f>SUM(N350:N364)</f>
        <v>0</v>
      </c>
      <c r="O365" s="31">
        <f>SUM(O350:O364)</f>
        <v>0</v>
      </c>
      <c r="P365" s="29">
        <f>SUM(P350:P364)</f>
        <v>0</v>
      </c>
      <c r="Q365" s="31">
        <f>SUM(Q350:Q364)</f>
        <v>0</v>
      </c>
      <c r="R365" s="29">
        <f>SUM(R350:R364)</f>
        <v>0</v>
      </c>
      <c r="S365" s="31">
        <f>SUM(S350:S364)</f>
        <v>0</v>
      </c>
      <c r="T365" s="29">
        <f>SUM(T350:T364)</f>
        <v>0</v>
      </c>
      <c r="U365" s="31">
        <f>SUM(U350:U364)</f>
        <v>0</v>
      </c>
      <c r="V365" s="29">
        <f>SUM(V350:V364)</f>
        <v>0</v>
      </c>
      <c r="W365" s="31">
        <f>SUM(W350:W364)</f>
        <v>0</v>
      </c>
      <c r="X365" s="29">
        <f>SUM(X350:X364)</f>
        <v>0</v>
      </c>
      <c r="Y365" s="31">
        <f>SUM(Y350:Y364)</f>
        <v>0</v>
      </c>
      <c r="Z365" s="29">
        <f>SUM(Z350:Z364)</f>
        <v>0</v>
      </c>
      <c r="AA365" s="31">
        <f>SUM(AA350:AA364)</f>
        <v>0</v>
      </c>
      <c r="AB365" s="29">
        <f>SUM(AB350:AB364)</f>
        <v>0</v>
      </c>
      <c r="AC365" s="31">
        <f>SUM(AC350:AC364)</f>
        <v>0</v>
      </c>
      <c r="AD365" s="29">
        <f>SUM(AD350:AD364)</f>
        <v>0</v>
      </c>
      <c r="AE365" s="31">
        <f>SUM(AE350:AE364)</f>
        <v>0</v>
      </c>
      <c r="AF365" s="29">
        <f>SUM(AF350:AF364)</f>
        <v>0</v>
      </c>
      <c r="AG365" s="41">
        <f>SUM(AG350:AG364)</f>
        <v>0</v>
      </c>
      <c r="AH365" s="39">
        <f>SUM(AH350:AH364)</f>
        <v>0</v>
      </c>
      <c r="AI365" s="31">
        <f>SUM(AI350:AI364)</f>
        <v>0</v>
      </c>
      <c r="AJ365" s="29">
        <f>SUM(AJ350:AJ364)</f>
        <v>0</v>
      </c>
      <c r="AK365" s="31">
        <f>SUM(AK350:AK364)</f>
        <v>0</v>
      </c>
      <c r="AL365" s="29">
        <f>SUM(AL350:AL364)</f>
        <v>0</v>
      </c>
      <c r="AM365" s="31">
        <f>SUM(AM350:AM364)</f>
        <v>0</v>
      </c>
      <c r="AN365" s="29">
        <f>SUM(AN350:AN364)</f>
        <v>0</v>
      </c>
      <c r="AO365" s="31">
        <f>SUM(AO350:AO364)</f>
        <v>0</v>
      </c>
      <c r="AP365" s="29">
        <f>SUM(AP350:AP364)</f>
        <v>0</v>
      </c>
      <c r="AQ365" s="31">
        <f>SUM(AQ350:AQ364)</f>
        <v>0</v>
      </c>
      <c r="AR365" s="29">
        <f>SUM(AR350:AR364)</f>
        <v>0</v>
      </c>
      <c r="AS365" s="31">
        <f>SUM(AS350:AS364)</f>
        <v>0</v>
      </c>
      <c r="AT365" s="29">
        <f>SUM(AT350:AT364)</f>
        <v>0</v>
      </c>
      <c r="AU365" s="31">
        <f>SUM(AU350:AU364)</f>
        <v>0</v>
      </c>
      <c r="AV365" s="29">
        <f>SUM(AV350:AV364)</f>
        <v>0</v>
      </c>
      <c r="AW365" s="31">
        <f>SUM(AW350:AW364)</f>
        <v>0</v>
      </c>
      <c r="AX365" s="29">
        <f>SUM(AX350:AX364)</f>
        <v>0</v>
      </c>
      <c r="AY365" s="31">
        <f>SUM(AY350:AY364)</f>
        <v>0</v>
      </c>
      <c r="AZ365" s="29">
        <f>SUM(AZ350:AZ364)</f>
        <v>0</v>
      </c>
      <c r="BA365" s="31">
        <f>SUM(BA350:BA364)</f>
        <v>0</v>
      </c>
      <c r="BB365" s="29">
        <f>SUM(BB350:BB364)</f>
        <v>0</v>
      </c>
      <c r="BC365" s="31">
        <f>SUM(BC350:BC364)</f>
        <v>0</v>
      </c>
      <c r="BD365" s="29">
        <f>SUM(BD350:BD364)</f>
        <v>0</v>
      </c>
      <c r="BE365" s="31">
        <f>SUM(BE350:BE364)</f>
        <v>0</v>
      </c>
      <c r="BF365" s="29">
        <f>SUM(BF350:BF364)</f>
        <v>0</v>
      </c>
      <c r="BG365" s="31">
        <f>SUM(BG350:BG364)</f>
        <v>0</v>
      </c>
      <c r="BH365" s="29">
        <f>SUM(BH350:BH364)</f>
        <v>0</v>
      </c>
      <c r="BI365" s="31">
        <f>SUM(BI350:BI364)</f>
        <v>0</v>
      </c>
      <c r="BJ365" s="29">
        <f>SUM(BJ350:BJ364)</f>
        <v>0</v>
      </c>
      <c r="BK365" s="41">
        <f>SUM(BK350:BK364)</f>
        <v>0</v>
      </c>
      <c r="BL365" s="39">
        <f>SUM(BL350:BL364)</f>
        <v>0</v>
      </c>
      <c r="BM365" s="31">
        <f>SUM(BM350:BM364)</f>
        <v>0</v>
      </c>
      <c r="BN365" s="28">
        <f>SUM(BN350:BN364)</f>
        <v>0</v>
      </c>
      <c r="BO365" s="41">
        <f>SUM(BO350:BO364)</f>
        <v>0</v>
      </c>
      <c r="BP365" s="257">
        <f>SUM(BP350:BP364)</f>
        <v>1</v>
      </c>
      <c r="BQ365" s="240">
        <f>SUM(BQ350:BQ364)</f>
        <v>2</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43" t="s">
        <v>59</v>
      </c>
      <c r="C368" s="749">
        <f>COUNTIF(B371:B375,"*")</f>
        <v>0</v>
      </c>
      <c r="D368" s="751">
        <v>1</v>
      </c>
      <c r="E368" s="738"/>
      <c r="F368" s="737">
        <v>2</v>
      </c>
      <c r="G368" s="738"/>
      <c r="H368" s="737">
        <v>3</v>
      </c>
      <c r="I368" s="738"/>
      <c r="J368" s="737">
        <v>4</v>
      </c>
      <c r="K368" s="738"/>
      <c r="L368" s="737">
        <v>5</v>
      </c>
      <c r="M368" s="738"/>
      <c r="N368" s="737">
        <v>6</v>
      </c>
      <c r="O368" s="738"/>
      <c r="P368" s="737">
        <v>7</v>
      </c>
      <c r="Q368" s="738"/>
      <c r="R368" s="737">
        <v>8</v>
      </c>
      <c r="S368" s="738"/>
      <c r="T368" s="737">
        <v>9</v>
      </c>
      <c r="U368" s="738"/>
      <c r="V368" s="737">
        <v>10</v>
      </c>
      <c r="W368" s="738"/>
      <c r="X368" s="737">
        <v>11</v>
      </c>
      <c r="Y368" s="738"/>
      <c r="Z368" s="737">
        <v>12</v>
      </c>
      <c r="AA368" s="738"/>
      <c r="AB368" s="737">
        <v>13</v>
      </c>
      <c r="AC368" s="738"/>
      <c r="AD368" s="737">
        <v>14</v>
      </c>
      <c r="AE368" s="738"/>
      <c r="AF368" s="737">
        <v>15</v>
      </c>
      <c r="AG368" s="784"/>
      <c r="AH368" s="741">
        <v>16</v>
      </c>
      <c r="AI368" s="741"/>
      <c r="AJ368" s="741">
        <v>17</v>
      </c>
      <c r="AK368" s="741"/>
      <c r="AL368" s="741">
        <v>18</v>
      </c>
      <c r="AM368" s="741"/>
      <c r="AN368" s="741">
        <v>19</v>
      </c>
      <c r="AO368" s="741"/>
      <c r="AP368" s="741">
        <v>20</v>
      </c>
      <c r="AQ368" s="741"/>
      <c r="AR368" s="741">
        <v>21</v>
      </c>
      <c r="AS368" s="741"/>
      <c r="AT368" s="741">
        <v>22</v>
      </c>
      <c r="AU368" s="741"/>
      <c r="AV368" s="741">
        <v>23</v>
      </c>
      <c r="AW368" s="741"/>
      <c r="AX368" s="741">
        <v>24</v>
      </c>
      <c r="AY368" s="741"/>
      <c r="AZ368" s="741">
        <v>25</v>
      </c>
      <c r="BA368" s="741"/>
      <c r="BB368" s="741">
        <v>26</v>
      </c>
      <c r="BC368" s="741"/>
      <c r="BD368" s="741">
        <v>27</v>
      </c>
      <c r="BE368" s="741"/>
      <c r="BF368" s="741">
        <v>28</v>
      </c>
      <c r="BG368" s="741"/>
      <c r="BH368" s="741">
        <v>29</v>
      </c>
      <c r="BI368" s="741"/>
      <c r="BJ368" s="741">
        <v>30</v>
      </c>
      <c r="BK368" s="741"/>
      <c r="BL368" s="741">
        <v>31</v>
      </c>
      <c r="BM368" s="741"/>
      <c r="BN368" s="738" t="s">
        <v>251</v>
      </c>
      <c r="BO368" s="760"/>
      <c r="BP368" s="771" t="s">
        <v>353</v>
      </c>
      <c r="BQ368" s="772"/>
    </row>
    <row r="369" spans="2:69" ht="24.95" customHeight="1">
      <c r="B369" s="744"/>
      <c r="C369" s="747"/>
      <c r="D369" s="752" t="str">
        <f>D2</f>
        <v>土</v>
      </c>
      <c r="E369" s="740"/>
      <c r="F369" s="739" t="str">
        <f>F2</f>
        <v>日</v>
      </c>
      <c r="G369" s="740"/>
      <c r="H369" s="739" t="str">
        <f>H2</f>
        <v>月</v>
      </c>
      <c r="I369" s="740"/>
      <c r="J369" s="739" t="str">
        <f>J2</f>
        <v>火</v>
      </c>
      <c r="K369" s="740"/>
      <c r="L369" s="739" t="str">
        <f>L2</f>
        <v>水</v>
      </c>
      <c r="M369" s="740"/>
      <c r="N369" s="739" t="str">
        <f>N2</f>
        <v>木</v>
      </c>
      <c r="O369" s="740"/>
      <c r="P369" s="739" t="str">
        <f>P2</f>
        <v>金</v>
      </c>
      <c r="Q369" s="740"/>
      <c r="R369" s="739" t="str">
        <f>R2</f>
        <v>土</v>
      </c>
      <c r="S369" s="740"/>
      <c r="T369" s="739" t="str">
        <f>T2</f>
        <v>日</v>
      </c>
      <c r="U369" s="740"/>
      <c r="V369" s="739" t="str">
        <f>V2</f>
        <v>月</v>
      </c>
      <c r="W369" s="740"/>
      <c r="X369" s="739" t="str">
        <f>X2</f>
        <v>火</v>
      </c>
      <c r="Y369" s="740"/>
      <c r="Z369" s="739" t="str">
        <f>Z2</f>
        <v>水</v>
      </c>
      <c r="AA369" s="740"/>
      <c r="AB369" s="739" t="str">
        <f>AB2</f>
        <v>木</v>
      </c>
      <c r="AC369" s="740"/>
      <c r="AD369" s="739" t="str">
        <f>AD2</f>
        <v>金</v>
      </c>
      <c r="AE369" s="740"/>
      <c r="AF369" s="739" t="str">
        <f>AF2</f>
        <v>土</v>
      </c>
      <c r="AG369" s="740"/>
      <c r="AH369" s="786" t="str">
        <f>AH2</f>
        <v>日</v>
      </c>
      <c r="AI369" s="767"/>
      <c r="AJ369" s="770" t="str">
        <f>AJ2</f>
        <v>月</v>
      </c>
      <c r="AK369" s="770"/>
      <c r="AL369" s="770" t="str">
        <f>AL2</f>
        <v>火</v>
      </c>
      <c r="AM369" s="770"/>
      <c r="AN369" s="770" t="str">
        <f>AN2</f>
        <v>水</v>
      </c>
      <c r="AO369" s="770"/>
      <c r="AP369" s="770" t="str">
        <f>AP2</f>
        <v>木</v>
      </c>
      <c r="AQ369" s="770"/>
      <c r="AR369" s="770" t="str">
        <f>AR2</f>
        <v>金</v>
      </c>
      <c r="AS369" s="770"/>
      <c r="AT369" s="770" t="str">
        <f>AT2</f>
        <v>土</v>
      </c>
      <c r="AU369" s="770"/>
      <c r="AV369" s="770" t="str">
        <f>AV2</f>
        <v>日</v>
      </c>
      <c r="AW369" s="770"/>
      <c r="AX369" s="770" t="str">
        <f>AX2</f>
        <v>月</v>
      </c>
      <c r="AY369" s="770"/>
      <c r="AZ369" s="770" t="str">
        <f>AZ2</f>
        <v>火</v>
      </c>
      <c r="BA369" s="770"/>
      <c r="BB369" s="770" t="str">
        <f>BB2</f>
        <v>水</v>
      </c>
      <c r="BC369" s="770"/>
      <c r="BD369" s="770" t="str">
        <f>BD2</f>
        <v>木</v>
      </c>
      <c r="BE369" s="770"/>
      <c r="BF369" s="770" t="str">
        <f>BF2</f>
        <v>金</v>
      </c>
      <c r="BG369" s="770"/>
      <c r="BH369" s="770" t="str">
        <f>BH2</f>
        <v>土</v>
      </c>
      <c r="BI369" s="770"/>
      <c r="BJ369" s="770" t="str">
        <f>BJ2</f>
        <v>日</v>
      </c>
      <c r="BK369" s="770"/>
      <c r="BL369" s="770" t="str">
        <f>BL2</f>
        <v>月</v>
      </c>
      <c r="BM369" s="770"/>
      <c r="BN369" s="761"/>
      <c r="BO369" s="762"/>
      <c r="BP369" s="773"/>
      <c r="BQ369" s="774"/>
    </row>
    <row r="370" spans="2:69" ht="24.95" customHeight="1" thickBot="1">
      <c r="B370" s="748"/>
      <c r="C370" s="750"/>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102">
        <f t="shared" ref="BN371:BO375" si="62">SUM(D371,F371,H371,J371,L371,N371,P371,R371,T371,V371,X371,Z371,AB371,AD371,AF371,AH371,AJ371,AL371,AN371,AP371,AR371,AT371,AV371,AX371,AZ371,BB371,BD371,BF371,BH371,BJ371,BL371)</f>
        <v>0</v>
      </c>
      <c r="BO371" s="47">
        <f t="shared" si="62"/>
        <v>0</v>
      </c>
      <c r="BP371" s="631">
        <f>'2月'!BP371+'3月'!BN371</f>
        <v>0</v>
      </c>
      <c r="BQ371" s="559">
        <f>'2月'!BQ371+'3月'!BO371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102">
        <f t="shared" si="62"/>
        <v>0</v>
      </c>
      <c r="BO372" s="47">
        <f t="shared" si="62"/>
        <v>0</v>
      </c>
      <c r="BP372" s="631">
        <f>'2月'!BP372+'3月'!BN372</f>
        <v>0</v>
      </c>
      <c r="BQ372" s="559">
        <f>'2月'!BQ372+'3月'!BO372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102">
        <f t="shared" si="62"/>
        <v>0</v>
      </c>
      <c r="BO373" s="47">
        <f t="shared" si="62"/>
        <v>0</v>
      </c>
      <c r="BP373" s="631">
        <f>'2月'!BP373+'3月'!BN373</f>
        <v>0</v>
      </c>
      <c r="BQ373" s="559">
        <f>'2月'!BQ373+'3月'!BO373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102">
        <f t="shared" si="62"/>
        <v>0</v>
      </c>
      <c r="BO374" s="47">
        <f t="shared" si="62"/>
        <v>0</v>
      </c>
      <c r="BP374" s="631">
        <f>'2月'!BP374+'3月'!BN374</f>
        <v>0</v>
      </c>
      <c r="BQ374" s="559">
        <f>'2月'!BQ374+'3月'!BO374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102">
        <f t="shared" si="62"/>
        <v>0</v>
      </c>
      <c r="BO375" s="47">
        <f t="shared" si="62"/>
        <v>0</v>
      </c>
      <c r="BP375" s="631">
        <f>'2月'!BP375+'3月'!BN375</f>
        <v>0</v>
      </c>
      <c r="BQ375" s="559">
        <f>'2月'!BQ375+'3月'!BO375</f>
        <v>0</v>
      </c>
    </row>
    <row r="376" spans="2:69" s="6" customFormat="1" ht="30" customHeight="1" thickBot="1">
      <c r="B376" s="119" t="s">
        <v>101</v>
      </c>
      <c r="C376" s="149"/>
      <c r="D376" s="29">
        <f t="shared" ref="D376:BM376" si="63">SUM(D371:D375)</f>
        <v>0</v>
      </c>
      <c r="E376" s="31">
        <f t="shared" si="63"/>
        <v>0</v>
      </c>
      <c r="F376" s="29">
        <f t="shared" si="63"/>
        <v>0</v>
      </c>
      <c r="G376" s="31">
        <f t="shared" si="63"/>
        <v>0</v>
      </c>
      <c r="H376" s="29">
        <f t="shared" si="63"/>
        <v>0</v>
      </c>
      <c r="I376" s="31">
        <f t="shared" si="63"/>
        <v>0</v>
      </c>
      <c r="J376" s="29">
        <f t="shared" si="63"/>
        <v>0</v>
      </c>
      <c r="K376" s="31">
        <f t="shared" si="63"/>
        <v>0</v>
      </c>
      <c r="L376" s="29">
        <f t="shared" si="63"/>
        <v>0</v>
      </c>
      <c r="M376" s="31">
        <f t="shared" si="63"/>
        <v>0</v>
      </c>
      <c r="N376" s="29">
        <f t="shared" si="63"/>
        <v>0</v>
      </c>
      <c r="O376" s="31">
        <f t="shared" si="63"/>
        <v>0</v>
      </c>
      <c r="P376" s="29">
        <f t="shared" si="63"/>
        <v>0</v>
      </c>
      <c r="Q376" s="31">
        <f t="shared" si="63"/>
        <v>0</v>
      </c>
      <c r="R376" s="29">
        <f t="shared" si="63"/>
        <v>0</v>
      </c>
      <c r="S376" s="31">
        <f t="shared" si="63"/>
        <v>0</v>
      </c>
      <c r="T376" s="29">
        <f t="shared" si="63"/>
        <v>0</v>
      </c>
      <c r="U376" s="31">
        <f t="shared" si="63"/>
        <v>0</v>
      </c>
      <c r="V376" s="29">
        <f t="shared" si="63"/>
        <v>0</v>
      </c>
      <c r="W376" s="31">
        <f t="shared" si="63"/>
        <v>0</v>
      </c>
      <c r="X376" s="29">
        <f t="shared" si="63"/>
        <v>0</v>
      </c>
      <c r="Y376" s="31">
        <f t="shared" si="63"/>
        <v>0</v>
      </c>
      <c r="Z376" s="29">
        <f t="shared" si="63"/>
        <v>0</v>
      </c>
      <c r="AA376" s="31">
        <f t="shared" si="63"/>
        <v>0</v>
      </c>
      <c r="AB376" s="29">
        <f t="shared" si="63"/>
        <v>0</v>
      </c>
      <c r="AC376" s="31">
        <f t="shared" si="63"/>
        <v>0</v>
      </c>
      <c r="AD376" s="29">
        <f t="shared" si="63"/>
        <v>0</v>
      </c>
      <c r="AE376" s="31">
        <f t="shared" si="63"/>
        <v>0</v>
      </c>
      <c r="AF376" s="29">
        <f t="shared" si="63"/>
        <v>0</v>
      </c>
      <c r="AG376" s="41">
        <f t="shared" si="63"/>
        <v>0</v>
      </c>
      <c r="AH376" s="29">
        <f t="shared" si="63"/>
        <v>0</v>
      </c>
      <c r="AI376" s="31">
        <f t="shared" si="63"/>
        <v>0</v>
      </c>
      <c r="AJ376" s="29">
        <f t="shared" si="63"/>
        <v>0</v>
      </c>
      <c r="AK376" s="31">
        <f t="shared" si="63"/>
        <v>0</v>
      </c>
      <c r="AL376" s="29">
        <f t="shared" si="63"/>
        <v>0</v>
      </c>
      <c r="AM376" s="31">
        <f t="shared" si="63"/>
        <v>0</v>
      </c>
      <c r="AN376" s="29">
        <f t="shared" si="63"/>
        <v>0</v>
      </c>
      <c r="AO376" s="31">
        <f t="shared" si="63"/>
        <v>0</v>
      </c>
      <c r="AP376" s="29">
        <f t="shared" si="63"/>
        <v>0</v>
      </c>
      <c r="AQ376" s="31">
        <f t="shared" si="63"/>
        <v>0</v>
      </c>
      <c r="AR376" s="29">
        <f t="shared" si="63"/>
        <v>0</v>
      </c>
      <c r="AS376" s="31">
        <f t="shared" si="63"/>
        <v>0</v>
      </c>
      <c r="AT376" s="29">
        <f t="shared" si="63"/>
        <v>0</v>
      </c>
      <c r="AU376" s="31">
        <f t="shared" si="63"/>
        <v>0</v>
      </c>
      <c r="AV376" s="29">
        <f t="shared" si="63"/>
        <v>0</v>
      </c>
      <c r="AW376" s="31">
        <f t="shared" si="63"/>
        <v>0</v>
      </c>
      <c r="AX376" s="29">
        <f t="shared" si="63"/>
        <v>0</v>
      </c>
      <c r="AY376" s="31">
        <f t="shared" si="63"/>
        <v>0</v>
      </c>
      <c r="AZ376" s="29">
        <f t="shared" si="63"/>
        <v>0</v>
      </c>
      <c r="BA376" s="31">
        <f t="shared" si="63"/>
        <v>0</v>
      </c>
      <c r="BB376" s="29">
        <f t="shared" si="63"/>
        <v>0</v>
      </c>
      <c r="BC376" s="31">
        <f t="shared" si="63"/>
        <v>0</v>
      </c>
      <c r="BD376" s="29">
        <f t="shared" si="63"/>
        <v>0</v>
      </c>
      <c r="BE376" s="31">
        <f t="shared" si="63"/>
        <v>0</v>
      </c>
      <c r="BF376" s="29">
        <f t="shared" si="63"/>
        <v>0</v>
      </c>
      <c r="BG376" s="31">
        <f t="shared" si="63"/>
        <v>0</v>
      </c>
      <c r="BH376" s="29">
        <f t="shared" si="63"/>
        <v>0</v>
      </c>
      <c r="BI376" s="31">
        <f t="shared" si="63"/>
        <v>0</v>
      </c>
      <c r="BJ376" s="29">
        <f t="shared" si="63"/>
        <v>0</v>
      </c>
      <c r="BK376" s="41">
        <f t="shared" si="63"/>
        <v>0</v>
      </c>
      <c r="BL376" s="39">
        <f t="shared" si="63"/>
        <v>0</v>
      </c>
      <c r="BM376" s="31">
        <f t="shared" si="63"/>
        <v>0</v>
      </c>
      <c r="BN376" s="32">
        <f>SUM(BN371:BN375)</f>
        <v>0</v>
      </c>
      <c r="BO376" s="41">
        <f>SUM(BO371:BO375)</f>
        <v>0</v>
      </c>
      <c r="BP376" s="257">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43" t="s">
        <v>96</v>
      </c>
      <c r="C379" s="749"/>
      <c r="D379" s="751">
        <v>1</v>
      </c>
      <c r="E379" s="738"/>
      <c r="F379" s="737">
        <v>2</v>
      </c>
      <c r="G379" s="738"/>
      <c r="H379" s="737">
        <v>3</v>
      </c>
      <c r="I379" s="738"/>
      <c r="J379" s="737">
        <v>4</v>
      </c>
      <c r="K379" s="738"/>
      <c r="L379" s="737">
        <v>5</v>
      </c>
      <c r="M379" s="738"/>
      <c r="N379" s="737">
        <v>6</v>
      </c>
      <c r="O379" s="738"/>
      <c r="P379" s="737">
        <v>7</v>
      </c>
      <c r="Q379" s="738"/>
      <c r="R379" s="737">
        <v>8</v>
      </c>
      <c r="S379" s="738"/>
      <c r="T379" s="737">
        <v>9</v>
      </c>
      <c r="U379" s="738"/>
      <c r="V379" s="737">
        <v>10</v>
      </c>
      <c r="W379" s="738"/>
      <c r="X379" s="737">
        <v>11</v>
      </c>
      <c r="Y379" s="738"/>
      <c r="Z379" s="737">
        <v>12</v>
      </c>
      <c r="AA379" s="738"/>
      <c r="AB379" s="737">
        <v>13</v>
      </c>
      <c r="AC379" s="738"/>
      <c r="AD379" s="737">
        <v>14</v>
      </c>
      <c r="AE379" s="738"/>
      <c r="AF379" s="737">
        <v>15</v>
      </c>
      <c r="AG379" s="784"/>
      <c r="AH379" s="741">
        <v>16</v>
      </c>
      <c r="AI379" s="741"/>
      <c r="AJ379" s="741">
        <v>17</v>
      </c>
      <c r="AK379" s="741"/>
      <c r="AL379" s="741">
        <v>18</v>
      </c>
      <c r="AM379" s="741"/>
      <c r="AN379" s="741">
        <v>19</v>
      </c>
      <c r="AO379" s="741"/>
      <c r="AP379" s="741">
        <v>20</v>
      </c>
      <c r="AQ379" s="741"/>
      <c r="AR379" s="741">
        <v>21</v>
      </c>
      <c r="AS379" s="741"/>
      <c r="AT379" s="741">
        <v>22</v>
      </c>
      <c r="AU379" s="741"/>
      <c r="AV379" s="741">
        <v>23</v>
      </c>
      <c r="AW379" s="741"/>
      <c r="AX379" s="741">
        <v>24</v>
      </c>
      <c r="AY379" s="741"/>
      <c r="AZ379" s="741">
        <v>25</v>
      </c>
      <c r="BA379" s="741"/>
      <c r="BB379" s="741">
        <v>26</v>
      </c>
      <c r="BC379" s="741"/>
      <c r="BD379" s="741">
        <v>27</v>
      </c>
      <c r="BE379" s="741"/>
      <c r="BF379" s="741">
        <v>28</v>
      </c>
      <c r="BG379" s="741"/>
      <c r="BH379" s="741">
        <v>29</v>
      </c>
      <c r="BI379" s="741"/>
      <c r="BJ379" s="741">
        <v>30</v>
      </c>
      <c r="BK379" s="741"/>
      <c r="BL379" s="741">
        <v>31</v>
      </c>
      <c r="BM379" s="741"/>
      <c r="BN379" s="738" t="s">
        <v>251</v>
      </c>
      <c r="BO379" s="737"/>
      <c r="BP379" s="771" t="s">
        <v>353</v>
      </c>
      <c r="BQ379" s="776"/>
    </row>
    <row r="380" spans="2:69" ht="24.95" customHeight="1">
      <c r="B380" s="744"/>
      <c r="C380" s="747"/>
      <c r="D380" s="752" t="str">
        <f>D2</f>
        <v>土</v>
      </c>
      <c r="E380" s="740"/>
      <c r="F380" s="739" t="str">
        <f>F2</f>
        <v>日</v>
      </c>
      <c r="G380" s="740"/>
      <c r="H380" s="739" t="str">
        <f>H2</f>
        <v>月</v>
      </c>
      <c r="I380" s="740"/>
      <c r="J380" s="739" t="str">
        <f>J2</f>
        <v>火</v>
      </c>
      <c r="K380" s="740"/>
      <c r="L380" s="739" t="str">
        <f>L2</f>
        <v>水</v>
      </c>
      <c r="M380" s="740"/>
      <c r="N380" s="739" t="str">
        <f>N2</f>
        <v>木</v>
      </c>
      <c r="O380" s="740"/>
      <c r="P380" s="739" t="str">
        <f>P2</f>
        <v>金</v>
      </c>
      <c r="Q380" s="740"/>
      <c r="R380" s="739" t="str">
        <f>R2</f>
        <v>土</v>
      </c>
      <c r="S380" s="740"/>
      <c r="T380" s="739" t="str">
        <f>T2</f>
        <v>日</v>
      </c>
      <c r="U380" s="740"/>
      <c r="V380" s="739" t="str">
        <f>V2</f>
        <v>月</v>
      </c>
      <c r="W380" s="740"/>
      <c r="X380" s="739" t="str">
        <f>X2</f>
        <v>火</v>
      </c>
      <c r="Y380" s="740"/>
      <c r="Z380" s="739" t="str">
        <f>Z2</f>
        <v>水</v>
      </c>
      <c r="AA380" s="740"/>
      <c r="AB380" s="739" t="str">
        <f>AB2</f>
        <v>木</v>
      </c>
      <c r="AC380" s="740"/>
      <c r="AD380" s="739" t="str">
        <f>AD2</f>
        <v>金</v>
      </c>
      <c r="AE380" s="740"/>
      <c r="AF380" s="739" t="str">
        <f>AF2</f>
        <v>土</v>
      </c>
      <c r="AG380" s="740"/>
      <c r="AH380" s="786" t="str">
        <f>AH2</f>
        <v>日</v>
      </c>
      <c r="AI380" s="767"/>
      <c r="AJ380" s="770" t="str">
        <f>AJ2</f>
        <v>月</v>
      </c>
      <c r="AK380" s="770"/>
      <c r="AL380" s="770" t="str">
        <f>AL2</f>
        <v>火</v>
      </c>
      <c r="AM380" s="770"/>
      <c r="AN380" s="770" t="str">
        <f>AN2</f>
        <v>水</v>
      </c>
      <c r="AO380" s="770"/>
      <c r="AP380" s="770" t="str">
        <f>AP2</f>
        <v>木</v>
      </c>
      <c r="AQ380" s="770"/>
      <c r="AR380" s="770" t="str">
        <f>AR2</f>
        <v>金</v>
      </c>
      <c r="AS380" s="770"/>
      <c r="AT380" s="770" t="str">
        <f>AT2</f>
        <v>土</v>
      </c>
      <c r="AU380" s="770"/>
      <c r="AV380" s="770" t="str">
        <f>AV2</f>
        <v>日</v>
      </c>
      <c r="AW380" s="770"/>
      <c r="AX380" s="770" t="str">
        <f>AX2</f>
        <v>月</v>
      </c>
      <c r="AY380" s="770"/>
      <c r="AZ380" s="770" t="str">
        <f>AZ2</f>
        <v>火</v>
      </c>
      <c r="BA380" s="770"/>
      <c r="BB380" s="770" t="str">
        <f>BB2</f>
        <v>水</v>
      </c>
      <c r="BC380" s="770"/>
      <c r="BD380" s="770" t="str">
        <f>BD2</f>
        <v>木</v>
      </c>
      <c r="BE380" s="770"/>
      <c r="BF380" s="770" t="str">
        <f>BF2</f>
        <v>金</v>
      </c>
      <c r="BG380" s="770"/>
      <c r="BH380" s="770" t="str">
        <f>BH2</f>
        <v>土</v>
      </c>
      <c r="BI380" s="770"/>
      <c r="BJ380" s="770" t="str">
        <f>BJ2</f>
        <v>日</v>
      </c>
      <c r="BK380" s="770"/>
      <c r="BL380" s="770" t="str">
        <f>BL2</f>
        <v>月</v>
      </c>
      <c r="BM380" s="770"/>
      <c r="BN380" s="761"/>
      <c r="BO380" s="775"/>
      <c r="BP380" s="773"/>
      <c r="BQ380" s="793"/>
    </row>
    <row r="381" spans="2:69" ht="24.95" customHeight="1" thickBot="1">
      <c r="B381" s="748"/>
      <c r="C381" s="750"/>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92"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D24</f>
        <v>0</v>
      </c>
      <c r="E382" s="53">
        <f>E24</f>
        <v>0</v>
      </c>
      <c r="F382" s="54">
        <f>F24</f>
        <v>0</v>
      </c>
      <c r="G382" s="55">
        <f>G24</f>
        <v>0</v>
      </c>
      <c r="H382" s="54">
        <f>H24</f>
        <v>0</v>
      </c>
      <c r="I382" s="55">
        <f>I24</f>
        <v>0</v>
      </c>
      <c r="J382" s="54">
        <f>J24</f>
        <v>0</v>
      </c>
      <c r="K382" s="55">
        <f>K24</f>
        <v>0</v>
      </c>
      <c r="L382" s="54">
        <f>L24</f>
        <v>0</v>
      </c>
      <c r="M382" s="55">
        <f>M24</f>
        <v>0</v>
      </c>
      <c r="N382" s="54">
        <f>N24</f>
        <v>0</v>
      </c>
      <c r="O382" s="55">
        <f>O24</f>
        <v>0</v>
      </c>
      <c r="P382" s="54">
        <f>P24</f>
        <v>0</v>
      </c>
      <c r="Q382" s="55">
        <f>Q24</f>
        <v>0</v>
      </c>
      <c r="R382" s="54">
        <f>R24</f>
        <v>0</v>
      </c>
      <c r="S382" s="55">
        <f>S24</f>
        <v>0</v>
      </c>
      <c r="T382" s="54">
        <f>T24</f>
        <v>0</v>
      </c>
      <c r="U382" s="55">
        <f>U24</f>
        <v>0</v>
      </c>
      <c r="V382" s="54">
        <f>V24</f>
        <v>0</v>
      </c>
      <c r="W382" s="55">
        <f>W24</f>
        <v>0</v>
      </c>
      <c r="X382" s="54">
        <f>X24</f>
        <v>0</v>
      </c>
      <c r="Y382" s="55">
        <f>Y24</f>
        <v>0</v>
      </c>
      <c r="Z382" s="54">
        <f>Z24</f>
        <v>0</v>
      </c>
      <c r="AA382" s="55">
        <f>AA24</f>
        <v>0</v>
      </c>
      <c r="AB382" s="54">
        <f>AB24</f>
        <v>0</v>
      </c>
      <c r="AC382" s="55">
        <f>AC24</f>
        <v>0</v>
      </c>
      <c r="AD382" s="54">
        <f>AD24</f>
        <v>0</v>
      </c>
      <c r="AE382" s="55">
        <f>AE24</f>
        <v>0</v>
      </c>
      <c r="AF382" s="54">
        <f>AF24</f>
        <v>0</v>
      </c>
      <c r="AG382" s="100">
        <f>AG24</f>
        <v>0</v>
      </c>
      <c r="AH382" s="12">
        <f>AH24</f>
        <v>0</v>
      </c>
      <c r="AI382" s="53">
        <f>AI24</f>
        <v>0</v>
      </c>
      <c r="AJ382" s="54">
        <f>AJ24</f>
        <v>0</v>
      </c>
      <c r="AK382" s="55">
        <f>AK24</f>
        <v>0</v>
      </c>
      <c r="AL382" s="54">
        <f>AL24</f>
        <v>0</v>
      </c>
      <c r="AM382" s="55">
        <f>AM24</f>
        <v>0</v>
      </c>
      <c r="AN382" s="54">
        <f>AN24</f>
        <v>0</v>
      </c>
      <c r="AO382" s="55">
        <f>AO24</f>
        <v>0</v>
      </c>
      <c r="AP382" s="54">
        <f>AP24</f>
        <v>0</v>
      </c>
      <c r="AQ382" s="55">
        <f>AQ24</f>
        <v>0</v>
      </c>
      <c r="AR382" s="54">
        <f>AR24</f>
        <v>0</v>
      </c>
      <c r="AS382" s="55">
        <f>AS24</f>
        <v>0</v>
      </c>
      <c r="AT382" s="54">
        <f>AT24</f>
        <v>0</v>
      </c>
      <c r="AU382" s="55">
        <f>AU24</f>
        <v>0</v>
      </c>
      <c r="AV382" s="54">
        <f>AV24</f>
        <v>0</v>
      </c>
      <c r="AW382" s="55">
        <f>AW24</f>
        <v>0</v>
      </c>
      <c r="AX382" s="54">
        <f>AX24</f>
        <v>0</v>
      </c>
      <c r="AY382" s="55">
        <f>AY24</f>
        <v>0</v>
      </c>
      <c r="AZ382" s="54">
        <f>AZ24</f>
        <v>0</v>
      </c>
      <c r="BA382" s="55">
        <f>BA24</f>
        <v>0</v>
      </c>
      <c r="BB382" s="54">
        <f>BB24</f>
        <v>0</v>
      </c>
      <c r="BC382" s="55">
        <f>BC24</f>
        <v>0</v>
      </c>
      <c r="BD382" s="54">
        <f>BD24</f>
        <v>0</v>
      </c>
      <c r="BE382" s="55">
        <f>BE24</f>
        <v>0</v>
      </c>
      <c r="BF382" s="54">
        <f>BF24</f>
        <v>0</v>
      </c>
      <c r="BG382" s="55">
        <f>BG24</f>
        <v>0</v>
      </c>
      <c r="BH382" s="54">
        <f>BH24</f>
        <v>0</v>
      </c>
      <c r="BI382" s="55">
        <f>BI24</f>
        <v>0</v>
      </c>
      <c r="BJ382" s="45">
        <f>BJ24</f>
        <v>0</v>
      </c>
      <c r="BK382" s="53">
        <f>BK24</f>
        <v>0</v>
      </c>
      <c r="BL382" s="54">
        <f>BL24</f>
        <v>0</v>
      </c>
      <c r="BM382" s="55">
        <f>BM24</f>
        <v>0</v>
      </c>
      <c r="BN382" s="102">
        <f>SUM(D382,F382,H382,J382,L382,N382,P382,R382,T382,V382,X382,Z382,AB382,AD382,AF382,AH382,AJ382,AL382,AN382,AP382,AR382,AT382,AV382,AX382,AZ382,BB382,BD382,BF382,BH382,BJ382,BL382)</f>
        <v>0</v>
      </c>
      <c r="BO382" s="47">
        <f>SUM(E382,G382,I382,K382,M382,O382,Q382,S382,U382,W382,Y382,AA382,AC382,AE382,AG382,AI382,AK382,AM382,AO382,AQ382,AS382,AU382,AW382,AY382,BA382,BC382,BE382,BG382,BI382,BK382,BM382)</f>
        <v>0</v>
      </c>
      <c r="BP382" s="631">
        <f>INDEX('2月'!$B$382:$BQ$406,MATCH('3月'!B382,'2月'!$B$382:$B$406,0),67)+BN382</f>
        <v>1</v>
      </c>
      <c r="BQ382" s="702">
        <f>INDEX('2月'!$B$382:$BQ$406,MATCH('3月'!B382,'2月'!$B$382:$B$406,0),68)+BO382</f>
        <v>1</v>
      </c>
    </row>
    <row r="383" spans="2:69" s="6" customFormat="1" ht="50.1" customHeight="1">
      <c r="B383" s="211" t="s">
        <v>213</v>
      </c>
      <c r="C383" s="145"/>
      <c r="D383" s="70">
        <f>D54</f>
        <v>0</v>
      </c>
      <c r="E383" s="56">
        <f>E54</f>
        <v>0</v>
      </c>
      <c r="F383" s="57">
        <f>F54</f>
        <v>0</v>
      </c>
      <c r="G383" s="51">
        <f>G54</f>
        <v>0</v>
      </c>
      <c r="H383" s="57">
        <f>H54</f>
        <v>0</v>
      </c>
      <c r="I383" s="51">
        <f>I54</f>
        <v>0</v>
      </c>
      <c r="J383" s="57">
        <f>J54</f>
        <v>0</v>
      </c>
      <c r="K383" s="51">
        <f>K54</f>
        <v>0</v>
      </c>
      <c r="L383" s="57">
        <f>L54</f>
        <v>0</v>
      </c>
      <c r="M383" s="51">
        <f>M54</f>
        <v>0</v>
      </c>
      <c r="N383" s="57">
        <f>N54</f>
        <v>0</v>
      </c>
      <c r="O383" s="51">
        <f>O54</f>
        <v>0</v>
      </c>
      <c r="P383" s="57">
        <f>P54</f>
        <v>0</v>
      </c>
      <c r="Q383" s="51">
        <f>Q54</f>
        <v>0</v>
      </c>
      <c r="R383" s="57">
        <f>R54</f>
        <v>0</v>
      </c>
      <c r="S383" s="51">
        <f>S54</f>
        <v>0</v>
      </c>
      <c r="T383" s="57">
        <f>T54</f>
        <v>0</v>
      </c>
      <c r="U383" s="51">
        <f>U54</f>
        <v>0</v>
      </c>
      <c r="V383" s="57">
        <f>V54</f>
        <v>0</v>
      </c>
      <c r="W383" s="51">
        <f>W54</f>
        <v>0</v>
      </c>
      <c r="X383" s="57">
        <f>X54</f>
        <v>0</v>
      </c>
      <c r="Y383" s="51">
        <f>Y54</f>
        <v>0</v>
      </c>
      <c r="Z383" s="57">
        <f>Z54</f>
        <v>0</v>
      </c>
      <c r="AA383" s="51">
        <f>AA54</f>
        <v>0</v>
      </c>
      <c r="AB383" s="57">
        <f>AB54</f>
        <v>0</v>
      </c>
      <c r="AC383" s="51">
        <f>AC54</f>
        <v>0</v>
      </c>
      <c r="AD383" s="57">
        <f>AD54</f>
        <v>0</v>
      </c>
      <c r="AE383" s="51">
        <f>AE54</f>
        <v>0</v>
      </c>
      <c r="AF383" s="57">
        <f>AF54</f>
        <v>0</v>
      </c>
      <c r="AG383" s="51">
        <f>AG54</f>
        <v>0</v>
      </c>
      <c r="AH383" s="17">
        <f>AH54</f>
        <v>0</v>
      </c>
      <c r="AI383" s="56">
        <f>AI54</f>
        <v>0</v>
      </c>
      <c r="AJ383" s="57">
        <f>AJ54</f>
        <v>0</v>
      </c>
      <c r="AK383" s="51">
        <f>AK54</f>
        <v>0</v>
      </c>
      <c r="AL383" s="57">
        <f>AL54</f>
        <v>0</v>
      </c>
      <c r="AM383" s="51">
        <f>AM54</f>
        <v>0</v>
      </c>
      <c r="AN383" s="57">
        <f>AN54</f>
        <v>0</v>
      </c>
      <c r="AO383" s="51">
        <f>AO54</f>
        <v>0</v>
      </c>
      <c r="AP383" s="57">
        <f>AP54</f>
        <v>0</v>
      </c>
      <c r="AQ383" s="51">
        <f>AQ54</f>
        <v>0</v>
      </c>
      <c r="AR383" s="57">
        <f>AR54</f>
        <v>0</v>
      </c>
      <c r="AS383" s="51">
        <f>AS54</f>
        <v>0</v>
      </c>
      <c r="AT383" s="57">
        <f>AT54</f>
        <v>0</v>
      </c>
      <c r="AU383" s="51">
        <f>AU54</f>
        <v>0</v>
      </c>
      <c r="AV383" s="57">
        <f>AV54</f>
        <v>0</v>
      </c>
      <c r="AW383" s="51">
        <f>AW54</f>
        <v>0</v>
      </c>
      <c r="AX383" s="57">
        <f>AX54</f>
        <v>0</v>
      </c>
      <c r="AY383" s="51">
        <f>AY54</f>
        <v>0</v>
      </c>
      <c r="AZ383" s="57">
        <f>AZ54</f>
        <v>0</v>
      </c>
      <c r="BA383" s="51">
        <f>BA54</f>
        <v>0</v>
      </c>
      <c r="BB383" s="57">
        <f>BB54</f>
        <v>0</v>
      </c>
      <c r="BC383" s="51">
        <f>BC54</f>
        <v>0</v>
      </c>
      <c r="BD383" s="57">
        <f>BD54</f>
        <v>0</v>
      </c>
      <c r="BE383" s="51">
        <f>BE54</f>
        <v>0</v>
      </c>
      <c r="BF383" s="57">
        <f>BF54</f>
        <v>0</v>
      </c>
      <c r="BG383" s="51">
        <f>BG54</f>
        <v>0</v>
      </c>
      <c r="BH383" s="57">
        <f>BH54</f>
        <v>0</v>
      </c>
      <c r="BI383" s="51">
        <f>BI54</f>
        <v>0</v>
      </c>
      <c r="BJ383" s="57">
        <f>BJ54</f>
        <v>0</v>
      </c>
      <c r="BK383" s="51">
        <f>BK54</f>
        <v>0</v>
      </c>
      <c r="BL383" s="57">
        <f>BL54</f>
        <v>0</v>
      </c>
      <c r="BM383" s="51">
        <f>BM54</f>
        <v>0</v>
      </c>
      <c r="BN383" s="102">
        <f t="shared" ref="BN383:BN394" si="64">SUM(D383,F383,H383,J383,L383,N383,P383,R383,T383,V383,X383,Z383,AB383,AD383,AF383,AH383,AJ383,AL383,AN383,AP383,AR383,AT383,AV383,AX383,AZ383,BB383,BD383,BF383,BH383,BJ383,BL383)</f>
        <v>0</v>
      </c>
      <c r="BO383" s="47">
        <f t="shared" ref="BO383:BO394" si="65">SUM(E383,G383,I383,K383,M383,O383,Q383,S383,U383,W383,Y383,AA383,AC383,AE383,AG383,AI383,AK383,AM383,AO383,AQ383,AS383,AU383,AW383,AY383,BA383,BC383,BE383,BG383,BI383,BK383,BM383)</f>
        <v>0</v>
      </c>
      <c r="BP383" s="631">
        <f>INDEX('2月'!$B$382:$BQ$406,MATCH('3月'!B383,'2月'!$B$382:$B$406,0),67)+BN383</f>
        <v>20</v>
      </c>
      <c r="BQ383" s="702">
        <f>INDEX('2月'!$B$382:$BQ$406,MATCH('3月'!B383,'2月'!$B$382:$B$406,0),68)+BO383</f>
        <v>30</v>
      </c>
    </row>
    <row r="384" spans="2:69" s="6" customFormat="1" ht="50.1" customHeight="1">
      <c r="B384" s="211" t="s">
        <v>171</v>
      </c>
      <c r="C384" s="145"/>
      <c r="D384" s="102">
        <f>D66</f>
        <v>0</v>
      </c>
      <c r="E384" s="51">
        <f>E66</f>
        <v>0</v>
      </c>
      <c r="F384" s="57">
        <f>F66</f>
        <v>0</v>
      </c>
      <c r="G384" s="51">
        <f>G66</f>
        <v>0</v>
      </c>
      <c r="H384" s="57">
        <f>H66</f>
        <v>0</v>
      </c>
      <c r="I384" s="51">
        <f>I66</f>
        <v>0</v>
      </c>
      <c r="J384" s="57">
        <f>J66</f>
        <v>0</v>
      </c>
      <c r="K384" s="51">
        <f>K66</f>
        <v>0</v>
      </c>
      <c r="L384" s="57">
        <f>L66</f>
        <v>0</v>
      </c>
      <c r="M384" s="51">
        <f>M66</f>
        <v>0</v>
      </c>
      <c r="N384" s="57">
        <f>N66</f>
        <v>0</v>
      </c>
      <c r="O384" s="51">
        <f>O66</f>
        <v>0</v>
      </c>
      <c r="P384" s="57">
        <f>P66</f>
        <v>0</v>
      </c>
      <c r="Q384" s="51">
        <f>Q66</f>
        <v>0</v>
      </c>
      <c r="R384" s="57">
        <f>R66</f>
        <v>0</v>
      </c>
      <c r="S384" s="51">
        <f>S66</f>
        <v>0</v>
      </c>
      <c r="T384" s="57">
        <f>T66</f>
        <v>0</v>
      </c>
      <c r="U384" s="51">
        <f>U66</f>
        <v>0</v>
      </c>
      <c r="V384" s="57">
        <f>V66</f>
        <v>0</v>
      </c>
      <c r="W384" s="51">
        <f>W66</f>
        <v>0</v>
      </c>
      <c r="X384" s="57">
        <f>X66</f>
        <v>0</v>
      </c>
      <c r="Y384" s="51">
        <f>Y66</f>
        <v>0</v>
      </c>
      <c r="Z384" s="57">
        <f>Z66</f>
        <v>0</v>
      </c>
      <c r="AA384" s="51">
        <f>AA66</f>
        <v>0</v>
      </c>
      <c r="AB384" s="57">
        <f>AB66</f>
        <v>0</v>
      </c>
      <c r="AC384" s="51">
        <f>AC66</f>
        <v>0</v>
      </c>
      <c r="AD384" s="57">
        <f>AD66</f>
        <v>0</v>
      </c>
      <c r="AE384" s="56">
        <f>AE66</f>
        <v>0</v>
      </c>
      <c r="AF384" s="57">
        <f>AF66</f>
        <v>0</v>
      </c>
      <c r="AG384" s="101">
        <f>AG66</f>
        <v>0</v>
      </c>
      <c r="AH384" s="17">
        <f>AH66</f>
        <v>0</v>
      </c>
      <c r="AI384" s="56">
        <f>AI66</f>
        <v>0</v>
      </c>
      <c r="AJ384" s="57">
        <f>AJ66</f>
        <v>0</v>
      </c>
      <c r="AK384" s="51">
        <f>AK66</f>
        <v>0</v>
      </c>
      <c r="AL384" s="57">
        <f>AL66</f>
        <v>0</v>
      </c>
      <c r="AM384" s="51">
        <f>AM66</f>
        <v>0</v>
      </c>
      <c r="AN384" s="57">
        <f>AN66</f>
        <v>0</v>
      </c>
      <c r="AO384" s="51">
        <f>AO66</f>
        <v>0</v>
      </c>
      <c r="AP384" s="57">
        <f>AP66</f>
        <v>0</v>
      </c>
      <c r="AQ384" s="51">
        <f>AQ66</f>
        <v>0</v>
      </c>
      <c r="AR384" s="57">
        <f>AR66</f>
        <v>0</v>
      </c>
      <c r="AS384" s="51">
        <f>AS66</f>
        <v>0</v>
      </c>
      <c r="AT384" s="57">
        <f>AT66</f>
        <v>0</v>
      </c>
      <c r="AU384" s="51">
        <f>AU66</f>
        <v>0</v>
      </c>
      <c r="AV384" s="57">
        <f>AV66</f>
        <v>0</v>
      </c>
      <c r="AW384" s="51">
        <f>AW66</f>
        <v>0</v>
      </c>
      <c r="AX384" s="57">
        <f>AX66</f>
        <v>0</v>
      </c>
      <c r="AY384" s="51">
        <f>AY66</f>
        <v>0</v>
      </c>
      <c r="AZ384" s="57">
        <f>AZ66</f>
        <v>0</v>
      </c>
      <c r="BA384" s="51">
        <f>BA66</f>
        <v>0</v>
      </c>
      <c r="BB384" s="57">
        <f>BB66</f>
        <v>0</v>
      </c>
      <c r="BC384" s="51">
        <f>BC66</f>
        <v>0</v>
      </c>
      <c r="BD384" s="57">
        <f>BD66</f>
        <v>0</v>
      </c>
      <c r="BE384" s="51">
        <f>BE66</f>
        <v>0</v>
      </c>
      <c r="BF384" s="57">
        <f>BF66</f>
        <v>0</v>
      </c>
      <c r="BG384" s="51">
        <f>BG66</f>
        <v>0</v>
      </c>
      <c r="BH384" s="57">
        <f>BH66</f>
        <v>0</v>
      </c>
      <c r="BI384" s="51">
        <f>BI66</f>
        <v>0</v>
      </c>
      <c r="BJ384" s="57">
        <f>BJ66</f>
        <v>0</v>
      </c>
      <c r="BK384" s="51">
        <f>BK66</f>
        <v>0</v>
      </c>
      <c r="BL384" s="57">
        <f>BL66</f>
        <v>0</v>
      </c>
      <c r="BM384" s="51">
        <f>BM66</f>
        <v>0</v>
      </c>
      <c r="BN384" s="102">
        <f t="shared" si="64"/>
        <v>0</v>
      </c>
      <c r="BO384" s="47">
        <f t="shared" si="65"/>
        <v>0</v>
      </c>
      <c r="BP384" s="631">
        <f>INDEX('2月'!$B$382:$BQ$406,MATCH('3月'!B384,'2月'!$B$382:$B$406,0),67)+BN384</f>
        <v>2</v>
      </c>
      <c r="BQ384" s="702">
        <f>INDEX('2月'!$B$382:$BQ$406,MATCH('3月'!B384,'2月'!$B$382:$B$406,0),68)+BO384</f>
        <v>2</v>
      </c>
    </row>
    <row r="385" spans="2:69" s="6" customFormat="1" ht="50.1" customHeight="1">
      <c r="B385" s="212" t="s">
        <v>80</v>
      </c>
      <c r="C385" s="146"/>
      <c r="D385" s="44">
        <f>D75</f>
        <v>0</v>
      </c>
      <c r="E385" s="56">
        <f>E75</f>
        <v>0</v>
      </c>
      <c r="F385" s="57">
        <f>F75</f>
        <v>0</v>
      </c>
      <c r="G385" s="51">
        <f>G75</f>
        <v>0</v>
      </c>
      <c r="H385" s="57">
        <f>H75</f>
        <v>0</v>
      </c>
      <c r="I385" s="51">
        <f>I75</f>
        <v>0</v>
      </c>
      <c r="J385" s="57">
        <f>J75</f>
        <v>0</v>
      </c>
      <c r="K385" s="51">
        <f>K75</f>
        <v>0</v>
      </c>
      <c r="L385" s="57">
        <f>L75</f>
        <v>0</v>
      </c>
      <c r="M385" s="51">
        <f>M75</f>
        <v>0</v>
      </c>
      <c r="N385" s="57">
        <f>N75</f>
        <v>0</v>
      </c>
      <c r="O385" s="51">
        <f>O75</f>
        <v>0</v>
      </c>
      <c r="P385" s="57">
        <f>P75</f>
        <v>0</v>
      </c>
      <c r="Q385" s="51">
        <f>Q75</f>
        <v>0</v>
      </c>
      <c r="R385" s="57">
        <f>R75</f>
        <v>0</v>
      </c>
      <c r="S385" s="51">
        <f>S75</f>
        <v>0</v>
      </c>
      <c r="T385" s="57">
        <f>T75</f>
        <v>0</v>
      </c>
      <c r="U385" s="51">
        <f>U75</f>
        <v>0</v>
      </c>
      <c r="V385" s="57">
        <f>V75</f>
        <v>0</v>
      </c>
      <c r="W385" s="51">
        <f>W75</f>
        <v>0</v>
      </c>
      <c r="X385" s="57">
        <f>X75</f>
        <v>0</v>
      </c>
      <c r="Y385" s="51">
        <f>Y75</f>
        <v>0</v>
      </c>
      <c r="Z385" s="57">
        <f>Z75</f>
        <v>0</v>
      </c>
      <c r="AA385" s="51">
        <f>AA75</f>
        <v>0</v>
      </c>
      <c r="AB385" s="57">
        <f>AB75</f>
        <v>0</v>
      </c>
      <c r="AC385" s="51">
        <f>AC75</f>
        <v>0</v>
      </c>
      <c r="AD385" s="57">
        <f>AD75</f>
        <v>0</v>
      </c>
      <c r="AE385" s="56">
        <f>AE75</f>
        <v>0</v>
      </c>
      <c r="AF385" s="57">
        <f>AF75</f>
        <v>0</v>
      </c>
      <c r="AG385" s="56">
        <f>AG75</f>
        <v>0</v>
      </c>
      <c r="AH385" s="44">
        <f>AH75</f>
        <v>0</v>
      </c>
      <c r="AI385" s="56">
        <f>AI75</f>
        <v>0</v>
      </c>
      <c r="AJ385" s="57">
        <f>AJ75</f>
        <v>0</v>
      </c>
      <c r="AK385" s="51">
        <f>AK75</f>
        <v>0</v>
      </c>
      <c r="AL385" s="57">
        <f>AL75</f>
        <v>0</v>
      </c>
      <c r="AM385" s="51">
        <f>AM75</f>
        <v>0</v>
      </c>
      <c r="AN385" s="57">
        <f>AN75</f>
        <v>0</v>
      </c>
      <c r="AO385" s="51">
        <f>AO75</f>
        <v>0</v>
      </c>
      <c r="AP385" s="57">
        <f>AP75</f>
        <v>0</v>
      </c>
      <c r="AQ385" s="51">
        <f>AQ75</f>
        <v>0</v>
      </c>
      <c r="AR385" s="57">
        <f>AR75</f>
        <v>0</v>
      </c>
      <c r="AS385" s="51">
        <f>AS75</f>
        <v>0</v>
      </c>
      <c r="AT385" s="57">
        <f>AT75</f>
        <v>0</v>
      </c>
      <c r="AU385" s="51">
        <f>AU75</f>
        <v>0</v>
      </c>
      <c r="AV385" s="57">
        <f>AV75</f>
        <v>0</v>
      </c>
      <c r="AW385" s="51">
        <f>AW75</f>
        <v>0</v>
      </c>
      <c r="AX385" s="57">
        <f>AX75</f>
        <v>0</v>
      </c>
      <c r="AY385" s="51">
        <f>AY75</f>
        <v>0</v>
      </c>
      <c r="AZ385" s="57">
        <f>AZ75</f>
        <v>0</v>
      </c>
      <c r="BA385" s="51">
        <f>BA75</f>
        <v>0</v>
      </c>
      <c r="BB385" s="57">
        <f>BB75</f>
        <v>0</v>
      </c>
      <c r="BC385" s="51">
        <f>BC75</f>
        <v>0</v>
      </c>
      <c r="BD385" s="57">
        <f>BD75</f>
        <v>0</v>
      </c>
      <c r="BE385" s="51">
        <f>BE75</f>
        <v>0</v>
      </c>
      <c r="BF385" s="57">
        <f>BF75</f>
        <v>0</v>
      </c>
      <c r="BG385" s="51">
        <f>BG75</f>
        <v>0</v>
      </c>
      <c r="BH385" s="57">
        <f>BH75</f>
        <v>0</v>
      </c>
      <c r="BI385" s="56">
        <f>BI75</f>
        <v>0</v>
      </c>
      <c r="BJ385" s="57">
        <f>BJ75</f>
        <v>0</v>
      </c>
      <c r="BK385" s="56">
        <f>BK75</f>
        <v>0</v>
      </c>
      <c r="BL385" s="57">
        <f>BL75</f>
        <v>0</v>
      </c>
      <c r="BM385" s="56">
        <f>BM75</f>
        <v>0</v>
      </c>
      <c r="BN385" s="102">
        <f t="shared" si="64"/>
        <v>0</v>
      </c>
      <c r="BO385" s="47">
        <f t="shared" si="65"/>
        <v>0</v>
      </c>
      <c r="BP385" s="631">
        <f>INDEX('2月'!$B$382:$BQ$406,MATCH('3月'!B385,'2月'!$B$382:$B$406,0),67)+BN385</f>
        <v>3</v>
      </c>
      <c r="BQ385" s="702">
        <f>INDEX('2月'!$B$382:$BQ$406,MATCH('3月'!B385,'2月'!$B$382:$B$406,0),68)+BO385</f>
        <v>6</v>
      </c>
    </row>
    <row r="386" spans="2:69" s="6" customFormat="1" ht="50.1" customHeight="1">
      <c r="B386" s="212" t="s">
        <v>97</v>
      </c>
      <c r="C386" s="146"/>
      <c r="D386" s="17">
        <f>D89</f>
        <v>0</v>
      </c>
      <c r="E386" s="51">
        <f>E89</f>
        <v>0</v>
      </c>
      <c r="F386" s="57">
        <f>F89</f>
        <v>0</v>
      </c>
      <c r="G386" s="51">
        <f>G89</f>
        <v>0</v>
      </c>
      <c r="H386" s="57">
        <f>H89</f>
        <v>0</v>
      </c>
      <c r="I386" s="51">
        <f>I89</f>
        <v>0</v>
      </c>
      <c r="J386" s="57">
        <f>J89</f>
        <v>0</v>
      </c>
      <c r="K386" s="51">
        <f>K89</f>
        <v>0</v>
      </c>
      <c r="L386" s="57">
        <f>L89</f>
        <v>0</v>
      </c>
      <c r="M386" s="51">
        <f>M89</f>
        <v>0</v>
      </c>
      <c r="N386" s="57">
        <f>N89</f>
        <v>0</v>
      </c>
      <c r="O386" s="51">
        <f>O89</f>
        <v>0</v>
      </c>
      <c r="P386" s="57">
        <f>P89</f>
        <v>0</v>
      </c>
      <c r="Q386" s="51">
        <f>Q89</f>
        <v>0</v>
      </c>
      <c r="R386" s="57">
        <f>R89</f>
        <v>0</v>
      </c>
      <c r="S386" s="51">
        <f>S89</f>
        <v>0</v>
      </c>
      <c r="T386" s="57">
        <f>T89</f>
        <v>0</v>
      </c>
      <c r="U386" s="51">
        <f>U89</f>
        <v>0</v>
      </c>
      <c r="V386" s="57">
        <f>V89</f>
        <v>0</v>
      </c>
      <c r="W386" s="51">
        <f>W89</f>
        <v>0</v>
      </c>
      <c r="X386" s="57">
        <f>X89</f>
        <v>0</v>
      </c>
      <c r="Y386" s="51">
        <f>Y89</f>
        <v>0</v>
      </c>
      <c r="Z386" s="57">
        <f>Z89</f>
        <v>0</v>
      </c>
      <c r="AA386" s="51">
        <f>AA89</f>
        <v>0</v>
      </c>
      <c r="AB386" s="57">
        <f>AB89</f>
        <v>0</v>
      </c>
      <c r="AC386" s="51">
        <f>AC89</f>
        <v>0</v>
      </c>
      <c r="AD386" s="57">
        <f>AD89</f>
        <v>0</v>
      </c>
      <c r="AE386" s="51">
        <f>AE89</f>
        <v>0</v>
      </c>
      <c r="AF386" s="57">
        <f>AF89</f>
        <v>0</v>
      </c>
      <c r="AG386" s="51">
        <f>AG89</f>
        <v>0</v>
      </c>
      <c r="AH386" s="17">
        <f>AH89</f>
        <v>0</v>
      </c>
      <c r="AI386" s="51">
        <f>AI89</f>
        <v>0</v>
      </c>
      <c r="AJ386" s="57">
        <f>AJ89</f>
        <v>0</v>
      </c>
      <c r="AK386" s="51">
        <f>AK89</f>
        <v>0</v>
      </c>
      <c r="AL386" s="57">
        <f>AL89</f>
        <v>0</v>
      </c>
      <c r="AM386" s="51">
        <f>AM89</f>
        <v>0</v>
      </c>
      <c r="AN386" s="57">
        <f>AN89</f>
        <v>0</v>
      </c>
      <c r="AO386" s="51">
        <f>AO89</f>
        <v>0</v>
      </c>
      <c r="AP386" s="57">
        <f>AP89</f>
        <v>0</v>
      </c>
      <c r="AQ386" s="51">
        <f>AQ89</f>
        <v>0</v>
      </c>
      <c r="AR386" s="57">
        <f>AR89</f>
        <v>0</v>
      </c>
      <c r="AS386" s="51">
        <f>AS89</f>
        <v>0</v>
      </c>
      <c r="AT386" s="57">
        <f>AT89</f>
        <v>0</v>
      </c>
      <c r="AU386" s="51">
        <f>AU89</f>
        <v>0</v>
      </c>
      <c r="AV386" s="57">
        <f>AV89</f>
        <v>0</v>
      </c>
      <c r="AW386" s="51">
        <f>AW89</f>
        <v>0</v>
      </c>
      <c r="AX386" s="57">
        <f>AX89</f>
        <v>0</v>
      </c>
      <c r="AY386" s="51">
        <f>AY89</f>
        <v>0</v>
      </c>
      <c r="AZ386" s="57">
        <f>AZ89</f>
        <v>0</v>
      </c>
      <c r="BA386" s="51">
        <f>BA89</f>
        <v>0</v>
      </c>
      <c r="BB386" s="57">
        <f>BB89</f>
        <v>0</v>
      </c>
      <c r="BC386" s="51">
        <f>BC89</f>
        <v>0</v>
      </c>
      <c r="BD386" s="57">
        <f>BD89</f>
        <v>0</v>
      </c>
      <c r="BE386" s="51">
        <f>BE89</f>
        <v>0</v>
      </c>
      <c r="BF386" s="57">
        <f>BF89</f>
        <v>0</v>
      </c>
      <c r="BG386" s="51">
        <f>BG89</f>
        <v>0</v>
      </c>
      <c r="BH386" s="57">
        <f>BH89</f>
        <v>0</v>
      </c>
      <c r="BI386" s="51">
        <f>BI89</f>
        <v>0</v>
      </c>
      <c r="BJ386" s="57">
        <f>BJ89</f>
        <v>0</v>
      </c>
      <c r="BK386" s="51">
        <f>BK89</f>
        <v>0</v>
      </c>
      <c r="BL386" s="57">
        <f>BL89</f>
        <v>0</v>
      </c>
      <c r="BM386" s="51">
        <f>BM89</f>
        <v>0</v>
      </c>
      <c r="BN386" s="102">
        <f t="shared" si="64"/>
        <v>0</v>
      </c>
      <c r="BO386" s="47">
        <f t="shared" si="65"/>
        <v>0</v>
      </c>
      <c r="BP386" s="631">
        <f>INDEX('2月'!$B$382:$BQ$406,MATCH('3月'!B386,'2月'!$B$382:$B$406,0),67)+BN386</f>
        <v>2</v>
      </c>
      <c r="BQ386" s="702">
        <f>INDEX('2月'!$B$382:$BQ$406,MATCH('3月'!B386,'2月'!$B$382:$B$406,0),68)+BO386</f>
        <v>4</v>
      </c>
    </row>
    <row r="387" spans="2:69" s="6" customFormat="1" ht="50.1" customHeight="1">
      <c r="B387" s="212" t="s">
        <v>82</v>
      </c>
      <c r="C387" s="146"/>
      <c r="D387" s="58">
        <f>D97</f>
        <v>0</v>
      </c>
      <c r="E387" s="51">
        <f>E97</f>
        <v>0</v>
      </c>
      <c r="F387" s="57">
        <f>F97</f>
        <v>0</v>
      </c>
      <c r="G387" s="51">
        <f>G97</f>
        <v>0</v>
      </c>
      <c r="H387" s="57">
        <f>H97</f>
        <v>0</v>
      </c>
      <c r="I387" s="51">
        <f>I97</f>
        <v>0</v>
      </c>
      <c r="J387" s="57">
        <f>J97</f>
        <v>0</v>
      </c>
      <c r="K387" s="51">
        <f>K97</f>
        <v>0</v>
      </c>
      <c r="L387" s="57">
        <f>L97</f>
        <v>0</v>
      </c>
      <c r="M387" s="51">
        <f>M97</f>
        <v>0</v>
      </c>
      <c r="N387" s="57">
        <f>N97</f>
        <v>0</v>
      </c>
      <c r="O387" s="51">
        <f>O97</f>
        <v>0</v>
      </c>
      <c r="P387" s="57">
        <f>P97</f>
        <v>0</v>
      </c>
      <c r="Q387" s="51">
        <f>Q97</f>
        <v>0</v>
      </c>
      <c r="R387" s="57">
        <f>R97</f>
        <v>0</v>
      </c>
      <c r="S387" s="51">
        <f>S97</f>
        <v>0</v>
      </c>
      <c r="T387" s="57">
        <f>T97</f>
        <v>0</v>
      </c>
      <c r="U387" s="51">
        <f>U97</f>
        <v>0</v>
      </c>
      <c r="V387" s="57">
        <f>V97</f>
        <v>0</v>
      </c>
      <c r="W387" s="51">
        <f>W97</f>
        <v>0</v>
      </c>
      <c r="X387" s="57">
        <f>X97</f>
        <v>0</v>
      </c>
      <c r="Y387" s="51">
        <f>Y97</f>
        <v>0</v>
      </c>
      <c r="Z387" s="57">
        <f>Z97</f>
        <v>0</v>
      </c>
      <c r="AA387" s="51">
        <f>AA97</f>
        <v>0</v>
      </c>
      <c r="AB387" s="57">
        <f>AB97</f>
        <v>0</v>
      </c>
      <c r="AC387" s="51">
        <f>AC97</f>
        <v>0</v>
      </c>
      <c r="AD387" s="57">
        <f>AD97</f>
        <v>0</v>
      </c>
      <c r="AE387" s="51">
        <f>AE97</f>
        <v>0</v>
      </c>
      <c r="AF387" s="57">
        <f>AF97</f>
        <v>0</v>
      </c>
      <c r="AG387" s="51">
        <f>AG97</f>
        <v>0</v>
      </c>
      <c r="AH387" s="58">
        <f>AH97</f>
        <v>0</v>
      </c>
      <c r="AI387" s="51">
        <f>AI97</f>
        <v>0</v>
      </c>
      <c r="AJ387" s="57">
        <f>AJ97</f>
        <v>0</v>
      </c>
      <c r="AK387" s="51">
        <f>AK97</f>
        <v>0</v>
      </c>
      <c r="AL387" s="57">
        <f>AL97</f>
        <v>0</v>
      </c>
      <c r="AM387" s="51">
        <f>AM97</f>
        <v>0</v>
      </c>
      <c r="AN387" s="57">
        <f>AN97</f>
        <v>0</v>
      </c>
      <c r="AO387" s="51">
        <f>AO97</f>
        <v>0</v>
      </c>
      <c r="AP387" s="57">
        <f>AP97</f>
        <v>0</v>
      </c>
      <c r="AQ387" s="51">
        <f>AQ97</f>
        <v>0</v>
      </c>
      <c r="AR387" s="57">
        <f>AR97</f>
        <v>0</v>
      </c>
      <c r="AS387" s="51">
        <f>AS97</f>
        <v>0</v>
      </c>
      <c r="AT387" s="57">
        <f>AT97</f>
        <v>0</v>
      </c>
      <c r="AU387" s="51">
        <f>AU97</f>
        <v>0</v>
      </c>
      <c r="AV387" s="57">
        <f>AV97</f>
        <v>0</v>
      </c>
      <c r="AW387" s="51">
        <f>AW97</f>
        <v>0</v>
      </c>
      <c r="AX387" s="57">
        <f>AX97</f>
        <v>0</v>
      </c>
      <c r="AY387" s="51">
        <f>AY97</f>
        <v>0</v>
      </c>
      <c r="AZ387" s="57">
        <f>AZ97</f>
        <v>0</v>
      </c>
      <c r="BA387" s="51">
        <f>BA97</f>
        <v>0</v>
      </c>
      <c r="BB387" s="57">
        <f>BB97</f>
        <v>0</v>
      </c>
      <c r="BC387" s="51">
        <f>BC97</f>
        <v>0</v>
      </c>
      <c r="BD387" s="57">
        <f>BD97</f>
        <v>0</v>
      </c>
      <c r="BE387" s="51">
        <f>BE97</f>
        <v>0</v>
      </c>
      <c r="BF387" s="57">
        <f>BF97</f>
        <v>0</v>
      </c>
      <c r="BG387" s="51">
        <f>BG97</f>
        <v>0</v>
      </c>
      <c r="BH387" s="57">
        <f>BH97</f>
        <v>0</v>
      </c>
      <c r="BI387" s="51">
        <f>BI97</f>
        <v>0</v>
      </c>
      <c r="BJ387" s="57">
        <f>BJ97</f>
        <v>0</v>
      </c>
      <c r="BK387" s="51">
        <f>BK97</f>
        <v>0</v>
      </c>
      <c r="BL387" s="57">
        <f>BL97</f>
        <v>0</v>
      </c>
      <c r="BM387" s="51">
        <f>BM97</f>
        <v>0</v>
      </c>
      <c r="BN387" s="102">
        <f t="shared" si="64"/>
        <v>0</v>
      </c>
      <c r="BO387" s="47">
        <f t="shared" si="65"/>
        <v>0</v>
      </c>
      <c r="BP387" s="631">
        <f>INDEX('2月'!$B$382:$BQ$406,MATCH('3月'!B387,'2月'!$B$382:$B$406,0),67)+BN387</f>
        <v>1</v>
      </c>
      <c r="BQ387" s="702">
        <f>INDEX('2月'!$B$382:$BQ$406,MATCH('3月'!B387,'2月'!$B$382:$B$406,0),68)+BO387</f>
        <v>1</v>
      </c>
    </row>
    <row r="388" spans="2:69" s="6" customFormat="1" ht="50.1" customHeight="1">
      <c r="B388" s="212" t="s">
        <v>83</v>
      </c>
      <c r="C388" s="146"/>
      <c r="D388" s="59">
        <f>D108</f>
        <v>0</v>
      </c>
      <c r="E388" s="51">
        <f>E108</f>
        <v>0</v>
      </c>
      <c r="F388" s="57">
        <f>F108</f>
        <v>0</v>
      </c>
      <c r="G388" s="51">
        <f>G108</f>
        <v>0</v>
      </c>
      <c r="H388" s="57">
        <f>H108</f>
        <v>0</v>
      </c>
      <c r="I388" s="51">
        <f>I108</f>
        <v>0</v>
      </c>
      <c r="J388" s="57">
        <f>J108</f>
        <v>0</v>
      </c>
      <c r="K388" s="51">
        <f>K108</f>
        <v>0</v>
      </c>
      <c r="L388" s="57">
        <f>L108</f>
        <v>0</v>
      </c>
      <c r="M388" s="51">
        <f>M108</f>
        <v>0</v>
      </c>
      <c r="N388" s="57">
        <f>N108</f>
        <v>0</v>
      </c>
      <c r="O388" s="51">
        <f>O108</f>
        <v>0</v>
      </c>
      <c r="P388" s="57">
        <f>P108</f>
        <v>0</v>
      </c>
      <c r="Q388" s="51">
        <f>Q108</f>
        <v>0</v>
      </c>
      <c r="R388" s="57">
        <f>R108</f>
        <v>0</v>
      </c>
      <c r="S388" s="51">
        <f>S108</f>
        <v>0</v>
      </c>
      <c r="T388" s="57">
        <f>T108</f>
        <v>0</v>
      </c>
      <c r="U388" s="51">
        <f>U108</f>
        <v>0</v>
      </c>
      <c r="V388" s="57">
        <f>V108</f>
        <v>0</v>
      </c>
      <c r="W388" s="51">
        <f>W108</f>
        <v>0</v>
      </c>
      <c r="X388" s="57">
        <f>X108</f>
        <v>0</v>
      </c>
      <c r="Y388" s="51">
        <f>Y108</f>
        <v>0</v>
      </c>
      <c r="Z388" s="57">
        <f>Z108</f>
        <v>0</v>
      </c>
      <c r="AA388" s="51">
        <f>AA108</f>
        <v>0</v>
      </c>
      <c r="AB388" s="57">
        <f>AB108</f>
        <v>0</v>
      </c>
      <c r="AC388" s="51">
        <f>AC108</f>
        <v>0</v>
      </c>
      <c r="AD388" s="57">
        <f>AD108</f>
        <v>0</v>
      </c>
      <c r="AE388" s="51">
        <f>AE108</f>
        <v>0</v>
      </c>
      <c r="AF388" s="57">
        <f>AF108</f>
        <v>0</v>
      </c>
      <c r="AG388" s="56">
        <f>AG108</f>
        <v>0</v>
      </c>
      <c r="AH388" s="58">
        <f>AH108</f>
        <v>0</v>
      </c>
      <c r="AI388" s="51">
        <f>AI108</f>
        <v>0</v>
      </c>
      <c r="AJ388" s="57">
        <f>AJ108</f>
        <v>0</v>
      </c>
      <c r="AK388" s="51">
        <f>AK108</f>
        <v>0</v>
      </c>
      <c r="AL388" s="57">
        <f>AL108</f>
        <v>0</v>
      </c>
      <c r="AM388" s="51">
        <f>AM108</f>
        <v>0</v>
      </c>
      <c r="AN388" s="57">
        <f>AN108</f>
        <v>0</v>
      </c>
      <c r="AO388" s="51">
        <f>AO108</f>
        <v>0</v>
      </c>
      <c r="AP388" s="57">
        <f>AP108</f>
        <v>0</v>
      </c>
      <c r="AQ388" s="51">
        <f>AQ108</f>
        <v>0</v>
      </c>
      <c r="AR388" s="57">
        <f>AR108</f>
        <v>0</v>
      </c>
      <c r="AS388" s="51">
        <f>AS108</f>
        <v>0</v>
      </c>
      <c r="AT388" s="57">
        <f>AT108</f>
        <v>0</v>
      </c>
      <c r="AU388" s="51">
        <f>AU108</f>
        <v>0</v>
      </c>
      <c r="AV388" s="57">
        <f>AV108</f>
        <v>0</v>
      </c>
      <c r="AW388" s="51">
        <f>AW108</f>
        <v>0</v>
      </c>
      <c r="AX388" s="57">
        <f>AX108</f>
        <v>0</v>
      </c>
      <c r="AY388" s="51">
        <f>AY108</f>
        <v>0</v>
      </c>
      <c r="AZ388" s="57">
        <f>AZ108</f>
        <v>0</v>
      </c>
      <c r="BA388" s="51">
        <f>BA108</f>
        <v>0</v>
      </c>
      <c r="BB388" s="57">
        <f>BB108</f>
        <v>0</v>
      </c>
      <c r="BC388" s="51">
        <f>BC108</f>
        <v>0</v>
      </c>
      <c r="BD388" s="57">
        <f>BD108</f>
        <v>0</v>
      </c>
      <c r="BE388" s="51">
        <f>BE108</f>
        <v>0</v>
      </c>
      <c r="BF388" s="57">
        <f>BF108</f>
        <v>0</v>
      </c>
      <c r="BG388" s="51">
        <f>BG108</f>
        <v>0</v>
      </c>
      <c r="BH388" s="57">
        <f>BH108</f>
        <v>0</v>
      </c>
      <c r="BI388" s="51">
        <f>BI108</f>
        <v>0</v>
      </c>
      <c r="BJ388" s="57">
        <f>BJ108</f>
        <v>0</v>
      </c>
      <c r="BK388" s="51">
        <f>BK108</f>
        <v>0</v>
      </c>
      <c r="BL388" s="57">
        <f>BL108</f>
        <v>0</v>
      </c>
      <c r="BM388" s="51">
        <f>BM108</f>
        <v>0</v>
      </c>
      <c r="BN388" s="102">
        <f t="shared" si="64"/>
        <v>0</v>
      </c>
      <c r="BO388" s="47">
        <f t="shared" si="65"/>
        <v>0</v>
      </c>
      <c r="BP388" s="631">
        <f>INDEX('2月'!$B$382:$BQ$406,MATCH('3月'!B388,'2月'!$B$382:$B$406,0),67)+BN388</f>
        <v>2</v>
      </c>
      <c r="BQ388" s="702">
        <f>INDEX('2月'!$B$382:$BQ$406,MATCH('3月'!B388,'2月'!$B$382:$B$406,0),68)+BO388</f>
        <v>2</v>
      </c>
    </row>
    <row r="389" spans="2:69" s="6" customFormat="1" ht="50.1" customHeight="1">
      <c r="B389" s="212" t="s">
        <v>84</v>
      </c>
      <c r="C389" s="146"/>
      <c r="D389" s="59">
        <f>D126</f>
        <v>0</v>
      </c>
      <c r="E389" s="51">
        <f>E126</f>
        <v>0</v>
      </c>
      <c r="F389" s="57">
        <f>F126</f>
        <v>0</v>
      </c>
      <c r="G389" s="51">
        <f>G126</f>
        <v>0</v>
      </c>
      <c r="H389" s="57">
        <f>H126</f>
        <v>0</v>
      </c>
      <c r="I389" s="51">
        <f>I126</f>
        <v>0</v>
      </c>
      <c r="J389" s="57">
        <f>J126</f>
        <v>0</v>
      </c>
      <c r="K389" s="51">
        <f>K126</f>
        <v>0</v>
      </c>
      <c r="L389" s="57">
        <f>L126</f>
        <v>0</v>
      </c>
      <c r="M389" s="51">
        <f>M126</f>
        <v>0</v>
      </c>
      <c r="N389" s="57">
        <f>N126</f>
        <v>0</v>
      </c>
      <c r="O389" s="51">
        <f>O126</f>
        <v>0</v>
      </c>
      <c r="P389" s="57">
        <f>P126</f>
        <v>0</v>
      </c>
      <c r="Q389" s="51">
        <f>Q126</f>
        <v>0</v>
      </c>
      <c r="R389" s="57">
        <f>R126</f>
        <v>0</v>
      </c>
      <c r="S389" s="51">
        <f>S126</f>
        <v>0</v>
      </c>
      <c r="T389" s="57">
        <f>T126</f>
        <v>0</v>
      </c>
      <c r="U389" s="51">
        <f>U126</f>
        <v>0</v>
      </c>
      <c r="V389" s="57">
        <f>V126</f>
        <v>0</v>
      </c>
      <c r="W389" s="51">
        <f>W126</f>
        <v>0</v>
      </c>
      <c r="X389" s="57">
        <f>X126</f>
        <v>0</v>
      </c>
      <c r="Y389" s="51">
        <f>Y126</f>
        <v>0</v>
      </c>
      <c r="Z389" s="57">
        <f>Z126</f>
        <v>0</v>
      </c>
      <c r="AA389" s="51">
        <f>AA126</f>
        <v>0</v>
      </c>
      <c r="AB389" s="57">
        <f>AB126</f>
        <v>0</v>
      </c>
      <c r="AC389" s="51">
        <f>AC126</f>
        <v>0</v>
      </c>
      <c r="AD389" s="57">
        <f>AD126</f>
        <v>0</v>
      </c>
      <c r="AE389" s="51">
        <f>AE126</f>
        <v>0</v>
      </c>
      <c r="AF389" s="57">
        <f>AF126</f>
        <v>0</v>
      </c>
      <c r="AG389" s="56">
        <f>AG126</f>
        <v>0</v>
      </c>
      <c r="AH389" s="59">
        <f>AH126</f>
        <v>0</v>
      </c>
      <c r="AI389" s="51">
        <f>AI126</f>
        <v>0</v>
      </c>
      <c r="AJ389" s="78">
        <f>AJ126</f>
        <v>0</v>
      </c>
      <c r="AK389" s="51">
        <f>AK126</f>
        <v>0</v>
      </c>
      <c r="AL389" s="78">
        <f>AL126</f>
        <v>0</v>
      </c>
      <c r="AM389" s="51">
        <f>AM126</f>
        <v>0</v>
      </c>
      <c r="AN389" s="78">
        <f>AN126</f>
        <v>0</v>
      </c>
      <c r="AO389" s="51">
        <f>AO126</f>
        <v>0</v>
      </c>
      <c r="AP389" s="78">
        <f>AP126</f>
        <v>0</v>
      </c>
      <c r="AQ389" s="51">
        <f>AQ126</f>
        <v>0</v>
      </c>
      <c r="AR389" s="78">
        <f>AR126</f>
        <v>0</v>
      </c>
      <c r="AS389" s="51">
        <f>AS126</f>
        <v>0</v>
      </c>
      <c r="AT389" s="78">
        <f>AT126</f>
        <v>0</v>
      </c>
      <c r="AU389" s="51">
        <f>AU126</f>
        <v>0</v>
      </c>
      <c r="AV389" s="78">
        <f>AV126</f>
        <v>0</v>
      </c>
      <c r="AW389" s="51">
        <f>AW126</f>
        <v>0</v>
      </c>
      <c r="AX389" s="78">
        <f>AX126</f>
        <v>0</v>
      </c>
      <c r="AY389" s="51">
        <f>AY126</f>
        <v>0</v>
      </c>
      <c r="AZ389" s="78">
        <f>AZ126</f>
        <v>0</v>
      </c>
      <c r="BA389" s="51">
        <f>BA126</f>
        <v>0</v>
      </c>
      <c r="BB389" s="78">
        <f>BB126</f>
        <v>0</v>
      </c>
      <c r="BC389" s="51">
        <f>BC126</f>
        <v>0</v>
      </c>
      <c r="BD389" s="78">
        <f>BD126</f>
        <v>0</v>
      </c>
      <c r="BE389" s="51">
        <f>BE126</f>
        <v>0</v>
      </c>
      <c r="BF389" s="78">
        <f>BF126</f>
        <v>0</v>
      </c>
      <c r="BG389" s="51">
        <f>BG126</f>
        <v>0</v>
      </c>
      <c r="BH389" s="78">
        <f>BH126</f>
        <v>0</v>
      </c>
      <c r="BI389" s="51">
        <f>BI126</f>
        <v>0</v>
      </c>
      <c r="BJ389" s="78">
        <f>BJ126</f>
        <v>0</v>
      </c>
      <c r="BK389" s="51">
        <f>BK126</f>
        <v>0</v>
      </c>
      <c r="BL389" s="78">
        <f>BL126</f>
        <v>0</v>
      </c>
      <c r="BM389" s="51">
        <f>BM126</f>
        <v>0</v>
      </c>
      <c r="BN389" s="102">
        <f t="shared" si="64"/>
        <v>0</v>
      </c>
      <c r="BO389" s="47">
        <f t="shared" si="65"/>
        <v>0</v>
      </c>
      <c r="BP389" s="631">
        <f>INDEX('2月'!$B$382:$BQ$406,MATCH('3月'!B389,'2月'!$B$382:$B$406,0),67)+BN389</f>
        <v>6</v>
      </c>
      <c r="BQ389" s="702">
        <f>INDEX('2月'!$B$382:$BQ$406,MATCH('3月'!B389,'2月'!$B$382:$B$406,0),68)+BO389</f>
        <v>8</v>
      </c>
    </row>
    <row r="390" spans="2:69" s="6" customFormat="1" ht="50.1" customHeight="1">
      <c r="B390" s="212" t="s">
        <v>85</v>
      </c>
      <c r="C390" s="146"/>
      <c r="D390" s="59">
        <f>D142</f>
        <v>0</v>
      </c>
      <c r="E390" s="51">
        <f>E142</f>
        <v>0</v>
      </c>
      <c r="F390" s="59">
        <f>F142</f>
        <v>0</v>
      </c>
      <c r="G390" s="51">
        <f>G142</f>
        <v>0</v>
      </c>
      <c r="H390" s="59">
        <f>H142</f>
        <v>0</v>
      </c>
      <c r="I390" s="51">
        <f>I142</f>
        <v>0</v>
      </c>
      <c r="J390" s="59">
        <f>J142</f>
        <v>0</v>
      </c>
      <c r="K390" s="51">
        <f>K142</f>
        <v>0</v>
      </c>
      <c r="L390" s="59">
        <f>L142</f>
        <v>0</v>
      </c>
      <c r="M390" s="51">
        <f>M142</f>
        <v>0</v>
      </c>
      <c r="N390" s="59">
        <f>N142</f>
        <v>0</v>
      </c>
      <c r="O390" s="51">
        <f>O142</f>
        <v>0</v>
      </c>
      <c r="P390" s="59">
        <f>P142</f>
        <v>0</v>
      </c>
      <c r="Q390" s="51">
        <f>Q142</f>
        <v>0</v>
      </c>
      <c r="R390" s="59">
        <f>R142</f>
        <v>0</v>
      </c>
      <c r="S390" s="51">
        <f>S142</f>
        <v>0</v>
      </c>
      <c r="T390" s="59">
        <f>T142</f>
        <v>0</v>
      </c>
      <c r="U390" s="51">
        <f>U142</f>
        <v>0</v>
      </c>
      <c r="V390" s="59">
        <f>V142</f>
        <v>0</v>
      </c>
      <c r="W390" s="51">
        <f>W142</f>
        <v>0</v>
      </c>
      <c r="X390" s="59">
        <f>X142</f>
        <v>0</v>
      </c>
      <c r="Y390" s="51">
        <f>Y142</f>
        <v>0</v>
      </c>
      <c r="Z390" s="59">
        <f>Z142</f>
        <v>0</v>
      </c>
      <c r="AA390" s="51">
        <f>AA142</f>
        <v>0</v>
      </c>
      <c r="AB390" s="59">
        <f>AB142</f>
        <v>0</v>
      </c>
      <c r="AC390" s="51">
        <f>AC142</f>
        <v>0</v>
      </c>
      <c r="AD390" s="59">
        <f>AD142</f>
        <v>0</v>
      </c>
      <c r="AE390" s="56">
        <f>AE142</f>
        <v>0</v>
      </c>
      <c r="AF390" s="57">
        <f>AF142</f>
        <v>0</v>
      </c>
      <c r="AG390" s="56">
        <f>AG142</f>
        <v>0</v>
      </c>
      <c r="AH390" s="59">
        <f>AH142</f>
        <v>0</v>
      </c>
      <c r="AI390" s="51">
        <f>AI142</f>
        <v>0</v>
      </c>
      <c r="AJ390" s="78">
        <f>AJ142</f>
        <v>0</v>
      </c>
      <c r="AK390" s="51">
        <f>AK142</f>
        <v>0</v>
      </c>
      <c r="AL390" s="78">
        <f>AL142</f>
        <v>0</v>
      </c>
      <c r="AM390" s="51">
        <f>AM142</f>
        <v>0</v>
      </c>
      <c r="AN390" s="78">
        <f>AN142</f>
        <v>0</v>
      </c>
      <c r="AO390" s="51">
        <f>AO142</f>
        <v>0</v>
      </c>
      <c r="AP390" s="78">
        <f>AP142</f>
        <v>0</v>
      </c>
      <c r="AQ390" s="51">
        <f>AQ142</f>
        <v>0</v>
      </c>
      <c r="AR390" s="78">
        <f>AR142</f>
        <v>0</v>
      </c>
      <c r="AS390" s="51">
        <f>AS142</f>
        <v>0</v>
      </c>
      <c r="AT390" s="78">
        <f>AT142</f>
        <v>0</v>
      </c>
      <c r="AU390" s="51">
        <f>AU142</f>
        <v>0</v>
      </c>
      <c r="AV390" s="78">
        <f>AV142</f>
        <v>0</v>
      </c>
      <c r="AW390" s="51">
        <f>AW142</f>
        <v>0</v>
      </c>
      <c r="AX390" s="78">
        <f>AX142</f>
        <v>0</v>
      </c>
      <c r="AY390" s="51">
        <f>AY142</f>
        <v>0</v>
      </c>
      <c r="AZ390" s="78">
        <f>AZ142</f>
        <v>0</v>
      </c>
      <c r="BA390" s="51">
        <f>BA142</f>
        <v>0</v>
      </c>
      <c r="BB390" s="78">
        <f>BB142</f>
        <v>0</v>
      </c>
      <c r="BC390" s="51">
        <f>BC142</f>
        <v>0</v>
      </c>
      <c r="BD390" s="78">
        <f>BD142</f>
        <v>0</v>
      </c>
      <c r="BE390" s="51">
        <f>BE142</f>
        <v>0</v>
      </c>
      <c r="BF390" s="78">
        <f>BF142</f>
        <v>0</v>
      </c>
      <c r="BG390" s="51">
        <f>BG142</f>
        <v>0</v>
      </c>
      <c r="BH390" s="78">
        <f>BH142</f>
        <v>0</v>
      </c>
      <c r="BI390" s="51">
        <f>BI142</f>
        <v>0</v>
      </c>
      <c r="BJ390" s="78">
        <f>BJ142</f>
        <v>0</v>
      </c>
      <c r="BK390" s="51">
        <f>BK142</f>
        <v>0</v>
      </c>
      <c r="BL390" s="78">
        <f>BL142</f>
        <v>0</v>
      </c>
      <c r="BM390" s="51">
        <f>BM142</f>
        <v>0</v>
      </c>
      <c r="BN390" s="102">
        <f t="shared" si="64"/>
        <v>0</v>
      </c>
      <c r="BO390" s="47">
        <f t="shared" si="65"/>
        <v>0</v>
      </c>
      <c r="BP390" s="631">
        <f>INDEX('2月'!$B$382:$BQ$406,MATCH('3月'!B390,'2月'!$B$382:$B$406,0),67)+BN390</f>
        <v>0</v>
      </c>
      <c r="BQ390" s="702">
        <f>INDEX('2月'!$B$382:$BQ$406,MATCH('3月'!B390,'2月'!$B$382:$B$406,0),68)+BO390</f>
        <v>0</v>
      </c>
    </row>
    <row r="391" spans="2:69" s="6" customFormat="1" ht="50.1" customHeight="1">
      <c r="B391" s="212" t="s">
        <v>87</v>
      </c>
      <c r="C391" s="146"/>
      <c r="D391" s="59">
        <f>D160</f>
        <v>0</v>
      </c>
      <c r="E391" s="51">
        <f>E160</f>
        <v>0</v>
      </c>
      <c r="F391" s="57">
        <f>F160</f>
        <v>0</v>
      </c>
      <c r="G391" s="51">
        <f>G160</f>
        <v>0</v>
      </c>
      <c r="H391" s="57">
        <f>H160</f>
        <v>0</v>
      </c>
      <c r="I391" s="51">
        <f>I160</f>
        <v>0</v>
      </c>
      <c r="J391" s="57">
        <f>J160</f>
        <v>0</v>
      </c>
      <c r="K391" s="51">
        <f>K160</f>
        <v>0</v>
      </c>
      <c r="L391" s="57">
        <f>L160</f>
        <v>0</v>
      </c>
      <c r="M391" s="51">
        <f>M160</f>
        <v>0</v>
      </c>
      <c r="N391" s="57">
        <f>N160</f>
        <v>0</v>
      </c>
      <c r="O391" s="51">
        <f>O160</f>
        <v>0</v>
      </c>
      <c r="P391" s="57">
        <f>P160</f>
        <v>0</v>
      </c>
      <c r="Q391" s="51">
        <f>Q160</f>
        <v>0</v>
      </c>
      <c r="R391" s="57">
        <f>R160</f>
        <v>0</v>
      </c>
      <c r="S391" s="51">
        <f>S160</f>
        <v>0</v>
      </c>
      <c r="T391" s="57">
        <f>T160</f>
        <v>0</v>
      </c>
      <c r="U391" s="51">
        <f>U160</f>
        <v>0</v>
      </c>
      <c r="V391" s="57">
        <f>V160</f>
        <v>0</v>
      </c>
      <c r="W391" s="51">
        <f>W160</f>
        <v>0</v>
      </c>
      <c r="X391" s="57">
        <f>X160</f>
        <v>0</v>
      </c>
      <c r="Y391" s="51">
        <f>Y160</f>
        <v>0</v>
      </c>
      <c r="Z391" s="57">
        <f>Z160</f>
        <v>0</v>
      </c>
      <c r="AA391" s="51">
        <f>AA160</f>
        <v>0</v>
      </c>
      <c r="AB391" s="57">
        <f>AB160</f>
        <v>0</v>
      </c>
      <c r="AC391" s="51">
        <f>AC160</f>
        <v>0</v>
      </c>
      <c r="AD391" s="57">
        <f>AD160</f>
        <v>0</v>
      </c>
      <c r="AE391" s="51">
        <f>AE160</f>
        <v>0</v>
      </c>
      <c r="AF391" s="57">
        <f>AF160</f>
        <v>0</v>
      </c>
      <c r="AG391" s="56">
        <f>AG160</f>
        <v>0</v>
      </c>
      <c r="AH391" s="59">
        <f>AH160</f>
        <v>0</v>
      </c>
      <c r="AI391" s="51">
        <f>AI160</f>
        <v>0</v>
      </c>
      <c r="AJ391" s="59">
        <f>AJ160</f>
        <v>0</v>
      </c>
      <c r="AK391" s="51">
        <f>AK160</f>
        <v>0</v>
      </c>
      <c r="AL391" s="59">
        <f>AL160</f>
        <v>0</v>
      </c>
      <c r="AM391" s="51">
        <f>AM160</f>
        <v>0</v>
      </c>
      <c r="AN391" s="59">
        <f>AN160</f>
        <v>0</v>
      </c>
      <c r="AO391" s="51">
        <f>AO160</f>
        <v>0</v>
      </c>
      <c r="AP391" s="59">
        <f>AP160</f>
        <v>0</v>
      </c>
      <c r="AQ391" s="51">
        <f>AQ160</f>
        <v>0</v>
      </c>
      <c r="AR391" s="59">
        <f>AR160</f>
        <v>0</v>
      </c>
      <c r="AS391" s="51">
        <f>AS160</f>
        <v>0</v>
      </c>
      <c r="AT391" s="59">
        <f>AT160</f>
        <v>0</v>
      </c>
      <c r="AU391" s="51">
        <f>AU160</f>
        <v>0</v>
      </c>
      <c r="AV391" s="59">
        <f>AV160</f>
        <v>0</v>
      </c>
      <c r="AW391" s="51">
        <f>AW160</f>
        <v>0</v>
      </c>
      <c r="AX391" s="59">
        <f>AX160</f>
        <v>0</v>
      </c>
      <c r="AY391" s="51">
        <f>AY160</f>
        <v>0</v>
      </c>
      <c r="AZ391" s="59">
        <f>AZ160</f>
        <v>0</v>
      </c>
      <c r="BA391" s="51">
        <f>BA160</f>
        <v>0</v>
      </c>
      <c r="BB391" s="59">
        <f>BB160</f>
        <v>0</v>
      </c>
      <c r="BC391" s="51">
        <f>BC160</f>
        <v>0</v>
      </c>
      <c r="BD391" s="59">
        <f>BD160</f>
        <v>0</v>
      </c>
      <c r="BE391" s="51">
        <f>BE160</f>
        <v>0</v>
      </c>
      <c r="BF391" s="59">
        <f>BF160</f>
        <v>0</v>
      </c>
      <c r="BG391" s="51">
        <f>BG160</f>
        <v>0</v>
      </c>
      <c r="BH391" s="59">
        <f>BH160</f>
        <v>0</v>
      </c>
      <c r="BI391" s="51">
        <f>BI160</f>
        <v>0</v>
      </c>
      <c r="BJ391" s="78">
        <f>BJ160</f>
        <v>0</v>
      </c>
      <c r="BK391" s="51">
        <f>BK160</f>
        <v>0</v>
      </c>
      <c r="BL391" s="59">
        <f>BL160</f>
        <v>0</v>
      </c>
      <c r="BM391" s="51">
        <f>BM160</f>
        <v>0</v>
      </c>
      <c r="BN391" s="102">
        <f t="shared" si="64"/>
        <v>0</v>
      </c>
      <c r="BO391" s="47">
        <f t="shared" si="65"/>
        <v>0</v>
      </c>
      <c r="BP391" s="631">
        <f>INDEX('2月'!$B$382:$BQ$406,MATCH('3月'!B391,'2月'!$B$382:$B$406,0),67)+BN391</f>
        <v>3</v>
      </c>
      <c r="BQ391" s="702">
        <f>INDEX('2月'!$B$382:$BQ$406,MATCH('3月'!B391,'2月'!$B$382:$B$406,0),68)+BO391</f>
        <v>5</v>
      </c>
    </row>
    <row r="392" spans="2:69" s="6" customFormat="1" ht="50.1" customHeight="1">
      <c r="B392" s="212" t="s">
        <v>215</v>
      </c>
      <c r="C392" s="146"/>
      <c r="D392" s="59">
        <f>D196</f>
        <v>0</v>
      </c>
      <c r="E392" s="51">
        <f>E196</f>
        <v>0</v>
      </c>
      <c r="F392" s="57">
        <f>F196</f>
        <v>0</v>
      </c>
      <c r="G392" s="51">
        <f>G196</f>
        <v>0</v>
      </c>
      <c r="H392" s="57">
        <f>H196</f>
        <v>0</v>
      </c>
      <c r="I392" s="51">
        <f>I196</f>
        <v>0</v>
      </c>
      <c r="J392" s="57">
        <f>J196</f>
        <v>0</v>
      </c>
      <c r="K392" s="51">
        <f>K196</f>
        <v>0</v>
      </c>
      <c r="L392" s="57">
        <f>L196</f>
        <v>0</v>
      </c>
      <c r="M392" s="51">
        <f>M196</f>
        <v>0</v>
      </c>
      <c r="N392" s="57">
        <f>N196</f>
        <v>0</v>
      </c>
      <c r="O392" s="51">
        <f>O196</f>
        <v>0</v>
      </c>
      <c r="P392" s="57">
        <f>P196</f>
        <v>0</v>
      </c>
      <c r="Q392" s="51">
        <f>Q196</f>
        <v>0</v>
      </c>
      <c r="R392" s="57">
        <f>R196</f>
        <v>0</v>
      </c>
      <c r="S392" s="51">
        <f>S196</f>
        <v>0</v>
      </c>
      <c r="T392" s="57">
        <f>T196</f>
        <v>0</v>
      </c>
      <c r="U392" s="51">
        <f>U196</f>
        <v>0</v>
      </c>
      <c r="V392" s="57">
        <f>V196</f>
        <v>0</v>
      </c>
      <c r="W392" s="51">
        <f>W196</f>
        <v>0</v>
      </c>
      <c r="X392" s="57">
        <f>X196</f>
        <v>0</v>
      </c>
      <c r="Y392" s="51">
        <f>Y196</f>
        <v>0</v>
      </c>
      <c r="Z392" s="57">
        <f>Z196</f>
        <v>0</v>
      </c>
      <c r="AA392" s="51">
        <f>AA196</f>
        <v>0</v>
      </c>
      <c r="AB392" s="57">
        <f>AB196</f>
        <v>0</v>
      </c>
      <c r="AC392" s="51">
        <f>AC196</f>
        <v>0</v>
      </c>
      <c r="AD392" s="57">
        <f>AD196</f>
        <v>0</v>
      </c>
      <c r="AE392" s="51">
        <f>AE196</f>
        <v>0</v>
      </c>
      <c r="AF392" s="57">
        <f>AF196</f>
        <v>0</v>
      </c>
      <c r="AG392" s="56">
        <f>AG196</f>
        <v>0</v>
      </c>
      <c r="AH392" s="59">
        <f>AH196</f>
        <v>0</v>
      </c>
      <c r="AI392" s="59">
        <f>AI196</f>
        <v>0</v>
      </c>
      <c r="AJ392" s="57">
        <f>AJ196</f>
        <v>0</v>
      </c>
      <c r="AK392" s="51">
        <f>AK196</f>
        <v>0</v>
      </c>
      <c r="AL392" s="57">
        <f>AL196</f>
        <v>0</v>
      </c>
      <c r="AM392" s="51">
        <f>AM196</f>
        <v>0</v>
      </c>
      <c r="AN392" s="57">
        <f>AN196</f>
        <v>0</v>
      </c>
      <c r="AO392" s="51">
        <f>AO196</f>
        <v>0</v>
      </c>
      <c r="AP392" s="57">
        <f>AP196</f>
        <v>0</v>
      </c>
      <c r="AQ392" s="51">
        <f>AQ196</f>
        <v>0</v>
      </c>
      <c r="AR392" s="57">
        <f>AR196</f>
        <v>0</v>
      </c>
      <c r="AS392" s="51">
        <f>AS196</f>
        <v>0</v>
      </c>
      <c r="AT392" s="57">
        <f>AT196</f>
        <v>0</v>
      </c>
      <c r="AU392" s="51">
        <f>AU196</f>
        <v>0</v>
      </c>
      <c r="AV392" s="57">
        <f>AV196</f>
        <v>0</v>
      </c>
      <c r="AW392" s="51">
        <f>AW196</f>
        <v>0</v>
      </c>
      <c r="AX392" s="57">
        <f>AX196</f>
        <v>0</v>
      </c>
      <c r="AY392" s="51">
        <f>AY196</f>
        <v>0</v>
      </c>
      <c r="AZ392" s="57">
        <f>AZ196</f>
        <v>0</v>
      </c>
      <c r="BA392" s="51">
        <f>BA196</f>
        <v>0</v>
      </c>
      <c r="BB392" s="57">
        <f>BB196</f>
        <v>0</v>
      </c>
      <c r="BC392" s="51">
        <f>BC196</f>
        <v>0</v>
      </c>
      <c r="BD392" s="57">
        <f>BD196</f>
        <v>0</v>
      </c>
      <c r="BE392" s="51">
        <f>BE196</f>
        <v>0</v>
      </c>
      <c r="BF392" s="57">
        <f>BF196</f>
        <v>0</v>
      </c>
      <c r="BG392" s="51">
        <f>BG196</f>
        <v>0</v>
      </c>
      <c r="BH392" s="57">
        <f>BH196</f>
        <v>0</v>
      </c>
      <c r="BI392" s="51">
        <f>BI196</f>
        <v>0</v>
      </c>
      <c r="BJ392" s="78">
        <f>BJ196</f>
        <v>0</v>
      </c>
      <c r="BK392" s="51">
        <f>BK196</f>
        <v>0</v>
      </c>
      <c r="BL392" s="57">
        <f>BL196</f>
        <v>0</v>
      </c>
      <c r="BM392" s="51">
        <f>BM196</f>
        <v>0</v>
      </c>
      <c r="BN392" s="102">
        <f t="shared" si="64"/>
        <v>0</v>
      </c>
      <c r="BO392" s="47">
        <f t="shared" si="65"/>
        <v>0</v>
      </c>
      <c r="BP392" s="631">
        <f>INDEX('2月'!$B$382:$BQ$406,MATCH('3月'!B392,'2月'!$B$382:$B$406,0),67)+BN392</f>
        <v>2</v>
      </c>
      <c r="BQ392" s="702">
        <f>INDEX('2月'!$B$382:$BQ$406,MATCH('3月'!B392,'2月'!$B$382:$B$406,0),68)+BO392</f>
        <v>2</v>
      </c>
    </row>
    <row r="393" spans="2:69" s="6" customFormat="1" ht="50.1" customHeight="1">
      <c r="B393" s="213" t="s">
        <v>214</v>
      </c>
      <c r="C393" s="147"/>
      <c r="D393" s="59">
        <f>D221</f>
        <v>0</v>
      </c>
      <c r="E393" s="51">
        <f>E221</f>
        <v>0</v>
      </c>
      <c r="F393" s="78">
        <f>F221</f>
        <v>0</v>
      </c>
      <c r="G393" s="51">
        <f>G221</f>
        <v>0</v>
      </c>
      <c r="H393" s="78">
        <f>H221</f>
        <v>0</v>
      </c>
      <c r="I393" s="51">
        <f>I221</f>
        <v>0</v>
      </c>
      <c r="J393" s="78">
        <f>J221</f>
        <v>0</v>
      </c>
      <c r="K393" s="51">
        <f>K221</f>
        <v>0</v>
      </c>
      <c r="L393" s="78">
        <f>L221</f>
        <v>0</v>
      </c>
      <c r="M393" s="51">
        <f>M221</f>
        <v>0</v>
      </c>
      <c r="N393" s="78">
        <f>N221</f>
        <v>0</v>
      </c>
      <c r="O393" s="51">
        <f>O221</f>
        <v>0</v>
      </c>
      <c r="P393" s="78">
        <f>P221</f>
        <v>0</v>
      </c>
      <c r="Q393" s="51">
        <f>Q221</f>
        <v>0</v>
      </c>
      <c r="R393" s="78">
        <f>R221</f>
        <v>0</v>
      </c>
      <c r="S393" s="51">
        <f>S221</f>
        <v>0</v>
      </c>
      <c r="T393" s="78">
        <f>T221</f>
        <v>0</v>
      </c>
      <c r="U393" s="51">
        <f>U221</f>
        <v>0</v>
      </c>
      <c r="V393" s="78">
        <f>V221</f>
        <v>0</v>
      </c>
      <c r="W393" s="51">
        <f>W221</f>
        <v>0</v>
      </c>
      <c r="X393" s="78">
        <f>X221</f>
        <v>0</v>
      </c>
      <c r="Y393" s="51">
        <f>Y221</f>
        <v>0</v>
      </c>
      <c r="Z393" s="78">
        <f>Z221</f>
        <v>0</v>
      </c>
      <c r="AA393" s="51">
        <f>AA221</f>
        <v>0</v>
      </c>
      <c r="AB393" s="78">
        <f>AB221</f>
        <v>0</v>
      </c>
      <c r="AC393" s="51">
        <f>AC221</f>
        <v>0</v>
      </c>
      <c r="AD393" s="78">
        <f>AD221</f>
        <v>0</v>
      </c>
      <c r="AE393" s="51">
        <f>AE221</f>
        <v>0</v>
      </c>
      <c r="AF393" s="57">
        <f>AF221</f>
        <v>0</v>
      </c>
      <c r="AG393" s="56">
        <f>AG221</f>
        <v>0</v>
      </c>
      <c r="AH393" s="59">
        <f>AH221</f>
        <v>0</v>
      </c>
      <c r="AI393" s="51">
        <f>AI221</f>
        <v>0</v>
      </c>
      <c r="AJ393" s="57">
        <f>AJ221</f>
        <v>0</v>
      </c>
      <c r="AK393" s="51">
        <f>AK221</f>
        <v>0</v>
      </c>
      <c r="AL393" s="57">
        <f>AL221</f>
        <v>0</v>
      </c>
      <c r="AM393" s="51">
        <f>AM221</f>
        <v>0</v>
      </c>
      <c r="AN393" s="57">
        <f>AN221</f>
        <v>0</v>
      </c>
      <c r="AO393" s="51">
        <f>AO221</f>
        <v>0</v>
      </c>
      <c r="AP393" s="57">
        <f>AP221</f>
        <v>0</v>
      </c>
      <c r="AQ393" s="51">
        <f>AQ221</f>
        <v>0</v>
      </c>
      <c r="AR393" s="57">
        <f>AR221</f>
        <v>0</v>
      </c>
      <c r="AS393" s="51">
        <f>AS221</f>
        <v>0</v>
      </c>
      <c r="AT393" s="57">
        <f>AT221</f>
        <v>0</v>
      </c>
      <c r="AU393" s="51">
        <f>AU221</f>
        <v>0</v>
      </c>
      <c r="AV393" s="57">
        <f>AV221</f>
        <v>0</v>
      </c>
      <c r="AW393" s="51">
        <f>AW221</f>
        <v>0</v>
      </c>
      <c r="AX393" s="57">
        <f>AX221</f>
        <v>0</v>
      </c>
      <c r="AY393" s="51">
        <f>AY221</f>
        <v>0</v>
      </c>
      <c r="AZ393" s="57">
        <f>AZ221</f>
        <v>0</v>
      </c>
      <c r="BA393" s="51">
        <f>BA221</f>
        <v>0</v>
      </c>
      <c r="BB393" s="57">
        <f>BB221</f>
        <v>0</v>
      </c>
      <c r="BC393" s="51">
        <f>BC221</f>
        <v>0</v>
      </c>
      <c r="BD393" s="57">
        <f>BD221</f>
        <v>0</v>
      </c>
      <c r="BE393" s="51">
        <f>BE221</f>
        <v>0</v>
      </c>
      <c r="BF393" s="57">
        <f>BF221</f>
        <v>0</v>
      </c>
      <c r="BG393" s="51">
        <f>BG221</f>
        <v>0</v>
      </c>
      <c r="BH393" s="57">
        <f>BH221</f>
        <v>0</v>
      </c>
      <c r="BI393" s="51">
        <f>BI221</f>
        <v>0</v>
      </c>
      <c r="BJ393" s="57">
        <f>BJ221</f>
        <v>0</v>
      </c>
      <c r="BK393" s="51">
        <f>BK221</f>
        <v>0</v>
      </c>
      <c r="BL393" s="57">
        <f>BL221</f>
        <v>0</v>
      </c>
      <c r="BM393" s="51">
        <f>BM221</f>
        <v>0</v>
      </c>
      <c r="BN393" s="102">
        <f t="shared" si="64"/>
        <v>0</v>
      </c>
      <c r="BO393" s="47">
        <f t="shared" si="65"/>
        <v>0</v>
      </c>
      <c r="BP393" s="631">
        <f>INDEX('2月'!$B$382:$BQ$406,MATCH('3月'!B393,'2月'!$B$382:$B$406,0),67)+BN393</f>
        <v>3</v>
      </c>
      <c r="BQ393" s="702">
        <f>INDEX('2月'!$B$382:$BQ$406,MATCH('3月'!B393,'2月'!$B$382:$B$406,0),68)+BO393</f>
        <v>3</v>
      </c>
    </row>
    <row r="394" spans="2:69" s="6" customFormat="1" ht="50.1" customHeight="1" thickBot="1">
      <c r="B394" s="213" t="s">
        <v>89</v>
      </c>
      <c r="C394" s="147"/>
      <c r="D394" s="60">
        <f>D246</f>
        <v>0</v>
      </c>
      <c r="E394" s="61">
        <f>E246</f>
        <v>0</v>
      </c>
      <c r="F394" s="63">
        <f>F246</f>
        <v>0</v>
      </c>
      <c r="G394" s="64">
        <f>G246</f>
        <v>0</v>
      </c>
      <c r="H394" s="63">
        <f>H246</f>
        <v>0</v>
      </c>
      <c r="I394" s="64">
        <f>I246</f>
        <v>0</v>
      </c>
      <c r="J394" s="63">
        <f>J246</f>
        <v>0</v>
      </c>
      <c r="K394" s="64">
        <f>K246</f>
        <v>0</v>
      </c>
      <c r="L394" s="63">
        <f>L246</f>
        <v>0</v>
      </c>
      <c r="M394" s="64">
        <f>M246</f>
        <v>0</v>
      </c>
      <c r="N394" s="63">
        <f>N246</f>
        <v>0</v>
      </c>
      <c r="O394" s="64">
        <f>O246</f>
        <v>0</v>
      </c>
      <c r="P394" s="63">
        <f>P246</f>
        <v>0</v>
      </c>
      <c r="Q394" s="64">
        <f>Q246</f>
        <v>0</v>
      </c>
      <c r="R394" s="63">
        <f>R246</f>
        <v>0</v>
      </c>
      <c r="S394" s="64">
        <f>S246</f>
        <v>0</v>
      </c>
      <c r="T394" s="63">
        <f>T246</f>
        <v>0</v>
      </c>
      <c r="U394" s="64">
        <f>U246</f>
        <v>0</v>
      </c>
      <c r="V394" s="63">
        <f>V246</f>
        <v>0</v>
      </c>
      <c r="W394" s="64">
        <f>W246</f>
        <v>0</v>
      </c>
      <c r="X394" s="63">
        <f>X246</f>
        <v>0</v>
      </c>
      <c r="Y394" s="64">
        <f>Y246</f>
        <v>0</v>
      </c>
      <c r="Z394" s="63">
        <f>Z246</f>
        <v>0</v>
      </c>
      <c r="AA394" s="64">
        <f>AA246</f>
        <v>0</v>
      </c>
      <c r="AB394" s="63">
        <f>AB246</f>
        <v>0</v>
      </c>
      <c r="AC394" s="64">
        <f>AC246</f>
        <v>0</v>
      </c>
      <c r="AD394" s="63">
        <f>AD246</f>
        <v>0</v>
      </c>
      <c r="AE394" s="64">
        <f>AE246</f>
        <v>0</v>
      </c>
      <c r="AF394" s="63">
        <f>AF246</f>
        <v>0</v>
      </c>
      <c r="AG394" s="65">
        <f>AG246</f>
        <v>0</v>
      </c>
      <c r="AH394" s="60">
        <f>AH246</f>
        <v>0</v>
      </c>
      <c r="AI394" s="61">
        <f>AI246</f>
        <v>0</v>
      </c>
      <c r="AJ394" s="63">
        <f>AJ246</f>
        <v>0</v>
      </c>
      <c r="AK394" s="64">
        <f>AK246</f>
        <v>0</v>
      </c>
      <c r="AL394" s="63">
        <f>AL246</f>
        <v>0</v>
      </c>
      <c r="AM394" s="64">
        <f>AM246</f>
        <v>0</v>
      </c>
      <c r="AN394" s="63">
        <f>AN246</f>
        <v>0</v>
      </c>
      <c r="AO394" s="64">
        <f>AO246</f>
        <v>0</v>
      </c>
      <c r="AP394" s="63">
        <f>AP246</f>
        <v>0</v>
      </c>
      <c r="AQ394" s="64">
        <f>AQ246</f>
        <v>0</v>
      </c>
      <c r="AR394" s="63">
        <f>AR246</f>
        <v>0</v>
      </c>
      <c r="AS394" s="64">
        <f>AS246</f>
        <v>0</v>
      </c>
      <c r="AT394" s="63">
        <f>AT246</f>
        <v>0</v>
      </c>
      <c r="AU394" s="64">
        <f>AU246</f>
        <v>0</v>
      </c>
      <c r="AV394" s="63">
        <f>AV246</f>
        <v>0</v>
      </c>
      <c r="AW394" s="64">
        <f>AW246</f>
        <v>0</v>
      </c>
      <c r="AX394" s="63">
        <f>AX246</f>
        <v>0</v>
      </c>
      <c r="AY394" s="64">
        <f>AY246</f>
        <v>0</v>
      </c>
      <c r="AZ394" s="63">
        <f>AZ246</f>
        <v>0</v>
      </c>
      <c r="BA394" s="64">
        <f>BA246</f>
        <v>0</v>
      </c>
      <c r="BB394" s="63">
        <f>BB246</f>
        <v>0</v>
      </c>
      <c r="BC394" s="64">
        <f>BC246</f>
        <v>0</v>
      </c>
      <c r="BD394" s="63">
        <f>BD246</f>
        <v>0</v>
      </c>
      <c r="BE394" s="64">
        <f>BE246</f>
        <v>0</v>
      </c>
      <c r="BF394" s="63">
        <f>BF246</f>
        <v>0</v>
      </c>
      <c r="BG394" s="64">
        <f>BG246</f>
        <v>0</v>
      </c>
      <c r="BH394" s="63">
        <f>BH246</f>
        <v>0</v>
      </c>
      <c r="BI394" s="64">
        <f>BI246</f>
        <v>0</v>
      </c>
      <c r="BJ394" s="63">
        <f>BJ246</f>
        <v>0</v>
      </c>
      <c r="BK394" s="65">
        <f>BK246</f>
        <v>0</v>
      </c>
      <c r="BL394" s="63">
        <f>BL246</f>
        <v>0</v>
      </c>
      <c r="BM394" s="65">
        <f>BM246</f>
        <v>0</v>
      </c>
      <c r="BN394" s="102">
        <f t="shared" si="64"/>
        <v>0</v>
      </c>
      <c r="BO394" s="47">
        <f t="shared" si="65"/>
        <v>0</v>
      </c>
      <c r="BP394" s="631">
        <f>INDEX('2月'!$B$382:$BQ$406,MATCH('3月'!B394,'2月'!$B$382:$B$406,0),67)+BN394</f>
        <v>14</v>
      </c>
      <c r="BQ394" s="702">
        <f>INDEX('2月'!$B$382:$BQ$406,MATCH('3月'!B394,'2月'!$B$382:$B$406,0),68)+BO394</f>
        <v>17</v>
      </c>
    </row>
    <row r="395" spans="2:69" s="6" customFormat="1" ht="50.1" customHeight="1" thickBot="1">
      <c r="B395" s="214" t="s">
        <v>202</v>
      </c>
      <c r="C395" s="149"/>
      <c r="D395" s="29">
        <f t="shared" ref="D395:BM395" si="66">SUM(D382:D394)</f>
        <v>0</v>
      </c>
      <c r="E395" s="31">
        <f t="shared" si="66"/>
        <v>0</v>
      </c>
      <c r="F395" s="29">
        <f t="shared" si="66"/>
        <v>0</v>
      </c>
      <c r="G395" s="31">
        <f t="shared" si="66"/>
        <v>0</v>
      </c>
      <c r="H395" s="29">
        <f t="shared" si="66"/>
        <v>0</v>
      </c>
      <c r="I395" s="31">
        <f t="shared" si="66"/>
        <v>0</v>
      </c>
      <c r="J395" s="29">
        <f t="shared" si="66"/>
        <v>0</v>
      </c>
      <c r="K395" s="31">
        <f t="shared" si="66"/>
        <v>0</v>
      </c>
      <c r="L395" s="29">
        <f t="shared" si="66"/>
        <v>0</v>
      </c>
      <c r="M395" s="31">
        <f t="shared" si="66"/>
        <v>0</v>
      </c>
      <c r="N395" s="29">
        <f t="shared" si="66"/>
        <v>0</v>
      </c>
      <c r="O395" s="31">
        <f t="shared" si="66"/>
        <v>0</v>
      </c>
      <c r="P395" s="29">
        <f t="shared" si="66"/>
        <v>0</v>
      </c>
      <c r="Q395" s="31">
        <f t="shared" si="66"/>
        <v>0</v>
      </c>
      <c r="R395" s="29">
        <f t="shared" si="66"/>
        <v>0</v>
      </c>
      <c r="S395" s="31">
        <f t="shared" si="66"/>
        <v>0</v>
      </c>
      <c r="T395" s="29">
        <f t="shared" si="66"/>
        <v>0</v>
      </c>
      <c r="U395" s="31">
        <f t="shared" si="66"/>
        <v>0</v>
      </c>
      <c r="V395" s="29">
        <f t="shared" si="66"/>
        <v>0</v>
      </c>
      <c r="W395" s="31">
        <f t="shared" si="66"/>
        <v>0</v>
      </c>
      <c r="X395" s="29">
        <f t="shared" si="66"/>
        <v>0</v>
      </c>
      <c r="Y395" s="31">
        <f t="shared" si="66"/>
        <v>0</v>
      </c>
      <c r="Z395" s="29">
        <f t="shared" si="66"/>
        <v>0</v>
      </c>
      <c r="AA395" s="31">
        <f t="shared" si="66"/>
        <v>0</v>
      </c>
      <c r="AB395" s="29">
        <f t="shared" si="66"/>
        <v>0</v>
      </c>
      <c r="AC395" s="31">
        <f t="shared" si="66"/>
        <v>0</v>
      </c>
      <c r="AD395" s="29">
        <f t="shared" si="66"/>
        <v>0</v>
      </c>
      <c r="AE395" s="31">
        <f t="shared" si="66"/>
        <v>0</v>
      </c>
      <c r="AF395" s="39">
        <f t="shared" si="66"/>
        <v>0</v>
      </c>
      <c r="AG395" s="31">
        <f t="shared" si="66"/>
        <v>0</v>
      </c>
      <c r="AH395" s="29">
        <f t="shared" si="66"/>
        <v>0</v>
      </c>
      <c r="AI395" s="31">
        <f t="shared" si="66"/>
        <v>0</v>
      </c>
      <c r="AJ395" s="29">
        <f>SUM(AJ382:AJ394)</f>
        <v>0</v>
      </c>
      <c r="AK395" s="31">
        <f>SUM(AK382:AK394)</f>
        <v>0</v>
      </c>
      <c r="AL395" s="29">
        <f>SUM(AL382:AL394)</f>
        <v>0</v>
      </c>
      <c r="AM395" s="31">
        <f t="shared" si="66"/>
        <v>0</v>
      </c>
      <c r="AN395" s="29">
        <f t="shared" si="66"/>
        <v>0</v>
      </c>
      <c r="AO395" s="31">
        <f t="shared" si="66"/>
        <v>0</v>
      </c>
      <c r="AP395" s="29">
        <f t="shared" si="66"/>
        <v>0</v>
      </c>
      <c r="AQ395" s="31">
        <f t="shared" si="66"/>
        <v>0</v>
      </c>
      <c r="AR395" s="29">
        <f t="shared" si="66"/>
        <v>0</v>
      </c>
      <c r="AS395" s="31">
        <f t="shared" si="66"/>
        <v>0</v>
      </c>
      <c r="AT395" s="29">
        <f t="shared" si="66"/>
        <v>0</v>
      </c>
      <c r="AU395" s="31">
        <f t="shared" si="66"/>
        <v>0</v>
      </c>
      <c r="AV395" s="29">
        <f t="shared" si="66"/>
        <v>0</v>
      </c>
      <c r="AW395" s="31">
        <f t="shared" si="66"/>
        <v>0</v>
      </c>
      <c r="AX395" s="29">
        <f t="shared" si="66"/>
        <v>0</v>
      </c>
      <c r="AY395" s="31">
        <f t="shared" si="66"/>
        <v>0</v>
      </c>
      <c r="AZ395" s="29">
        <f t="shared" si="66"/>
        <v>0</v>
      </c>
      <c r="BA395" s="31">
        <f t="shared" si="66"/>
        <v>0</v>
      </c>
      <c r="BB395" s="29">
        <f t="shared" si="66"/>
        <v>0</v>
      </c>
      <c r="BC395" s="31">
        <f t="shared" si="66"/>
        <v>0</v>
      </c>
      <c r="BD395" s="29">
        <f t="shared" si="66"/>
        <v>0</v>
      </c>
      <c r="BE395" s="31">
        <f t="shared" si="66"/>
        <v>0</v>
      </c>
      <c r="BF395" s="29">
        <f t="shared" si="66"/>
        <v>0</v>
      </c>
      <c r="BG395" s="31">
        <f t="shared" si="66"/>
        <v>0</v>
      </c>
      <c r="BH395" s="29">
        <f t="shared" si="66"/>
        <v>0</v>
      </c>
      <c r="BI395" s="31">
        <f t="shared" si="66"/>
        <v>0</v>
      </c>
      <c r="BJ395" s="39">
        <f>SUM(BJ382:BJ394)</f>
        <v>0</v>
      </c>
      <c r="BK395" s="31">
        <f t="shared" si="66"/>
        <v>0</v>
      </c>
      <c r="BL395" s="39">
        <f t="shared" si="66"/>
        <v>0</v>
      </c>
      <c r="BM395" s="31">
        <f t="shared" si="66"/>
        <v>0</v>
      </c>
      <c r="BN395" s="32">
        <f>SUM(BN382:BN394)</f>
        <v>0</v>
      </c>
      <c r="BO395" s="41">
        <f>SUM(BO382:BO394)</f>
        <v>0</v>
      </c>
      <c r="BP395" s="631">
        <f>INDEX('2月'!$B$382:$BQ$406,MATCH('3月'!B395,'2月'!$B$382:$B$406,0),67)+BN395</f>
        <v>59</v>
      </c>
      <c r="BQ395" s="702">
        <f>INDEX('2月'!$B$382:$BQ$406,MATCH('3月'!B395,'2月'!$B$382:$B$406,0),68)+BO395</f>
        <v>81</v>
      </c>
    </row>
    <row r="396" spans="2:69" s="6" customFormat="1" ht="50.1" customHeight="1">
      <c r="B396" s="211" t="s">
        <v>54</v>
      </c>
      <c r="C396" s="145"/>
      <c r="D396" s="58">
        <f>D258</f>
        <v>0</v>
      </c>
      <c r="E396" s="66">
        <f>E258</f>
        <v>0</v>
      </c>
      <c r="F396" s="67">
        <f>F258</f>
        <v>0</v>
      </c>
      <c r="G396" s="68">
        <f>G258</f>
        <v>0</v>
      </c>
      <c r="H396" s="67">
        <f>H258</f>
        <v>0</v>
      </c>
      <c r="I396" s="68">
        <f>I258</f>
        <v>0</v>
      </c>
      <c r="J396" s="67">
        <f>J258</f>
        <v>0</v>
      </c>
      <c r="K396" s="68">
        <f>K258</f>
        <v>0</v>
      </c>
      <c r="L396" s="67">
        <f>L258</f>
        <v>0</v>
      </c>
      <c r="M396" s="68">
        <f>M258</f>
        <v>0</v>
      </c>
      <c r="N396" s="67">
        <f>N258</f>
        <v>0</v>
      </c>
      <c r="O396" s="68">
        <f>O258</f>
        <v>0</v>
      </c>
      <c r="P396" s="67">
        <f>P258</f>
        <v>0</v>
      </c>
      <c r="Q396" s="68">
        <f>Q258</f>
        <v>0</v>
      </c>
      <c r="R396" s="67">
        <f>R258</f>
        <v>0</v>
      </c>
      <c r="S396" s="68">
        <f>S258</f>
        <v>0</v>
      </c>
      <c r="T396" s="67">
        <f>T258</f>
        <v>0</v>
      </c>
      <c r="U396" s="68">
        <f>U258</f>
        <v>0</v>
      </c>
      <c r="V396" s="67">
        <f>V258</f>
        <v>0</v>
      </c>
      <c r="W396" s="68">
        <f>W258</f>
        <v>0</v>
      </c>
      <c r="X396" s="67">
        <f>X258</f>
        <v>0</v>
      </c>
      <c r="Y396" s="68">
        <f>Y258</f>
        <v>0</v>
      </c>
      <c r="Z396" s="67">
        <f>Z258</f>
        <v>0</v>
      </c>
      <c r="AA396" s="68">
        <f>AA258</f>
        <v>0</v>
      </c>
      <c r="AB396" s="67">
        <f>AB258</f>
        <v>0</v>
      </c>
      <c r="AC396" s="68">
        <f>AC258</f>
        <v>0</v>
      </c>
      <c r="AD396" s="67">
        <f>AD258</f>
        <v>0</v>
      </c>
      <c r="AE396" s="68">
        <f>AE258</f>
        <v>0</v>
      </c>
      <c r="AF396" s="67">
        <f>AF258</f>
        <v>0</v>
      </c>
      <c r="AG396" s="69">
        <f>AG258</f>
        <v>0</v>
      </c>
      <c r="AH396" s="58">
        <f>AH258</f>
        <v>0</v>
      </c>
      <c r="AI396" s="66">
        <f>AI258</f>
        <v>0</v>
      </c>
      <c r="AJ396" s="67">
        <f>AJ258</f>
        <v>0</v>
      </c>
      <c r="AK396" s="68">
        <f>AK258</f>
        <v>0</v>
      </c>
      <c r="AL396" s="67">
        <f>AL258</f>
        <v>0</v>
      </c>
      <c r="AM396" s="68">
        <f>AM258</f>
        <v>0</v>
      </c>
      <c r="AN396" s="67">
        <f>AN258</f>
        <v>0</v>
      </c>
      <c r="AO396" s="68">
        <f>AO258</f>
        <v>0</v>
      </c>
      <c r="AP396" s="67">
        <f>AP258</f>
        <v>0</v>
      </c>
      <c r="AQ396" s="68">
        <f>AQ258</f>
        <v>0</v>
      </c>
      <c r="AR396" s="67">
        <f>AR258</f>
        <v>0</v>
      </c>
      <c r="AS396" s="68">
        <f>AS258</f>
        <v>0</v>
      </c>
      <c r="AT396" s="67">
        <f>AT258</f>
        <v>0</v>
      </c>
      <c r="AU396" s="68">
        <f>AU258</f>
        <v>0</v>
      </c>
      <c r="AV396" s="67">
        <f>AV258</f>
        <v>0</v>
      </c>
      <c r="AW396" s="68">
        <f>AW258</f>
        <v>0</v>
      </c>
      <c r="AX396" s="67">
        <f>AX258</f>
        <v>0</v>
      </c>
      <c r="AY396" s="68">
        <f>AY258</f>
        <v>0</v>
      </c>
      <c r="AZ396" s="67">
        <f>AZ258</f>
        <v>0</v>
      </c>
      <c r="BA396" s="68">
        <f>BA258</f>
        <v>0</v>
      </c>
      <c r="BB396" s="67">
        <f>BB258</f>
        <v>0</v>
      </c>
      <c r="BC396" s="68">
        <f>BC258</f>
        <v>0</v>
      </c>
      <c r="BD396" s="67">
        <f>BD258</f>
        <v>0</v>
      </c>
      <c r="BE396" s="68">
        <f>BE258</f>
        <v>0</v>
      </c>
      <c r="BF396" s="67">
        <f>BF258</f>
        <v>0</v>
      </c>
      <c r="BG396" s="68">
        <f>BG258</f>
        <v>0</v>
      </c>
      <c r="BH396" s="67">
        <f>BH258</f>
        <v>0</v>
      </c>
      <c r="BI396" s="68">
        <f>BI258</f>
        <v>0</v>
      </c>
      <c r="BJ396" s="67">
        <f>BJ258</f>
        <v>0</v>
      </c>
      <c r="BK396" s="69">
        <f>BK258</f>
        <v>0</v>
      </c>
      <c r="BL396" s="67">
        <f>BL258</f>
        <v>0</v>
      </c>
      <c r="BM396" s="69">
        <f>BM258</f>
        <v>0</v>
      </c>
      <c r="BN396" s="102">
        <f>SUM(D396,F396,H396,J396,L396,N396,P396,R396,T396,V396,X396,Z396,AB396,AD396,AF396,AH396,AJ396,AL396,AN396,AP396,AR396,AT396,AV396,AX396,AZ396,BB396,BD396,BF396,BH396,BJ396,BL396)</f>
        <v>0</v>
      </c>
      <c r="BO396" s="47">
        <f>SUM(E396,G396,I396,K396,M396,O396,Q396,S396,U396,W396,Y396,AA396,AC396,AE396,AG396,AI396,AK396,AM396,AO396,AQ396,AS396,AU396,AW396,AY396,BA396,BC396,BE396,BG396,BI396,BK396,BM396)</f>
        <v>0</v>
      </c>
      <c r="BP396" s="631">
        <f>INDEX('2月'!$B$382:$BQ$406,MATCH('3月'!B396,'2月'!$B$382:$B$406,0),67)+BN396</f>
        <v>2</v>
      </c>
      <c r="BQ396" s="702">
        <f>INDEX('2月'!$B$382:$BQ$406,MATCH('3月'!B396,'2月'!$B$382:$B$406,0),68)+BO396</f>
        <v>4</v>
      </c>
    </row>
    <row r="397" spans="2:69" s="6" customFormat="1" ht="50.1" customHeight="1">
      <c r="B397" s="212" t="s">
        <v>69</v>
      </c>
      <c r="C397" s="146"/>
      <c r="D397" s="59">
        <f>D292</f>
        <v>0</v>
      </c>
      <c r="E397" s="51">
        <f>E292</f>
        <v>0</v>
      </c>
      <c r="F397" s="57">
        <f>F292</f>
        <v>0</v>
      </c>
      <c r="G397" s="51">
        <f>G292</f>
        <v>0</v>
      </c>
      <c r="H397" s="57">
        <f>H292</f>
        <v>0</v>
      </c>
      <c r="I397" s="51">
        <f>I292</f>
        <v>0</v>
      </c>
      <c r="J397" s="57">
        <f>J292</f>
        <v>0</v>
      </c>
      <c r="K397" s="51">
        <f>K292</f>
        <v>0</v>
      </c>
      <c r="L397" s="57">
        <f>L292</f>
        <v>0</v>
      </c>
      <c r="M397" s="51">
        <f>M292</f>
        <v>0</v>
      </c>
      <c r="N397" s="57">
        <f>N292</f>
        <v>0</v>
      </c>
      <c r="O397" s="51">
        <f>O292</f>
        <v>0</v>
      </c>
      <c r="P397" s="57">
        <f>P292</f>
        <v>0</v>
      </c>
      <c r="Q397" s="51">
        <f>Q292</f>
        <v>0</v>
      </c>
      <c r="R397" s="57">
        <f>R292</f>
        <v>0</v>
      </c>
      <c r="S397" s="51">
        <f>S292</f>
        <v>0</v>
      </c>
      <c r="T397" s="57">
        <f>T292</f>
        <v>0</v>
      </c>
      <c r="U397" s="51">
        <f>U292</f>
        <v>0</v>
      </c>
      <c r="V397" s="57">
        <f>V292</f>
        <v>0</v>
      </c>
      <c r="W397" s="51">
        <f>W292</f>
        <v>0</v>
      </c>
      <c r="X397" s="57">
        <f>X292</f>
        <v>0</v>
      </c>
      <c r="Y397" s="51">
        <f>Y292</f>
        <v>0</v>
      </c>
      <c r="Z397" s="57">
        <f>Z292</f>
        <v>0</v>
      </c>
      <c r="AA397" s="51">
        <f>AA292</f>
        <v>0</v>
      </c>
      <c r="AB397" s="57">
        <f>AB292</f>
        <v>0</v>
      </c>
      <c r="AC397" s="51">
        <f>AC292</f>
        <v>0</v>
      </c>
      <c r="AD397" s="57">
        <f>AD292</f>
        <v>0</v>
      </c>
      <c r="AE397" s="51">
        <f>AE292</f>
        <v>0</v>
      </c>
      <c r="AF397" s="57">
        <f>AF292</f>
        <v>0</v>
      </c>
      <c r="AG397" s="56">
        <f>AG292</f>
        <v>0</v>
      </c>
      <c r="AH397" s="59">
        <f>AH292</f>
        <v>0</v>
      </c>
      <c r="AI397" s="51">
        <f>AI292</f>
        <v>0</v>
      </c>
      <c r="AJ397" s="57">
        <f>AJ292</f>
        <v>0</v>
      </c>
      <c r="AK397" s="51">
        <f>AK292</f>
        <v>0</v>
      </c>
      <c r="AL397" s="57">
        <f>AL292</f>
        <v>0</v>
      </c>
      <c r="AM397" s="51">
        <f>AM292</f>
        <v>0</v>
      </c>
      <c r="AN397" s="57">
        <f>AN292</f>
        <v>0</v>
      </c>
      <c r="AO397" s="51">
        <f>AO292</f>
        <v>0</v>
      </c>
      <c r="AP397" s="57">
        <f>AP292</f>
        <v>0</v>
      </c>
      <c r="AQ397" s="51">
        <f>AQ292</f>
        <v>0</v>
      </c>
      <c r="AR397" s="57">
        <f>AR292</f>
        <v>0</v>
      </c>
      <c r="AS397" s="51">
        <f>AS292</f>
        <v>0</v>
      </c>
      <c r="AT397" s="57">
        <f>AT292</f>
        <v>0</v>
      </c>
      <c r="AU397" s="51">
        <f>AU292</f>
        <v>0</v>
      </c>
      <c r="AV397" s="57">
        <f>AV292</f>
        <v>0</v>
      </c>
      <c r="AW397" s="51">
        <f>AW292</f>
        <v>0</v>
      </c>
      <c r="AX397" s="57">
        <f>AX292</f>
        <v>0</v>
      </c>
      <c r="AY397" s="51">
        <f>AY292</f>
        <v>0</v>
      </c>
      <c r="AZ397" s="57">
        <f>AZ292</f>
        <v>0</v>
      </c>
      <c r="BA397" s="51">
        <f>BA292</f>
        <v>0</v>
      </c>
      <c r="BB397" s="57">
        <f>BB292</f>
        <v>0</v>
      </c>
      <c r="BC397" s="51">
        <f>BC292</f>
        <v>0</v>
      </c>
      <c r="BD397" s="57">
        <f>BD292</f>
        <v>0</v>
      </c>
      <c r="BE397" s="51">
        <f>BE292</f>
        <v>0</v>
      </c>
      <c r="BF397" s="57">
        <f>BF292</f>
        <v>0</v>
      </c>
      <c r="BG397" s="51">
        <f>BG292</f>
        <v>0</v>
      </c>
      <c r="BH397" s="57">
        <f>BH292</f>
        <v>0</v>
      </c>
      <c r="BI397" s="51">
        <f>BI292</f>
        <v>0</v>
      </c>
      <c r="BJ397" s="57">
        <f>BJ292</f>
        <v>0</v>
      </c>
      <c r="BK397" s="56">
        <f>BK292</f>
        <v>0</v>
      </c>
      <c r="BL397" s="57">
        <f>BL292</f>
        <v>0</v>
      </c>
      <c r="BM397" s="56">
        <f>BM292</f>
        <v>0</v>
      </c>
      <c r="BN397" s="102">
        <f t="shared" ref="BN397:BN403" si="67">SUM(D397,F397,H397,J397,L397,N397,P397,R397,T397,V397,X397,Z397,AB397,AD397,AF397,AH397,AJ397,AL397,AN397,AP397,AR397,AT397,AV397,AX397,AZ397,BB397,BD397,BF397,BH397,BJ397,BL397)</f>
        <v>0</v>
      </c>
      <c r="BO397" s="47">
        <f t="shared" ref="BO397:BO403" si="68">SUM(E397,G397,I397,K397,M397,O397,Q397,S397,U397,W397,Y397,AA397,AC397,AE397,AG397,AI397,AK397,AM397,AO397,AQ397,AS397,AU397,AW397,AY397,BA397,BC397,BE397,BG397,BI397,BK397,BM397)</f>
        <v>0</v>
      </c>
      <c r="BP397" s="631">
        <f>INDEX('2月'!$B$382:$BQ$406,MATCH('3月'!B397,'2月'!$B$382:$B$406,0),67)+BN397</f>
        <v>9</v>
      </c>
      <c r="BQ397" s="702">
        <f>INDEX('2月'!$B$382:$BQ$406,MATCH('3月'!B397,'2月'!$B$382:$B$406,0),68)+BO397</f>
        <v>14</v>
      </c>
    </row>
    <row r="398" spans="2:69" s="6" customFormat="1" ht="50.1" customHeight="1">
      <c r="B398" s="212" t="s">
        <v>147</v>
      </c>
      <c r="C398" s="146"/>
      <c r="D398" s="59">
        <f>D327</f>
        <v>0</v>
      </c>
      <c r="E398" s="51">
        <f>E327</f>
        <v>0</v>
      </c>
      <c r="F398" s="57">
        <f>F327</f>
        <v>0</v>
      </c>
      <c r="G398" s="51">
        <f>G327</f>
        <v>0</v>
      </c>
      <c r="H398" s="57">
        <f>H327</f>
        <v>0</v>
      </c>
      <c r="I398" s="51">
        <f>I327</f>
        <v>0</v>
      </c>
      <c r="J398" s="57">
        <f>J327</f>
        <v>0</v>
      </c>
      <c r="K398" s="51">
        <f>K327</f>
        <v>0</v>
      </c>
      <c r="L398" s="57">
        <f>L327</f>
        <v>0</v>
      </c>
      <c r="M398" s="51">
        <f>M327</f>
        <v>0</v>
      </c>
      <c r="N398" s="57">
        <f>N327</f>
        <v>0</v>
      </c>
      <c r="O398" s="51">
        <f>O327</f>
        <v>0</v>
      </c>
      <c r="P398" s="57">
        <f>P327</f>
        <v>0</v>
      </c>
      <c r="Q398" s="51">
        <f>Q327</f>
        <v>0</v>
      </c>
      <c r="R398" s="57">
        <f>R327</f>
        <v>0</v>
      </c>
      <c r="S398" s="51">
        <f>S327</f>
        <v>0</v>
      </c>
      <c r="T398" s="57">
        <f>T327</f>
        <v>0</v>
      </c>
      <c r="U398" s="51">
        <f>U327</f>
        <v>0</v>
      </c>
      <c r="V398" s="57">
        <f>V327</f>
        <v>0</v>
      </c>
      <c r="W398" s="51">
        <f>W327</f>
        <v>0</v>
      </c>
      <c r="X398" s="57">
        <f>X327</f>
        <v>0</v>
      </c>
      <c r="Y398" s="51">
        <f>Y327</f>
        <v>0</v>
      </c>
      <c r="Z398" s="57">
        <f>Z327</f>
        <v>0</v>
      </c>
      <c r="AA398" s="51">
        <f>AA327</f>
        <v>0</v>
      </c>
      <c r="AB398" s="57">
        <f>AB327</f>
        <v>0</v>
      </c>
      <c r="AC398" s="51">
        <f>AC327</f>
        <v>0</v>
      </c>
      <c r="AD398" s="57">
        <f>AD327</f>
        <v>0</v>
      </c>
      <c r="AE398" s="51">
        <f>AE327</f>
        <v>0</v>
      </c>
      <c r="AF398" s="57">
        <f>AF327</f>
        <v>0</v>
      </c>
      <c r="AG398" s="56">
        <f>AG327</f>
        <v>0</v>
      </c>
      <c r="AH398" s="59">
        <f>AH327</f>
        <v>0</v>
      </c>
      <c r="AI398" s="51">
        <f>AI327</f>
        <v>0</v>
      </c>
      <c r="AJ398" s="57">
        <f>AJ327</f>
        <v>0</v>
      </c>
      <c r="AK398" s="51">
        <f>AK327</f>
        <v>0</v>
      </c>
      <c r="AL398" s="57">
        <f>AL327</f>
        <v>0</v>
      </c>
      <c r="AM398" s="51">
        <f>AM327</f>
        <v>0</v>
      </c>
      <c r="AN398" s="57">
        <f>AN327</f>
        <v>0</v>
      </c>
      <c r="AO398" s="51">
        <f>AO327</f>
        <v>0</v>
      </c>
      <c r="AP398" s="57">
        <f>AP327</f>
        <v>0</v>
      </c>
      <c r="AQ398" s="51">
        <f>AQ327</f>
        <v>0</v>
      </c>
      <c r="AR398" s="57">
        <f>AR327</f>
        <v>0</v>
      </c>
      <c r="AS398" s="51">
        <f>AS327</f>
        <v>0</v>
      </c>
      <c r="AT398" s="57">
        <f>AT327</f>
        <v>0</v>
      </c>
      <c r="AU398" s="51">
        <f>AU327</f>
        <v>0</v>
      </c>
      <c r="AV398" s="57">
        <f>AV327</f>
        <v>0</v>
      </c>
      <c r="AW398" s="51">
        <f>AW327</f>
        <v>0</v>
      </c>
      <c r="AX398" s="57">
        <f>AX327</f>
        <v>0</v>
      </c>
      <c r="AY398" s="51">
        <f>AY327</f>
        <v>0</v>
      </c>
      <c r="AZ398" s="57">
        <f>AZ327</f>
        <v>0</v>
      </c>
      <c r="BA398" s="51">
        <f>BA327</f>
        <v>0</v>
      </c>
      <c r="BB398" s="57">
        <f>BB327</f>
        <v>0</v>
      </c>
      <c r="BC398" s="51">
        <f>BC327</f>
        <v>0</v>
      </c>
      <c r="BD398" s="57">
        <f>BD327</f>
        <v>0</v>
      </c>
      <c r="BE398" s="51">
        <f>BE327</f>
        <v>0</v>
      </c>
      <c r="BF398" s="57">
        <f>BF327</f>
        <v>0</v>
      </c>
      <c r="BG398" s="51">
        <f>BG327</f>
        <v>0</v>
      </c>
      <c r="BH398" s="57">
        <f>BH327</f>
        <v>0</v>
      </c>
      <c r="BI398" s="51">
        <f>BI327</f>
        <v>0</v>
      </c>
      <c r="BJ398" s="57">
        <f>BJ327</f>
        <v>0</v>
      </c>
      <c r="BK398" s="56">
        <f>BK327</f>
        <v>0</v>
      </c>
      <c r="BL398" s="57">
        <f>BL327</f>
        <v>0</v>
      </c>
      <c r="BM398" s="56">
        <f>BM327</f>
        <v>0</v>
      </c>
      <c r="BN398" s="102">
        <f t="shared" si="67"/>
        <v>0</v>
      </c>
      <c r="BO398" s="47">
        <f t="shared" si="68"/>
        <v>0</v>
      </c>
      <c r="BP398" s="631">
        <f>INDEX('2月'!$B$382:$BQ$406,MATCH('3月'!B398,'2月'!$B$382:$B$406,0),67)+BN398</f>
        <v>4</v>
      </c>
      <c r="BQ398" s="702">
        <f>INDEX('2月'!$B$382:$BQ$406,MATCH('3月'!B398,'2月'!$B$382:$B$406,0),68)+BO398</f>
        <v>6</v>
      </c>
    </row>
    <row r="399" spans="2:69" s="6" customFormat="1" ht="50.1" customHeight="1">
      <c r="B399" s="212" t="s">
        <v>49</v>
      </c>
      <c r="C399" s="146"/>
      <c r="D399" s="60">
        <f>D343</f>
        <v>0</v>
      </c>
      <c r="E399" s="61">
        <f>E343</f>
        <v>0</v>
      </c>
      <c r="F399" s="57">
        <f>F343</f>
        <v>0</v>
      </c>
      <c r="G399" s="51">
        <f>G343</f>
        <v>0</v>
      </c>
      <c r="H399" s="57">
        <f>H343</f>
        <v>0</v>
      </c>
      <c r="I399" s="51">
        <f>I343</f>
        <v>0</v>
      </c>
      <c r="J399" s="57">
        <f>J343</f>
        <v>0</v>
      </c>
      <c r="K399" s="51">
        <f>K343</f>
        <v>0</v>
      </c>
      <c r="L399" s="57">
        <f>L343</f>
        <v>0</v>
      </c>
      <c r="M399" s="51">
        <f>M343</f>
        <v>0</v>
      </c>
      <c r="N399" s="57">
        <f>N343</f>
        <v>0</v>
      </c>
      <c r="O399" s="51">
        <f>O343</f>
        <v>0</v>
      </c>
      <c r="P399" s="57">
        <f>P343</f>
        <v>0</v>
      </c>
      <c r="Q399" s="51">
        <f>Q343</f>
        <v>0</v>
      </c>
      <c r="R399" s="57">
        <f>R343</f>
        <v>0</v>
      </c>
      <c r="S399" s="51">
        <f>S343</f>
        <v>0</v>
      </c>
      <c r="T399" s="57">
        <f>T343</f>
        <v>0</v>
      </c>
      <c r="U399" s="51">
        <f>U343</f>
        <v>0</v>
      </c>
      <c r="V399" s="57">
        <f>V343</f>
        <v>0</v>
      </c>
      <c r="W399" s="51">
        <f>W343</f>
        <v>0</v>
      </c>
      <c r="X399" s="57">
        <f>X343</f>
        <v>0</v>
      </c>
      <c r="Y399" s="51">
        <f>Y343</f>
        <v>0</v>
      </c>
      <c r="Z399" s="57">
        <f>Z343</f>
        <v>0</v>
      </c>
      <c r="AA399" s="51">
        <f>AA343</f>
        <v>0</v>
      </c>
      <c r="AB399" s="57">
        <f>AB343</f>
        <v>0</v>
      </c>
      <c r="AC399" s="51">
        <f>AC343</f>
        <v>0</v>
      </c>
      <c r="AD399" s="57">
        <f>AD343</f>
        <v>0</v>
      </c>
      <c r="AE399" s="51">
        <f>AE343</f>
        <v>0</v>
      </c>
      <c r="AF399" s="57">
        <f>AF343</f>
        <v>0</v>
      </c>
      <c r="AG399" s="56">
        <f>AG343</f>
        <v>0</v>
      </c>
      <c r="AH399" s="60">
        <f>AH343</f>
        <v>0</v>
      </c>
      <c r="AI399" s="61">
        <f>AI343</f>
        <v>0</v>
      </c>
      <c r="AJ399" s="57">
        <f>AJ343</f>
        <v>0</v>
      </c>
      <c r="AK399" s="51">
        <f>AK343</f>
        <v>0</v>
      </c>
      <c r="AL399" s="57">
        <f>AL343</f>
        <v>0</v>
      </c>
      <c r="AM399" s="51">
        <f>AM343</f>
        <v>0</v>
      </c>
      <c r="AN399" s="57">
        <f>AN343</f>
        <v>0</v>
      </c>
      <c r="AO399" s="51">
        <f>AO343</f>
        <v>0</v>
      </c>
      <c r="AP399" s="57">
        <f>AP343</f>
        <v>0</v>
      </c>
      <c r="AQ399" s="51">
        <f>AQ343</f>
        <v>0</v>
      </c>
      <c r="AR399" s="57">
        <f>AR343</f>
        <v>0</v>
      </c>
      <c r="AS399" s="51">
        <f>AS343</f>
        <v>0</v>
      </c>
      <c r="AT399" s="57">
        <f>AT343</f>
        <v>0</v>
      </c>
      <c r="AU399" s="51">
        <f>AU343</f>
        <v>0</v>
      </c>
      <c r="AV399" s="57">
        <f>AV343</f>
        <v>0</v>
      </c>
      <c r="AW399" s="51">
        <f>AW343</f>
        <v>0</v>
      </c>
      <c r="AX399" s="57">
        <f>AX343</f>
        <v>0</v>
      </c>
      <c r="AY399" s="51">
        <f>AY343</f>
        <v>0</v>
      </c>
      <c r="AZ399" s="57">
        <f>AZ343</f>
        <v>0</v>
      </c>
      <c r="BA399" s="51">
        <f>BA343</f>
        <v>0</v>
      </c>
      <c r="BB399" s="57">
        <f>BB343</f>
        <v>0</v>
      </c>
      <c r="BC399" s="51">
        <f>BC343</f>
        <v>0</v>
      </c>
      <c r="BD399" s="57">
        <f>BD343</f>
        <v>0</v>
      </c>
      <c r="BE399" s="51">
        <f>BE343</f>
        <v>0</v>
      </c>
      <c r="BF399" s="57">
        <f>BF343</f>
        <v>0</v>
      </c>
      <c r="BG399" s="51">
        <f>BG343</f>
        <v>0</v>
      </c>
      <c r="BH399" s="57">
        <f>BH343</f>
        <v>0</v>
      </c>
      <c r="BI399" s="51">
        <f>BI343</f>
        <v>0</v>
      </c>
      <c r="BJ399" s="57">
        <f>BJ343</f>
        <v>0</v>
      </c>
      <c r="BK399" s="56">
        <f>BK343</f>
        <v>0</v>
      </c>
      <c r="BL399" s="57">
        <f>BL343</f>
        <v>0</v>
      </c>
      <c r="BM399" s="56">
        <f>BM343</f>
        <v>0</v>
      </c>
      <c r="BN399" s="102">
        <f t="shared" si="67"/>
        <v>0</v>
      </c>
      <c r="BO399" s="47">
        <f t="shared" si="68"/>
        <v>0</v>
      </c>
      <c r="BP399" s="631">
        <f>INDEX('2月'!$B$382:$BQ$406,MATCH('3月'!B399,'2月'!$B$382:$B$406,0),67)+BN399</f>
        <v>3</v>
      </c>
      <c r="BQ399" s="702">
        <f>INDEX('2月'!$B$382:$BQ$406,MATCH('3月'!B399,'2月'!$B$382:$B$406,0),68)+BO399</f>
        <v>5</v>
      </c>
    </row>
    <row r="400" spans="2:69" s="6" customFormat="1" ht="50.1" customHeight="1">
      <c r="B400" s="212" t="s">
        <v>95</v>
      </c>
      <c r="C400" s="146"/>
      <c r="D400" s="102">
        <f t="shared" ref="D400:BM400" si="69">D365</f>
        <v>0</v>
      </c>
      <c r="E400" s="51">
        <f t="shared" si="69"/>
        <v>0</v>
      </c>
      <c r="F400" s="57">
        <f t="shared" si="69"/>
        <v>0</v>
      </c>
      <c r="G400" s="51">
        <f t="shared" si="69"/>
        <v>0</v>
      </c>
      <c r="H400" s="57">
        <f t="shared" si="69"/>
        <v>0</v>
      </c>
      <c r="I400" s="51">
        <f t="shared" si="69"/>
        <v>0</v>
      </c>
      <c r="J400" s="57">
        <f t="shared" si="69"/>
        <v>0</v>
      </c>
      <c r="K400" s="51">
        <f t="shared" si="69"/>
        <v>0</v>
      </c>
      <c r="L400" s="57">
        <f t="shared" si="69"/>
        <v>0</v>
      </c>
      <c r="M400" s="51">
        <f t="shared" si="69"/>
        <v>0</v>
      </c>
      <c r="N400" s="57">
        <f t="shared" si="69"/>
        <v>0</v>
      </c>
      <c r="O400" s="51">
        <f t="shared" si="69"/>
        <v>0</v>
      </c>
      <c r="P400" s="57">
        <f t="shared" si="69"/>
        <v>0</v>
      </c>
      <c r="Q400" s="51">
        <f t="shared" si="69"/>
        <v>0</v>
      </c>
      <c r="R400" s="57">
        <f t="shared" si="69"/>
        <v>0</v>
      </c>
      <c r="S400" s="51">
        <f t="shared" si="69"/>
        <v>0</v>
      </c>
      <c r="T400" s="57">
        <f t="shared" si="69"/>
        <v>0</v>
      </c>
      <c r="U400" s="51">
        <f t="shared" si="69"/>
        <v>0</v>
      </c>
      <c r="V400" s="57">
        <f t="shared" si="69"/>
        <v>0</v>
      </c>
      <c r="W400" s="51">
        <f t="shared" si="69"/>
        <v>0</v>
      </c>
      <c r="X400" s="57">
        <f t="shared" si="69"/>
        <v>0</v>
      </c>
      <c r="Y400" s="51">
        <f t="shared" si="69"/>
        <v>0</v>
      </c>
      <c r="Z400" s="57">
        <f t="shared" si="69"/>
        <v>0</v>
      </c>
      <c r="AA400" s="51">
        <f t="shared" si="69"/>
        <v>0</v>
      </c>
      <c r="AB400" s="57">
        <f t="shared" si="69"/>
        <v>0</v>
      </c>
      <c r="AC400" s="51">
        <f t="shared" si="69"/>
        <v>0</v>
      </c>
      <c r="AD400" s="57">
        <f t="shared" si="69"/>
        <v>0</v>
      </c>
      <c r="AE400" s="51">
        <f t="shared" si="69"/>
        <v>0</v>
      </c>
      <c r="AF400" s="57">
        <f t="shared" si="69"/>
        <v>0</v>
      </c>
      <c r="AG400" s="56">
        <f t="shared" si="69"/>
        <v>0</v>
      </c>
      <c r="AH400" s="102">
        <f t="shared" si="69"/>
        <v>0</v>
      </c>
      <c r="AI400" s="51">
        <f t="shared" si="69"/>
        <v>0</v>
      </c>
      <c r="AJ400" s="57">
        <f t="shared" si="69"/>
        <v>0</v>
      </c>
      <c r="AK400" s="51">
        <f t="shared" si="69"/>
        <v>0</v>
      </c>
      <c r="AL400" s="57">
        <f t="shared" si="69"/>
        <v>0</v>
      </c>
      <c r="AM400" s="51">
        <f t="shared" si="69"/>
        <v>0</v>
      </c>
      <c r="AN400" s="57">
        <f t="shared" si="69"/>
        <v>0</v>
      </c>
      <c r="AO400" s="51">
        <f t="shared" si="69"/>
        <v>0</v>
      </c>
      <c r="AP400" s="57">
        <f t="shared" si="69"/>
        <v>0</v>
      </c>
      <c r="AQ400" s="51">
        <f t="shared" si="69"/>
        <v>0</v>
      </c>
      <c r="AR400" s="57">
        <f t="shared" si="69"/>
        <v>0</v>
      </c>
      <c r="AS400" s="51">
        <f t="shared" si="69"/>
        <v>0</v>
      </c>
      <c r="AT400" s="57">
        <f t="shared" si="69"/>
        <v>0</v>
      </c>
      <c r="AU400" s="51">
        <f t="shared" si="69"/>
        <v>0</v>
      </c>
      <c r="AV400" s="57">
        <f t="shared" si="69"/>
        <v>0</v>
      </c>
      <c r="AW400" s="51">
        <f t="shared" si="69"/>
        <v>0</v>
      </c>
      <c r="AX400" s="57">
        <f t="shared" si="69"/>
        <v>0</v>
      </c>
      <c r="AY400" s="51">
        <f t="shared" si="69"/>
        <v>0</v>
      </c>
      <c r="AZ400" s="57">
        <f t="shared" si="69"/>
        <v>0</v>
      </c>
      <c r="BA400" s="51">
        <f t="shared" si="69"/>
        <v>0</v>
      </c>
      <c r="BB400" s="57">
        <f t="shared" si="69"/>
        <v>0</v>
      </c>
      <c r="BC400" s="51">
        <f t="shared" si="69"/>
        <v>0</v>
      </c>
      <c r="BD400" s="57">
        <f t="shared" si="69"/>
        <v>0</v>
      </c>
      <c r="BE400" s="51">
        <f t="shared" si="69"/>
        <v>0</v>
      </c>
      <c r="BF400" s="57">
        <f t="shared" si="69"/>
        <v>0</v>
      </c>
      <c r="BG400" s="51">
        <f t="shared" si="69"/>
        <v>0</v>
      </c>
      <c r="BH400" s="57">
        <f t="shared" si="69"/>
        <v>0</v>
      </c>
      <c r="BI400" s="51">
        <f t="shared" si="69"/>
        <v>0</v>
      </c>
      <c r="BJ400" s="57">
        <f t="shared" si="69"/>
        <v>0</v>
      </c>
      <c r="BK400" s="56">
        <f t="shared" si="69"/>
        <v>0</v>
      </c>
      <c r="BL400" s="57">
        <f t="shared" si="69"/>
        <v>0</v>
      </c>
      <c r="BM400" s="56">
        <f t="shared" si="69"/>
        <v>0</v>
      </c>
      <c r="BN400" s="102">
        <f t="shared" si="67"/>
        <v>0</v>
      </c>
      <c r="BO400" s="47">
        <f t="shared" si="68"/>
        <v>0</v>
      </c>
      <c r="BP400" s="631">
        <f>INDEX('2月'!$B$382:$BQ$406,MATCH('3月'!B400,'2月'!$B$382:$B$406,0),67)+BN400</f>
        <v>1</v>
      </c>
      <c r="BQ400" s="702">
        <f>INDEX('2月'!$B$382:$BQ$406,MATCH('3月'!B400,'2月'!$B$382:$B$406,0),68)+BO400</f>
        <v>2</v>
      </c>
    </row>
    <row r="401" spans="2:69" s="6" customFormat="1" ht="50.1" customHeight="1">
      <c r="B401" s="212" t="s">
        <v>59</v>
      </c>
      <c r="C401" s="146"/>
      <c r="D401" s="59">
        <f t="shared" ref="D401:BM401" si="70">D376</f>
        <v>0</v>
      </c>
      <c r="E401" s="51">
        <f t="shared" si="70"/>
        <v>0</v>
      </c>
      <c r="F401" s="57">
        <f t="shared" si="70"/>
        <v>0</v>
      </c>
      <c r="G401" s="51">
        <f t="shared" si="70"/>
        <v>0</v>
      </c>
      <c r="H401" s="57">
        <f t="shared" si="70"/>
        <v>0</v>
      </c>
      <c r="I401" s="51">
        <f t="shared" si="70"/>
        <v>0</v>
      </c>
      <c r="J401" s="57">
        <f t="shared" si="70"/>
        <v>0</v>
      </c>
      <c r="K401" s="51">
        <f t="shared" si="70"/>
        <v>0</v>
      </c>
      <c r="L401" s="57">
        <f t="shared" si="70"/>
        <v>0</v>
      </c>
      <c r="M401" s="51">
        <f t="shared" si="70"/>
        <v>0</v>
      </c>
      <c r="N401" s="57">
        <f t="shared" si="70"/>
        <v>0</v>
      </c>
      <c r="O401" s="51">
        <f t="shared" si="70"/>
        <v>0</v>
      </c>
      <c r="P401" s="57">
        <f t="shared" si="70"/>
        <v>0</v>
      </c>
      <c r="Q401" s="51">
        <f t="shared" si="70"/>
        <v>0</v>
      </c>
      <c r="R401" s="57">
        <f t="shared" si="70"/>
        <v>0</v>
      </c>
      <c r="S401" s="51">
        <f t="shared" si="70"/>
        <v>0</v>
      </c>
      <c r="T401" s="57">
        <f t="shared" si="70"/>
        <v>0</v>
      </c>
      <c r="U401" s="51">
        <f t="shared" si="70"/>
        <v>0</v>
      </c>
      <c r="V401" s="57">
        <f t="shared" si="70"/>
        <v>0</v>
      </c>
      <c r="W401" s="51">
        <f t="shared" si="70"/>
        <v>0</v>
      </c>
      <c r="X401" s="57">
        <f t="shared" si="70"/>
        <v>0</v>
      </c>
      <c r="Y401" s="51">
        <f t="shared" si="70"/>
        <v>0</v>
      </c>
      <c r="Z401" s="57">
        <f t="shared" si="70"/>
        <v>0</v>
      </c>
      <c r="AA401" s="51">
        <f t="shared" si="70"/>
        <v>0</v>
      </c>
      <c r="AB401" s="57">
        <f t="shared" si="70"/>
        <v>0</v>
      </c>
      <c r="AC401" s="51">
        <f t="shared" si="70"/>
        <v>0</v>
      </c>
      <c r="AD401" s="57">
        <f t="shared" si="70"/>
        <v>0</v>
      </c>
      <c r="AE401" s="51">
        <f t="shared" si="70"/>
        <v>0</v>
      </c>
      <c r="AF401" s="57">
        <f t="shared" si="70"/>
        <v>0</v>
      </c>
      <c r="AG401" s="56">
        <f t="shared" si="70"/>
        <v>0</v>
      </c>
      <c r="AH401" s="59">
        <f t="shared" si="70"/>
        <v>0</v>
      </c>
      <c r="AI401" s="51">
        <f t="shared" si="70"/>
        <v>0</v>
      </c>
      <c r="AJ401" s="57">
        <f t="shared" si="70"/>
        <v>0</v>
      </c>
      <c r="AK401" s="51">
        <f t="shared" si="70"/>
        <v>0</v>
      </c>
      <c r="AL401" s="57">
        <f t="shared" si="70"/>
        <v>0</v>
      </c>
      <c r="AM401" s="51">
        <f t="shared" si="70"/>
        <v>0</v>
      </c>
      <c r="AN401" s="57">
        <f t="shared" si="70"/>
        <v>0</v>
      </c>
      <c r="AO401" s="51">
        <f t="shared" si="70"/>
        <v>0</v>
      </c>
      <c r="AP401" s="57">
        <f t="shared" si="70"/>
        <v>0</v>
      </c>
      <c r="AQ401" s="51">
        <f t="shared" si="70"/>
        <v>0</v>
      </c>
      <c r="AR401" s="57">
        <f t="shared" si="70"/>
        <v>0</v>
      </c>
      <c r="AS401" s="51">
        <f t="shared" si="70"/>
        <v>0</v>
      </c>
      <c r="AT401" s="57">
        <f t="shared" si="70"/>
        <v>0</v>
      </c>
      <c r="AU401" s="51">
        <f t="shared" si="70"/>
        <v>0</v>
      </c>
      <c r="AV401" s="57">
        <f t="shared" si="70"/>
        <v>0</v>
      </c>
      <c r="AW401" s="51">
        <f t="shared" si="70"/>
        <v>0</v>
      </c>
      <c r="AX401" s="57">
        <f t="shared" si="70"/>
        <v>0</v>
      </c>
      <c r="AY401" s="51">
        <f t="shared" si="70"/>
        <v>0</v>
      </c>
      <c r="AZ401" s="57">
        <f t="shared" si="70"/>
        <v>0</v>
      </c>
      <c r="BA401" s="51">
        <f t="shared" si="70"/>
        <v>0</v>
      </c>
      <c r="BB401" s="57">
        <f t="shared" si="70"/>
        <v>0</v>
      </c>
      <c r="BC401" s="51">
        <f t="shared" si="70"/>
        <v>0</v>
      </c>
      <c r="BD401" s="57">
        <f t="shared" si="70"/>
        <v>0</v>
      </c>
      <c r="BE401" s="51">
        <f t="shared" si="70"/>
        <v>0</v>
      </c>
      <c r="BF401" s="57">
        <f t="shared" si="70"/>
        <v>0</v>
      </c>
      <c r="BG401" s="51">
        <f t="shared" si="70"/>
        <v>0</v>
      </c>
      <c r="BH401" s="57">
        <f t="shared" si="70"/>
        <v>0</v>
      </c>
      <c r="BI401" s="51">
        <f t="shared" si="70"/>
        <v>0</v>
      </c>
      <c r="BJ401" s="57">
        <f t="shared" si="70"/>
        <v>0</v>
      </c>
      <c r="BK401" s="56">
        <f t="shared" si="70"/>
        <v>0</v>
      </c>
      <c r="BL401" s="57">
        <f t="shared" si="70"/>
        <v>0</v>
      </c>
      <c r="BM401" s="56">
        <f t="shared" si="70"/>
        <v>0</v>
      </c>
      <c r="BN401" s="102">
        <f t="shared" si="67"/>
        <v>0</v>
      </c>
      <c r="BO401" s="47">
        <f t="shared" si="68"/>
        <v>0</v>
      </c>
      <c r="BP401" s="631">
        <f>INDEX('2月'!$B$382:$BQ$406,MATCH('3月'!B401,'2月'!$B$382:$B$406,0),67)+BN401</f>
        <v>0</v>
      </c>
      <c r="BQ401" s="702">
        <f>INDEX('2月'!$B$382:$BQ$406,MATCH('3月'!B401,'2月'!$B$382:$B$406,0),68)+BO401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56"/>
      <c r="AH402" s="59"/>
      <c r="AI402" s="51"/>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102">
        <f t="shared" si="67"/>
        <v>0</v>
      </c>
      <c r="BO402" s="47">
        <f t="shared" si="68"/>
        <v>0</v>
      </c>
      <c r="BP402" s="631">
        <f>INDEX('2月'!$B$382:$BQ$406,MATCH('3月'!B402,'2月'!$B$382:$B$406,0),67)+BN402</f>
        <v>0</v>
      </c>
      <c r="BQ402" s="702">
        <f>INDEX('2月'!$B$382:$BQ$406,MATCH('3月'!B402,'2月'!$B$382:$B$406,0),68)+BO402</f>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
      <c r="AH403" s="60"/>
      <c r="AI403" s="6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102">
        <f t="shared" si="67"/>
        <v>0</v>
      </c>
      <c r="BO403" s="47">
        <f t="shared" si="68"/>
        <v>0</v>
      </c>
      <c r="BP403" s="631">
        <f>INDEX('2月'!$B$382:$BQ$406,MATCH('3月'!B403,'2月'!$B$382:$B$406,0),67)+BN403</f>
        <v>0</v>
      </c>
      <c r="BQ403" s="702">
        <f>INDEX('2月'!$B$382:$BQ$406,MATCH('3月'!B403,'2月'!$B$382:$B$406,0),68)+BO403</f>
        <v>0</v>
      </c>
    </row>
    <row r="404" spans="2:69" s="6" customFormat="1" ht="50.1" customHeight="1" thickBot="1">
      <c r="B404" s="214" t="s">
        <v>203</v>
      </c>
      <c r="C404" s="149"/>
      <c r="D404" s="29">
        <f>SUM(D396:D403)</f>
        <v>0</v>
      </c>
      <c r="E404" s="31">
        <f t="shared" ref="E404:AG404" si="71">SUM(E396:E403)</f>
        <v>0</v>
      </c>
      <c r="F404" s="29">
        <f t="shared" si="71"/>
        <v>0</v>
      </c>
      <c r="G404" s="31">
        <f t="shared" si="71"/>
        <v>0</v>
      </c>
      <c r="H404" s="29">
        <f>SUM(H396:H403)</f>
        <v>0</v>
      </c>
      <c r="I404" s="31">
        <f t="shared" si="71"/>
        <v>0</v>
      </c>
      <c r="J404" s="29">
        <f t="shared" si="71"/>
        <v>0</v>
      </c>
      <c r="K404" s="31">
        <f t="shared" si="71"/>
        <v>0</v>
      </c>
      <c r="L404" s="29">
        <f t="shared" si="71"/>
        <v>0</v>
      </c>
      <c r="M404" s="31">
        <f t="shared" si="71"/>
        <v>0</v>
      </c>
      <c r="N404" s="29">
        <f t="shared" si="71"/>
        <v>0</v>
      </c>
      <c r="O404" s="31">
        <f t="shared" si="71"/>
        <v>0</v>
      </c>
      <c r="P404" s="29">
        <f t="shared" si="71"/>
        <v>0</v>
      </c>
      <c r="Q404" s="31">
        <f t="shared" si="71"/>
        <v>0</v>
      </c>
      <c r="R404" s="29">
        <f t="shared" si="71"/>
        <v>0</v>
      </c>
      <c r="S404" s="31">
        <f t="shared" si="71"/>
        <v>0</v>
      </c>
      <c r="T404" s="29">
        <f t="shared" si="71"/>
        <v>0</v>
      </c>
      <c r="U404" s="31">
        <f t="shared" si="71"/>
        <v>0</v>
      </c>
      <c r="V404" s="29">
        <f t="shared" si="71"/>
        <v>0</v>
      </c>
      <c r="W404" s="31">
        <f t="shared" si="71"/>
        <v>0</v>
      </c>
      <c r="X404" s="29">
        <f t="shared" si="71"/>
        <v>0</v>
      </c>
      <c r="Y404" s="31">
        <f t="shared" si="71"/>
        <v>0</v>
      </c>
      <c r="Z404" s="29">
        <f t="shared" si="71"/>
        <v>0</v>
      </c>
      <c r="AA404" s="31">
        <f t="shared" si="71"/>
        <v>0</v>
      </c>
      <c r="AB404" s="29">
        <f t="shared" si="71"/>
        <v>0</v>
      </c>
      <c r="AC404" s="31">
        <f t="shared" si="71"/>
        <v>0</v>
      </c>
      <c r="AD404" s="29">
        <f t="shared" si="71"/>
        <v>0</v>
      </c>
      <c r="AE404" s="31">
        <f t="shared" si="71"/>
        <v>0</v>
      </c>
      <c r="AF404" s="29">
        <f t="shared" si="71"/>
        <v>0</v>
      </c>
      <c r="AG404" s="41">
        <f t="shared" si="71"/>
        <v>0</v>
      </c>
      <c r="AH404" s="29">
        <f t="shared" ref="AH404:BM404" si="72">SUM(AH396:AH403)</f>
        <v>0</v>
      </c>
      <c r="AI404" s="31">
        <f t="shared" si="72"/>
        <v>0</v>
      </c>
      <c r="AJ404" s="29">
        <f t="shared" si="72"/>
        <v>0</v>
      </c>
      <c r="AK404" s="31">
        <f t="shared" si="72"/>
        <v>0</v>
      </c>
      <c r="AL404" s="29">
        <f>SUM(AL396:AL403)</f>
        <v>0</v>
      </c>
      <c r="AM404" s="31">
        <f>SUM(AM396:AM403)</f>
        <v>0</v>
      </c>
      <c r="AN404" s="29">
        <f t="shared" si="72"/>
        <v>0</v>
      </c>
      <c r="AO404" s="31">
        <f t="shared" si="72"/>
        <v>0</v>
      </c>
      <c r="AP404" s="29">
        <f t="shared" si="72"/>
        <v>0</v>
      </c>
      <c r="AQ404" s="31">
        <f t="shared" si="72"/>
        <v>0</v>
      </c>
      <c r="AR404" s="29">
        <f t="shared" si="72"/>
        <v>0</v>
      </c>
      <c r="AS404" s="31">
        <f t="shared" si="72"/>
        <v>0</v>
      </c>
      <c r="AT404" s="29">
        <f t="shared" si="72"/>
        <v>0</v>
      </c>
      <c r="AU404" s="31">
        <f t="shared" si="72"/>
        <v>0</v>
      </c>
      <c r="AV404" s="29">
        <f t="shared" si="72"/>
        <v>0</v>
      </c>
      <c r="AW404" s="31">
        <f t="shared" si="72"/>
        <v>0</v>
      </c>
      <c r="AX404" s="29">
        <f t="shared" si="72"/>
        <v>0</v>
      </c>
      <c r="AY404" s="31">
        <f t="shared" si="72"/>
        <v>0</v>
      </c>
      <c r="AZ404" s="29">
        <f t="shared" si="72"/>
        <v>0</v>
      </c>
      <c r="BA404" s="31">
        <f t="shared" si="72"/>
        <v>0</v>
      </c>
      <c r="BB404" s="29">
        <f t="shared" si="72"/>
        <v>0</v>
      </c>
      <c r="BC404" s="31">
        <f t="shared" si="72"/>
        <v>0</v>
      </c>
      <c r="BD404" s="29">
        <f t="shared" si="72"/>
        <v>0</v>
      </c>
      <c r="BE404" s="31">
        <f t="shared" si="72"/>
        <v>0</v>
      </c>
      <c r="BF404" s="29">
        <f t="shared" si="72"/>
        <v>0</v>
      </c>
      <c r="BG404" s="31">
        <f t="shared" si="72"/>
        <v>0</v>
      </c>
      <c r="BH404" s="29">
        <f t="shared" si="72"/>
        <v>0</v>
      </c>
      <c r="BI404" s="31">
        <f t="shared" si="72"/>
        <v>0</v>
      </c>
      <c r="BJ404" s="29">
        <f>SUM(BJ396:BJ403)</f>
        <v>0</v>
      </c>
      <c r="BK404" s="41">
        <f t="shared" si="72"/>
        <v>0</v>
      </c>
      <c r="BL404" s="39">
        <f t="shared" si="72"/>
        <v>0</v>
      </c>
      <c r="BM404" s="31">
        <f t="shared" si="72"/>
        <v>0</v>
      </c>
      <c r="BN404" s="32">
        <f>SUM(BN396:BN403)</f>
        <v>0</v>
      </c>
      <c r="BO404" s="29">
        <f>SUM(BO396:BO403)</f>
        <v>0</v>
      </c>
      <c r="BP404" s="631">
        <f>INDEX('2月'!$B$382:$BQ$406,MATCH('3月'!B404,'2月'!$B$382:$B$406,0),67)+BN404</f>
        <v>19</v>
      </c>
      <c r="BQ404" s="702">
        <f>INDEX('2月'!$B$382:$BQ$406,MATCH('3月'!B404,'2月'!$B$382:$B$406,0),68)+BO404</f>
        <v>31</v>
      </c>
    </row>
    <row r="405" spans="2:69" s="6" customFormat="1" ht="50.1" customHeight="1" thickBot="1">
      <c r="B405" s="215" t="s">
        <v>204</v>
      </c>
      <c r="C405" s="153"/>
      <c r="D405" s="71">
        <f>SUM(D395+D404)</f>
        <v>0</v>
      </c>
      <c r="E405" s="636">
        <f>SUM(E395+E404)</f>
        <v>0</v>
      </c>
      <c r="F405" s="71">
        <f t="shared" ref="F405:AG405" si="73">SUM(F395+F404)</f>
        <v>0</v>
      </c>
      <c r="G405" s="636">
        <f t="shared" si="73"/>
        <v>0</v>
      </c>
      <c r="H405" s="71">
        <f>SUM(H395+H404)</f>
        <v>0</v>
      </c>
      <c r="I405" s="636">
        <f t="shared" si="73"/>
        <v>0</v>
      </c>
      <c r="J405" s="71">
        <f t="shared" si="73"/>
        <v>0</v>
      </c>
      <c r="K405" s="636">
        <f t="shared" si="73"/>
        <v>0</v>
      </c>
      <c r="L405" s="71">
        <f t="shared" si="73"/>
        <v>0</v>
      </c>
      <c r="M405" s="636">
        <f t="shared" si="73"/>
        <v>0</v>
      </c>
      <c r="N405" s="71">
        <f t="shared" si="73"/>
        <v>0</v>
      </c>
      <c r="O405" s="636">
        <f t="shared" si="73"/>
        <v>0</v>
      </c>
      <c r="P405" s="71">
        <f t="shared" si="73"/>
        <v>0</v>
      </c>
      <c r="Q405" s="636">
        <f t="shared" si="73"/>
        <v>0</v>
      </c>
      <c r="R405" s="71">
        <f t="shared" si="73"/>
        <v>0</v>
      </c>
      <c r="S405" s="636">
        <f t="shared" si="73"/>
        <v>0</v>
      </c>
      <c r="T405" s="71">
        <f t="shared" si="73"/>
        <v>0</v>
      </c>
      <c r="U405" s="636">
        <f t="shared" si="73"/>
        <v>0</v>
      </c>
      <c r="V405" s="71">
        <f t="shared" si="73"/>
        <v>0</v>
      </c>
      <c r="W405" s="636">
        <f t="shared" si="73"/>
        <v>0</v>
      </c>
      <c r="X405" s="71">
        <f t="shared" si="73"/>
        <v>0</v>
      </c>
      <c r="Y405" s="636">
        <f t="shared" si="73"/>
        <v>0</v>
      </c>
      <c r="Z405" s="71">
        <f t="shared" si="73"/>
        <v>0</v>
      </c>
      <c r="AA405" s="636">
        <f t="shared" si="73"/>
        <v>0</v>
      </c>
      <c r="AB405" s="71">
        <f t="shared" si="73"/>
        <v>0</v>
      </c>
      <c r="AC405" s="636">
        <f t="shared" si="73"/>
        <v>0</v>
      </c>
      <c r="AD405" s="71">
        <f t="shared" si="73"/>
        <v>0</v>
      </c>
      <c r="AE405" s="636">
        <f t="shared" si="73"/>
        <v>0</v>
      </c>
      <c r="AF405" s="71">
        <f>SUM(AF395+AF404)</f>
        <v>0</v>
      </c>
      <c r="AG405" s="197">
        <f t="shared" si="73"/>
        <v>0</v>
      </c>
      <c r="AH405" s="71">
        <f>SUM(AH395+AH404)</f>
        <v>0</v>
      </c>
      <c r="AI405" s="636">
        <f>SUM(AI395+AI404)</f>
        <v>0</v>
      </c>
      <c r="AJ405" s="71">
        <f t="shared" ref="AJ405:BM405" si="74">SUM(AJ395+AJ404)</f>
        <v>0</v>
      </c>
      <c r="AK405" s="636">
        <f t="shared" si="74"/>
        <v>0</v>
      </c>
      <c r="AL405" s="71">
        <f t="shared" si="74"/>
        <v>0</v>
      </c>
      <c r="AM405" s="636">
        <f t="shared" si="74"/>
        <v>0</v>
      </c>
      <c r="AN405" s="71">
        <f t="shared" si="74"/>
        <v>0</v>
      </c>
      <c r="AO405" s="636">
        <f t="shared" si="74"/>
        <v>0</v>
      </c>
      <c r="AP405" s="71">
        <f t="shared" si="74"/>
        <v>0</v>
      </c>
      <c r="AQ405" s="636">
        <f t="shared" si="74"/>
        <v>0</v>
      </c>
      <c r="AR405" s="71">
        <f t="shared" si="74"/>
        <v>0</v>
      </c>
      <c r="AS405" s="636">
        <f t="shared" si="74"/>
        <v>0</v>
      </c>
      <c r="AT405" s="71">
        <f t="shared" si="74"/>
        <v>0</v>
      </c>
      <c r="AU405" s="636">
        <f t="shared" si="74"/>
        <v>0</v>
      </c>
      <c r="AV405" s="71">
        <f t="shared" si="74"/>
        <v>0</v>
      </c>
      <c r="AW405" s="636">
        <f t="shared" si="74"/>
        <v>0</v>
      </c>
      <c r="AX405" s="71">
        <f t="shared" si="74"/>
        <v>0</v>
      </c>
      <c r="AY405" s="636">
        <f t="shared" si="74"/>
        <v>0</v>
      </c>
      <c r="AZ405" s="71">
        <f t="shared" si="74"/>
        <v>0</v>
      </c>
      <c r="BA405" s="636">
        <f t="shared" si="74"/>
        <v>0</v>
      </c>
      <c r="BB405" s="71">
        <f t="shared" si="74"/>
        <v>0</v>
      </c>
      <c r="BC405" s="636">
        <f t="shared" si="74"/>
        <v>0</v>
      </c>
      <c r="BD405" s="71">
        <f t="shared" si="74"/>
        <v>0</v>
      </c>
      <c r="BE405" s="636">
        <f t="shared" si="74"/>
        <v>0</v>
      </c>
      <c r="BF405" s="71">
        <f t="shared" si="74"/>
        <v>0</v>
      </c>
      <c r="BG405" s="636">
        <f t="shared" si="74"/>
        <v>0</v>
      </c>
      <c r="BH405" s="71">
        <f t="shared" si="74"/>
        <v>0</v>
      </c>
      <c r="BI405" s="636">
        <f t="shared" si="74"/>
        <v>0</v>
      </c>
      <c r="BJ405" s="71">
        <f t="shared" si="74"/>
        <v>0</v>
      </c>
      <c r="BK405" s="636">
        <f t="shared" si="74"/>
        <v>0</v>
      </c>
      <c r="BL405" s="71">
        <f t="shared" si="74"/>
        <v>0</v>
      </c>
      <c r="BM405" s="636">
        <f t="shared" si="74"/>
        <v>0</v>
      </c>
      <c r="BN405" s="637">
        <f>BN395+BN404</f>
        <v>0</v>
      </c>
      <c r="BO405" s="605">
        <f>BO395+BO404</f>
        <v>0</v>
      </c>
      <c r="BP405" s="631">
        <f>INDEX('2月'!$B$382:$BQ$406,MATCH('3月'!B405,'2月'!$B$382:$B$406,0),67)+BN405</f>
        <v>78</v>
      </c>
      <c r="BQ405" s="702">
        <f>INDEX('2月'!$B$382:$BQ$406,MATCH('3月'!B405,'2月'!$B$382:$B$406,0),68)+BO405</f>
        <v>112</v>
      </c>
    </row>
    <row r="406" spans="2:69" s="6" customFormat="1" ht="50.1" customHeight="1" thickBot="1">
      <c r="B406" s="214" t="s">
        <v>182</v>
      </c>
      <c r="C406" s="149"/>
      <c r="D406" s="29">
        <f>'2月'!BP406+D405</f>
        <v>78</v>
      </c>
      <c r="E406" s="31">
        <f>'2月'!BQ406+E405</f>
        <v>112</v>
      </c>
      <c r="F406" s="29">
        <f>'2月'!BR407+F405</f>
        <v>0</v>
      </c>
      <c r="G406" s="31">
        <f>'2月'!BS407+G405</f>
        <v>0</v>
      </c>
      <c r="H406" s="29">
        <f>'2月'!BT407+H405</f>
        <v>0</v>
      </c>
      <c r="I406" s="31">
        <f>'2月'!BU407+I405</f>
        <v>0</v>
      </c>
      <c r="J406" s="29">
        <f>'2月'!BV407+J405</f>
        <v>0</v>
      </c>
      <c r="K406" s="31">
        <f>'2月'!BW407+K405</f>
        <v>0</v>
      </c>
      <c r="L406" s="29">
        <f>'2月'!BX407+L405</f>
        <v>0</v>
      </c>
      <c r="M406" s="31">
        <f>'2月'!BY407+M405</f>
        <v>0</v>
      </c>
      <c r="N406" s="29">
        <f>'2月'!BZ407+N405</f>
        <v>0</v>
      </c>
      <c r="O406" s="31">
        <f>'2月'!CA407+O405</f>
        <v>0</v>
      </c>
      <c r="P406" s="29">
        <f>'2月'!CB407+P405</f>
        <v>0</v>
      </c>
      <c r="Q406" s="31">
        <f>'2月'!CC407+Q405</f>
        <v>0</v>
      </c>
      <c r="R406" s="29">
        <f>'2月'!CD407+R405</f>
        <v>0</v>
      </c>
      <c r="S406" s="31">
        <f>'2月'!CE407+S405</f>
        <v>0</v>
      </c>
      <c r="T406" s="29">
        <f>'2月'!CF407+T405</f>
        <v>0</v>
      </c>
      <c r="U406" s="31">
        <f>'2月'!CG407+U405</f>
        <v>0</v>
      </c>
      <c r="V406" s="29">
        <f>'2月'!CH407+V405</f>
        <v>0</v>
      </c>
      <c r="W406" s="31">
        <f>'2月'!CI407+W405</f>
        <v>0</v>
      </c>
      <c r="X406" s="29">
        <f>'2月'!CJ407+X405</f>
        <v>0</v>
      </c>
      <c r="Y406" s="31">
        <f>'2月'!CK407+Y405</f>
        <v>0</v>
      </c>
      <c r="Z406" s="29">
        <f>'2月'!CL407+Z405</f>
        <v>0</v>
      </c>
      <c r="AA406" s="31">
        <f>'2月'!CM407+AA405</f>
        <v>0</v>
      </c>
      <c r="AB406" s="29">
        <f>'2月'!CN407+AB405</f>
        <v>0</v>
      </c>
      <c r="AC406" s="31">
        <f>'2月'!CO407+AC405</f>
        <v>0</v>
      </c>
      <c r="AD406" s="29">
        <f>'2月'!CP407+AD405</f>
        <v>0</v>
      </c>
      <c r="AE406" s="31">
        <f>'2月'!CQ407+AE405</f>
        <v>0</v>
      </c>
      <c r="AF406" s="29">
        <f>'2月'!CR407+AF405</f>
        <v>0</v>
      </c>
      <c r="AG406" s="41">
        <f>'2月'!CS407+AG405</f>
        <v>0</v>
      </c>
      <c r="AH406" s="29">
        <f>'2月'!CT407+AH405</f>
        <v>0</v>
      </c>
      <c r="AI406" s="31">
        <f>'2月'!CU407+AI405</f>
        <v>0</v>
      </c>
      <c r="AJ406" s="29">
        <f>'2月'!CV407+AJ405</f>
        <v>0</v>
      </c>
      <c r="AK406" s="31">
        <f>'2月'!CW407+AK405</f>
        <v>0</v>
      </c>
      <c r="AL406" s="29">
        <f>'2月'!CX407+AL405</f>
        <v>0</v>
      </c>
      <c r="AM406" s="31">
        <f>'2月'!CY407+AM405</f>
        <v>0</v>
      </c>
      <c r="AN406" s="29">
        <f>'2月'!CZ407+AN405</f>
        <v>0</v>
      </c>
      <c r="AO406" s="31">
        <f>'2月'!DA407+AO405</f>
        <v>0</v>
      </c>
      <c r="AP406" s="29">
        <f>'2月'!DB407+AP405</f>
        <v>0</v>
      </c>
      <c r="AQ406" s="31">
        <f>'2月'!DC407+AQ405</f>
        <v>0</v>
      </c>
      <c r="AR406" s="29">
        <f>'2月'!DD407+AR405</f>
        <v>0</v>
      </c>
      <c r="AS406" s="31">
        <f>'2月'!DE407+AS405</f>
        <v>0</v>
      </c>
      <c r="AT406" s="29">
        <f>'2月'!DF407+AT405</f>
        <v>0</v>
      </c>
      <c r="AU406" s="31">
        <f>'2月'!DG407+AU405</f>
        <v>0</v>
      </c>
      <c r="AV406" s="29">
        <f>'2月'!DH407+AV405</f>
        <v>0</v>
      </c>
      <c r="AW406" s="31">
        <f>'2月'!DI407+AW405</f>
        <v>0</v>
      </c>
      <c r="AX406" s="29">
        <f>'2月'!DJ407+AX405</f>
        <v>0</v>
      </c>
      <c r="AY406" s="31">
        <f>'2月'!DK407+AY405</f>
        <v>0</v>
      </c>
      <c r="AZ406" s="29">
        <f>'2月'!DL407+AZ405</f>
        <v>0</v>
      </c>
      <c r="BA406" s="31">
        <f>'2月'!DM407+BA405</f>
        <v>0</v>
      </c>
      <c r="BB406" s="29">
        <f>'2月'!DN407+BB405</f>
        <v>0</v>
      </c>
      <c r="BC406" s="31">
        <f>'2月'!DO407+BC405</f>
        <v>0</v>
      </c>
      <c r="BD406" s="29">
        <f>'2月'!DP407+BD405</f>
        <v>0</v>
      </c>
      <c r="BE406" s="31">
        <f>'2月'!DQ407+BE405</f>
        <v>0</v>
      </c>
      <c r="BF406" s="29">
        <f>'2月'!DR407+BF405</f>
        <v>0</v>
      </c>
      <c r="BG406" s="31">
        <f>'2月'!DS407+BG405</f>
        <v>0</v>
      </c>
      <c r="BH406" s="29">
        <f>'2月'!DT407+BH405</f>
        <v>0</v>
      </c>
      <c r="BI406" s="31">
        <f>'2月'!DU407+BI405</f>
        <v>0</v>
      </c>
      <c r="BJ406" s="29">
        <f>'2月'!DV407+BJ405</f>
        <v>0</v>
      </c>
      <c r="BK406" s="31">
        <f>'2月'!DW407+BK405</f>
        <v>0</v>
      </c>
      <c r="BL406" s="29">
        <f>'2月'!DX407+BL405</f>
        <v>0</v>
      </c>
      <c r="BM406" s="31">
        <f>'2月'!DY407+BM405</f>
        <v>0</v>
      </c>
      <c r="BN406" s="233"/>
      <c r="BO406" s="41"/>
      <c r="BP406" s="631">
        <f>INDEX('2月'!$B$382:$BQ$406,MATCH('3月'!B406,'2月'!$B$382:$B$406,0),67)+BN406</f>
        <v>78</v>
      </c>
      <c r="BQ406" s="702">
        <f>INDEX('2月'!$B$382:$BQ$406,MATCH('3月'!B406,'2月'!$B$382:$B$406,0),68)+BO406</f>
        <v>112</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7"/>
      <c r="AI407" s="7"/>
      <c r="AJ407" s="7"/>
      <c r="AK407" s="7"/>
    </row>
    <row r="408" spans="2:69" s="6" customFormat="1" ht="33" customHeight="1">
      <c r="B408" s="123" t="s">
        <v>110</v>
      </c>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59"/>
      <c r="C412" s="746"/>
      <c r="D412" s="753"/>
      <c r="E412" s="753"/>
      <c r="F412" s="753"/>
      <c r="G412" s="753"/>
      <c r="H412" s="753"/>
      <c r="I412" s="753"/>
      <c r="J412" s="753"/>
      <c r="K412" s="753"/>
      <c r="L412" s="753"/>
      <c r="M412" s="753"/>
      <c r="N412" s="753"/>
      <c r="O412" s="753"/>
      <c r="P412" s="753"/>
      <c r="Q412" s="753"/>
      <c r="R412" s="753"/>
      <c r="S412" s="753"/>
      <c r="T412" s="753"/>
      <c r="U412" s="753"/>
      <c r="V412" s="753"/>
      <c r="W412" s="753"/>
      <c r="X412" s="753"/>
      <c r="Y412" s="753"/>
      <c r="Z412" s="753"/>
      <c r="AA412" s="753"/>
      <c r="AB412" s="753"/>
      <c r="AC412" s="753"/>
      <c r="AD412" s="753"/>
      <c r="AE412" s="753"/>
      <c r="AF412" s="753"/>
      <c r="AG412" s="753"/>
      <c r="AH412" s="753"/>
      <c r="AI412" s="753"/>
      <c r="AJ412" s="753"/>
      <c r="AK412" s="753"/>
    </row>
    <row r="413" spans="2:69" ht="24.95" customHeight="1">
      <c r="B413" s="759"/>
      <c r="C413" s="746"/>
      <c r="D413" s="753"/>
      <c r="E413" s="753"/>
      <c r="F413" s="754"/>
      <c r="G413" s="754"/>
      <c r="H413" s="753"/>
      <c r="I413" s="753"/>
      <c r="J413" s="754"/>
      <c r="K413" s="754"/>
      <c r="L413" s="753"/>
      <c r="M413" s="753"/>
      <c r="N413" s="754"/>
      <c r="O413" s="754"/>
      <c r="P413" s="753"/>
      <c r="Q413" s="753"/>
      <c r="R413" s="754"/>
      <c r="S413" s="754"/>
      <c r="T413" s="753"/>
      <c r="U413" s="753"/>
      <c r="V413" s="754"/>
      <c r="W413" s="754"/>
      <c r="X413" s="753"/>
      <c r="Y413" s="753"/>
      <c r="Z413" s="754"/>
      <c r="AA413" s="754"/>
      <c r="AB413" s="753"/>
      <c r="AC413" s="753"/>
      <c r="AD413" s="754"/>
      <c r="AE413" s="754"/>
      <c r="AF413" s="753"/>
      <c r="AG413" s="753"/>
      <c r="AH413" s="753"/>
      <c r="AI413" s="753"/>
      <c r="AJ413" s="753"/>
      <c r="AK413" s="753"/>
    </row>
    <row r="414" spans="2:69" ht="24.95" customHeight="1">
      <c r="B414" s="759"/>
      <c r="C414" s="746"/>
      <c r="D414" s="483"/>
      <c r="E414" s="483"/>
      <c r="F414" s="483"/>
      <c r="G414" s="483"/>
      <c r="H414" s="483"/>
      <c r="I414" s="483"/>
      <c r="J414" s="483"/>
      <c r="K414" s="483"/>
      <c r="L414" s="483"/>
      <c r="M414" s="483"/>
      <c r="N414" s="483"/>
      <c r="O414" s="483"/>
      <c r="P414" s="483"/>
      <c r="Q414" s="483"/>
      <c r="R414" s="483"/>
      <c r="S414" s="483"/>
      <c r="T414" s="483"/>
      <c r="U414" s="483"/>
      <c r="V414" s="483"/>
      <c r="W414" s="483"/>
      <c r="X414" s="483"/>
      <c r="Y414" s="483"/>
      <c r="Z414" s="483"/>
      <c r="AA414" s="483"/>
      <c r="AB414" s="483"/>
      <c r="AC414" s="483"/>
      <c r="AD414" s="483"/>
      <c r="AE414" s="483"/>
      <c r="AF414" s="483"/>
      <c r="AG414" s="483"/>
      <c r="AH414" s="483"/>
      <c r="AI414" s="483"/>
      <c r="AJ414" s="483"/>
      <c r="AK414" s="483"/>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1"/>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1"/>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59"/>
      <c r="C421" s="746"/>
      <c r="D421" s="753"/>
      <c r="E421" s="753"/>
      <c r="F421" s="753"/>
      <c r="G421" s="753"/>
      <c r="H421" s="753"/>
      <c r="I421" s="753"/>
      <c r="J421" s="753"/>
      <c r="K421" s="753"/>
      <c r="L421" s="753"/>
      <c r="M421" s="753"/>
      <c r="N421" s="753"/>
      <c r="O421" s="753"/>
      <c r="P421" s="753"/>
      <c r="Q421" s="753"/>
      <c r="R421" s="753"/>
      <c r="S421" s="753"/>
      <c r="T421" s="753"/>
      <c r="U421" s="753"/>
      <c r="V421" s="753"/>
      <c r="W421" s="753"/>
      <c r="X421" s="753"/>
      <c r="Y421" s="753"/>
      <c r="Z421" s="753"/>
      <c r="AA421" s="753"/>
      <c r="AB421" s="753"/>
      <c r="AC421" s="753"/>
      <c r="AD421" s="753"/>
      <c r="AE421" s="753"/>
      <c r="AF421" s="753"/>
      <c r="AG421" s="753"/>
      <c r="AH421" s="753"/>
      <c r="AI421" s="753"/>
      <c r="AJ421" s="753"/>
      <c r="AK421" s="753"/>
    </row>
    <row r="422" spans="2:37" ht="24.95" customHeight="1">
      <c r="B422" s="759"/>
      <c r="C422" s="746"/>
      <c r="D422" s="753"/>
      <c r="E422" s="753"/>
      <c r="F422" s="754"/>
      <c r="G422" s="754"/>
      <c r="H422" s="753"/>
      <c r="I422" s="753"/>
      <c r="J422" s="754"/>
      <c r="K422" s="754"/>
      <c r="L422" s="753"/>
      <c r="M422" s="753"/>
      <c r="N422" s="754"/>
      <c r="O422" s="754"/>
      <c r="P422" s="753"/>
      <c r="Q422" s="753"/>
      <c r="R422" s="754"/>
      <c r="S422" s="754"/>
      <c r="T422" s="753"/>
      <c r="U422" s="753"/>
      <c r="V422" s="754"/>
      <c r="W422" s="754"/>
      <c r="X422" s="753"/>
      <c r="Y422" s="753"/>
      <c r="Z422" s="754"/>
      <c r="AA422" s="754"/>
      <c r="AB422" s="753"/>
      <c r="AC422" s="753"/>
      <c r="AD422" s="754"/>
      <c r="AE422" s="754"/>
      <c r="AF422" s="753"/>
      <c r="AG422" s="753"/>
      <c r="AH422" s="753"/>
      <c r="AI422" s="753"/>
      <c r="AJ422" s="753"/>
      <c r="AK422" s="753"/>
    </row>
    <row r="423" spans="2:37" ht="24.95" customHeight="1">
      <c r="B423" s="759"/>
      <c r="C423" s="746"/>
      <c r="D423" s="483"/>
      <c r="E423" s="483"/>
      <c r="F423" s="483"/>
      <c r="G423" s="483"/>
      <c r="H423" s="483"/>
      <c r="I423" s="483"/>
      <c r="J423" s="483"/>
      <c r="K423" s="483"/>
      <c r="L423" s="483"/>
      <c r="M423" s="483"/>
      <c r="N423" s="483"/>
      <c r="O423" s="483"/>
      <c r="P423" s="483"/>
      <c r="Q423" s="483"/>
      <c r="R423" s="483"/>
      <c r="S423" s="483"/>
      <c r="T423" s="483"/>
      <c r="U423" s="483"/>
      <c r="V423" s="483"/>
      <c r="W423" s="483"/>
      <c r="X423" s="483"/>
      <c r="Y423" s="483"/>
      <c r="Z423" s="483"/>
      <c r="AA423" s="483"/>
      <c r="AB423" s="483"/>
      <c r="AC423" s="483"/>
      <c r="AD423" s="483"/>
      <c r="AE423" s="483"/>
      <c r="AF423" s="483"/>
      <c r="AG423" s="483"/>
      <c r="AH423" s="483"/>
      <c r="AI423" s="483"/>
      <c r="AJ423" s="483"/>
      <c r="AK423" s="483"/>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1"/>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1"/>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755"/>
      <c r="C435" s="746"/>
      <c r="D435" s="753"/>
      <c r="E435" s="753"/>
      <c r="F435" s="753"/>
      <c r="G435" s="753"/>
      <c r="H435" s="753"/>
      <c r="I435" s="753"/>
      <c r="J435" s="753"/>
      <c r="K435" s="753"/>
      <c r="L435" s="753"/>
      <c r="M435" s="753"/>
      <c r="N435" s="753"/>
      <c r="O435" s="753"/>
      <c r="P435" s="753"/>
      <c r="Q435" s="753"/>
      <c r="R435" s="753"/>
      <c r="S435" s="753"/>
      <c r="T435" s="753"/>
      <c r="U435" s="753"/>
      <c r="V435" s="753"/>
      <c r="W435" s="753"/>
      <c r="X435" s="753"/>
      <c r="Y435" s="753"/>
      <c r="Z435" s="753"/>
      <c r="AA435" s="753"/>
      <c r="AB435" s="753"/>
      <c r="AC435" s="753"/>
      <c r="AD435" s="753"/>
      <c r="AE435" s="753"/>
      <c r="AF435" s="753"/>
      <c r="AG435" s="753"/>
      <c r="AH435" s="753"/>
      <c r="AI435" s="753"/>
      <c r="AJ435" s="753"/>
      <c r="AK435" s="753"/>
    </row>
    <row r="436" spans="2:37" ht="24.95" customHeight="1">
      <c r="B436" s="755"/>
      <c r="C436" s="746"/>
      <c r="D436" s="754"/>
      <c r="E436" s="754"/>
      <c r="F436" s="754"/>
      <c r="G436" s="754"/>
      <c r="H436" s="754"/>
      <c r="I436" s="754"/>
      <c r="J436" s="754"/>
      <c r="K436" s="754"/>
      <c r="L436" s="754"/>
      <c r="M436" s="754"/>
      <c r="N436" s="754"/>
      <c r="O436" s="754"/>
      <c r="P436" s="754"/>
      <c r="Q436" s="754"/>
      <c r="R436" s="754"/>
      <c r="S436" s="754"/>
      <c r="T436" s="754"/>
      <c r="U436" s="754"/>
      <c r="V436" s="754"/>
      <c r="W436" s="754"/>
      <c r="X436" s="754"/>
      <c r="Y436" s="754"/>
      <c r="Z436" s="754"/>
      <c r="AA436" s="754"/>
      <c r="AB436" s="754"/>
      <c r="AC436" s="754"/>
      <c r="AD436" s="754"/>
      <c r="AE436" s="754"/>
      <c r="AF436" s="754"/>
      <c r="AG436" s="754"/>
      <c r="AH436" s="753"/>
      <c r="AI436" s="753"/>
      <c r="AJ436" s="753"/>
      <c r="AK436" s="753"/>
    </row>
    <row r="437" spans="2:37" ht="24.95" customHeight="1">
      <c r="B437" s="755"/>
      <c r="C437" s="746"/>
      <c r="D437" s="483"/>
      <c r="E437" s="483"/>
      <c r="F437" s="483"/>
      <c r="G437" s="483"/>
      <c r="H437" s="483"/>
      <c r="I437" s="483"/>
      <c r="J437" s="483"/>
      <c r="K437" s="483"/>
      <c r="L437" s="483"/>
      <c r="M437" s="483"/>
      <c r="N437" s="483"/>
      <c r="O437" s="483"/>
      <c r="P437" s="483"/>
      <c r="Q437" s="483"/>
      <c r="R437" s="483"/>
      <c r="S437" s="483"/>
      <c r="T437" s="483"/>
      <c r="U437" s="483"/>
      <c r="V437" s="483"/>
      <c r="W437" s="483"/>
      <c r="X437" s="483"/>
      <c r="Y437" s="483"/>
      <c r="Z437" s="483"/>
      <c r="AA437" s="483"/>
      <c r="AB437" s="483"/>
      <c r="AC437" s="483"/>
      <c r="AD437" s="483"/>
      <c r="AE437" s="483"/>
      <c r="AF437" s="483"/>
      <c r="AG437" s="483"/>
      <c r="AH437" s="483"/>
      <c r="AI437" s="483"/>
      <c r="AJ437" s="483"/>
      <c r="AK437" s="483"/>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422">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AZ368:BA368"/>
    <mergeCell ref="BB368:BC368"/>
    <mergeCell ref="BD368:BE368"/>
    <mergeCell ref="BF368:BG368"/>
    <mergeCell ref="BH368:BI368"/>
    <mergeCell ref="BJ368:BK368"/>
    <mergeCell ref="BL368:BM368"/>
    <mergeCell ref="AH368:AI368"/>
    <mergeCell ref="AJ368:AK368"/>
    <mergeCell ref="AL368:AM368"/>
    <mergeCell ref="AN368:AO368"/>
    <mergeCell ref="AP368:AQ368"/>
    <mergeCell ref="AR368:AS368"/>
    <mergeCell ref="AT368:AU368"/>
    <mergeCell ref="AV368:AW368"/>
    <mergeCell ref="AX368:AY368"/>
    <mergeCell ref="BN346:BO347"/>
    <mergeCell ref="BP346:BQ347"/>
    <mergeCell ref="AH347:AI347"/>
    <mergeCell ref="AJ347:AK347"/>
    <mergeCell ref="AL347:AM347"/>
    <mergeCell ref="AN347:AO347"/>
    <mergeCell ref="AP347:AQ347"/>
    <mergeCell ref="AR347:AS347"/>
    <mergeCell ref="AT347:AU347"/>
    <mergeCell ref="AV347:AW347"/>
    <mergeCell ref="AX347:AY347"/>
    <mergeCell ref="AZ347:BA347"/>
    <mergeCell ref="BB347:BC347"/>
    <mergeCell ref="BD347:BE347"/>
    <mergeCell ref="BF347:BG347"/>
    <mergeCell ref="BH347:BI347"/>
    <mergeCell ref="BJ347:BK347"/>
    <mergeCell ref="BL347:BM347"/>
    <mergeCell ref="AZ346:BA346"/>
    <mergeCell ref="BB346:BC346"/>
    <mergeCell ref="BD346:BE346"/>
    <mergeCell ref="BF346:BG346"/>
    <mergeCell ref="BH346:BI346"/>
    <mergeCell ref="BJ346:BK346"/>
    <mergeCell ref="BL346:BM346"/>
    <mergeCell ref="AH346:AI346"/>
    <mergeCell ref="AJ346:AK346"/>
    <mergeCell ref="AL346:AM346"/>
    <mergeCell ref="AN346:AO346"/>
    <mergeCell ref="AP346:AQ346"/>
    <mergeCell ref="AR346:AS346"/>
    <mergeCell ref="AT346:AU346"/>
    <mergeCell ref="AV346:AW346"/>
    <mergeCell ref="AX346:AY346"/>
    <mergeCell ref="BN330:BO331"/>
    <mergeCell ref="BP330:BQ331"/>
    <mergeCell ref="AH331:AI331"/>
    <mergeCell ref="AJ331:AK331"/>
    <mergeCell ref="AL331:AM331"/>
    <mergeCell ref="AN331:AO331"/>
    <mergeCell ref="AP331:AQ331"/>
    <mergeCell ref="AR331:AS331"/>
    <mergeCell ref="AT331:AU331"/>
    <mergeCell ref="AV331:AW331"/>
    <mergeCell ref="AX331:AY331"/>
    <mergeCell ref="AZ331:BA331"/>
    <mergeCell ref="BB331:BC331"/>
    <mergeCell ref="BD331:BE331"/>
    <mergeCell ref="BF331:BG331"/>
    <mergeCell ref="BH331:BI331"/>
    <mergeCell ref="BJ331:BK331"/>
    <mergeCell ref="BL331:BM331"/>
    <mergeCell ref="AZ330:BA330"/>
    <mergeCell ref="BB330:BC330"/>
    <mergeCell ref="BD330:BE330"/>
    <mergeCell ref="BF330:BG330"/>
    <mergeCell ref="BH330:BI330"/>
    <mergeCell ref="BJ330:BK330"/>
    <mergeCell ref="BL330:BM330"/>
    <mergeCell ref="AH330:AI330"/>
    <mergeCell ref="AJ330:AK330"/>
    <mergeCell ref="AL330:AM330"/>
    <mergeCell ref="AN330:AO330"/>
    <mergeCell ref="AP330:AQ330"/>
    <mergeCell ref="AR330:AS330"/>
    <mergeCell ref="AT330:AU330"/>
    <mergeCell ref="AV330:AW330"/>
    <mergeCell ref="AX330:AY330"/>
    <mergeCell ref="BN295:BO296"/>
    <mergeCell ref="BP295:BQ296"/>
    <mergeCell ref="AH296:AI296"/>
    <mergeCell ref="AJ296:AK296"/>
    <mergeCell ref="AL296:AM296"/>
    <mergeCell ref="AN296:AO296"/>
    <mergeCell ref="AP296:AQ296"/>
    <mergeCell ref="AR296:AS296"/>
    <mergeCell ref="AT296:AU296"/>
    <mergeCell ref="AV296:AW296"/>
    <mergeCell ref="AX296:AY296"/>
    <mergeCell ref="AZ296:BA296"/>
    <mergeCell ref="BB296:BC296"/>
    <mergeCell ref="BD296:BE296"/>
    <mergeCell ref="BF296:BG296"/>
    <mergeCell ref="BH296:BI296"/>
    <mergeCell ref="BJ296:BK296"/>
    <mergeCell ref="BL296:BM296"/>
    <mergeCell ref="AZ295:BA295"/>
    <mergeCell ref="BB295:BC295"/>
    <mergeCell ref="BD295:BE295"/>
    <mergeCell ref="BF295:BG295"/>
    <mergeCell ref="BH295:BI295"/>
    <mergeCell ref="BJ295:BK295"/>
    <mergeCell ref="BL295:BM295"/>
    <mergeCell ref="AH295:AI295"/>
    <mergeCell ref="AJ295:AK295"/>
    <mergeCell ref="AL295:AM295"/>
    <mergeCell ref="AN295:AO295"/>
    <mergeCell ref="AP295:AQ295"/>
    <mergeCell ref="AR295:AS295"/>
    <mergeCell ref="AT295:AU295"/>
    <mergeCell ref="AV295:AW295"/>
    <mergeCell ref="AX295:AY295"/>
    <mergeCell ref="BN261:BO262"/>
    <mergeCell ref="BP261:BQ262"/>
    <mergeCell ref="AH262:AI262"/>
    <mergeCell ref="AJ262:AK262"/>
    <mergeCell ref="AL262:AM262"/>
    <mergeCell ref="AN262:AO262"/>
    <mergeCell ref="AP262:AQ262"/>
    <mergeCell ref="AR262:AS262"/>
    <mergeCell ref="AT262:AU262"/>
    <mergeCell ref="AV262:AW262"/>
    <mergeCell ref="AX262:AY262"/>
    <mergeCell ref="AZ262:BA262"/>
    <mergeCell ref="BB262:BC262"/>
    <mergeCell ref="BD262:BE262"/>
    <mergeCell ref="BF262:BG262"/>
    <mergeCell ref="BH262:BI262"/>
    <mergeCell ref="BJ262:BK262"/>
    <mergeCell ref="BL262:BM262"/>
    <mergeCell ref="AZ261:BA261"/>
    <mergeCell ref="BB261:BC261"/>
    <mergeCell ref="BD261:BE261"/>
    <mergeCell ref="BF261:BG261"/>
    <mergeCell ref="BH261:BI261"/>
    <mergeCell ref="BJ261:BK261"/>
    <mergeCell ref="BL261:BM261"/>
    <mergeCell ref="AH261:AI261"/>
    <mergeCell ref="AJ261:AK261"/>
    <mergeCell ref="AL261:AM261"/>
    <mergeCell ref="AN261:AO261"/>
    <mergeCell ref="AP261:AQ261"/>
    <mergeCell ref="AR261:AS261"/>
    <mergeCell ref="AT261:AU261"/>
    <mergeCell ref="AV261:AW261"/>
    <mergeCell ref="AX261:AY261"/>
    <mergeCell ref="BN249:BO250"/>
    <mergeCell ref="BP249:BQ250"/>
    <mergeCell ref="AH250:AI250"/>
    <mergeCell ref="AJ250:AK250"/>
    <mergeCell ref="AL250:AM250"/>
    <mergeCell ref="AN250:AO250"/>
    <mergeCell ref="AP250:AQ250"/>
    <mergeCell ref="AR250:AS250"/>
    <mergeCell ref="AT250:AU250"/>
    <mergeCell ref="AV250:AW250"/>
    <mergeCell ref="AX250:AY250"/>
    <mergeCell ref="AZ250:BA250"/>
    <mergeCell ref="BB250:BC250"/>
    <mergeCell ref="BD250:BE250"/>
    <mergeCell ref="BF250:BG250"/>
    <mergeCell ref="BH250:BI250"/>
    <mergeCell ref="BJ250:BK250"/>
    <mergeCell ref="BL250:BM250"/>
    <mergeCell ref="AZ249:BA249"/>
    <mergeCell ref="BB249:BC249"/>
    <mergeCell ref="BD249:BE249"/>
    <mergeCell ref="BF249:BG249"/>
    <mergeCell ref="BH249:BI249"/>
    <mergeCell ref="BJ249:BK249"/>
    <mergeCell ref="BL249:BM249"/>
    <mergeCell ref="AH249:AI249"/>
    <mergeCell ref="AJ249:AK249"/>
    <mergeCell ref="AL249:AM249"/>
    <mergeCell ref="AN249:AO249"/>
    <mergeCell ref="AP249:AQ249"/>
    <mergeCell ref="AR249:AS249"/>
    <mergeCell ref="AT249:AU249"/>
    <mergeCell ref="AV249:AW249"/>
    <mergeCell ref="AX249:AY249"/>
    <mergeCell ref="BN224:BO225"/>
    <mergeCell ref="BP224:BQ225"/>
    <mergeCell ref="AH225:AI225"/>
    <mergeCell ref="AJ225:AK225"/>
    <mergeCell ref="AL225:AM225"/>
    <mergeCell ref="AN225:AO225"/>
    <mergeCell ref="AP225:AQ225"/>
    <mergeCell ref="AR225:AS225"/>
    <mergeCell ref="AT225:AU225"/>
    <mergeCell ref="AV225:AW225"/>
    <mergeCell ref="AX225:AY225"/>
    <mergeCell ref="AZ225:BA225"/>
    <mergeCell ref="BB225:BC225"/>
    <mergeCell ref="BD225:BE225"/>
    <mergeCell ref="BF225:BG225"/>
    <mergeCell ref="BH225:BI225"/>
    <mergeCell ref="BJ225:BK225"/>
    <mergeCell ref="BL225:BM225"/>
    <mergeCell ref="AZ224:BA224"/>
    <mergeCell ref="BB224:BC224"/>
    <mergeCell ref="BD224:BE224"/>
    <mergeCell ref="BF224:BG224"/>
    <mergeCell ref="BH224:BI224"/>
    <mergeCell ref="BJ224:BK224"/>
    <mergeCell ref="BL224:BM224"/>
    <mergeCell ref="AH224:AI224"/>
    <mergeCell ref="AJ224:AK224"/>
    <mergeCell ref="AL224:AM224"/>
    <mergeCell ref="AN224:AO224"/>
    <mergeCell ref="AP224:AQ224"/>
    <mergeCell ref="AR224:AS224"/>
    <mergeCell ref="AT224:AU224"/>
    <mergeCell ref="AV224:AW224"/>
    <mergeCell ref="AX224:AY224"/>
    <mergeCell ref="BN199:BO200"/>
    <mergeCell ref="AX199:AY199"/>
    <mergeCell ref="BP199:BQ200"/>
    <mergeCell ref="AH200:AI200"/>
    <mergeCell ref="AJ200:AK200"/>
    <mergeCell ref="AL200:AM200"/>
    <mergeCell ref="AN200:AO200"/>
    <mergeCell ref="AP200:AQ200"/>
    <mergeCell ref="AR200:AS200"/>
    <mergeCell ref="AT200:AU200"/>
    <mergeCell ref="AV200:AW200"/>
    <mergeCell ref="AX200:AY200"/>
    <mergeCell ref="AZ200:BA200"/>
    <mergeCell ref="BB200:BC200"/>
    <mergeCell ref="BD200:BE200"/>
    <mergeCell ref="BF200:BG200"/>
    <mergeCell ref="BH200:BI200"/>
    <mergeCell ref="BJ200:BK200"/>
    <mergeCell ref="BL200:BM200"/>
    <mergeCell ref="AZ199:BA199"/>
    <mergeCell ref="BB199:BC199"/>
    <mergeCell ref="BD199:BE199"/>
    <mergeCell ref="BF199:BG199"/>
    <mergeCell ref="BH199:BI199"/>
    <mergeCell ref="BJ199:BK199"/>
    <mergeCell ref="BL199:BM199"/>
    <mergeCell ref="AH199:AI199"/>
    <mergeCell ref="AJ199:AK199"/>
    <mergeCell ref="AL199:AM199"/>
    <mergeCell ref="AN199:AO199"/>
    <mergeCell ref="AP199:AQ199"/>
    <mergeCell ref="AR199:AS199"/>
    <mergeCell ref="AT199:AU199"/>
    <mergeCell ref="AV199:AW199"/>
    <mergeCell ref="BN163:BO164"/>
    <mergeCell ref="BP163:BQ164"/>
    <mergeCell ref="AH164:AI164"/>
    <mergeCell ref="AJ164:AK164"/>
    <mergeCell ref="AL164:AM164"/>
    <mergeCell ref="AN164:AO164"/>
    <mergeCell ref="AP164:AQ164"/>
    <mergeCell ref="AR164:AS164"/>
    <mergeCell ref="AT164:AU164"/>
    <mergeCell ref="AV164:AW164"/>
    <mergeCell ref="AX164:AY164"/>
    <mergeCell ref="AZ164:BA164"/>
    <mergeCell ref="BB164:BC164"/>
    <mergeCell ref="BD164:BE164"/>
    <mergeCell ref="BF164:BG164"/>
    <mergeCell ref="BH164:BI164"/>
    <mergeCell ref="BJ164:BK164"/>
    <mergeCell ref="BL164:BM164"/>
    <mergeCell ref="AZ163:BA163"/>
    <mergeCell ref="BB163:BC163"/>
    <mergeCell ref="BD163:BE163"/>
    <mergeCell ref="BF163:BG163"/>
    <mergeCell ref="BH163:BI163"/>
    <mergeCell ref="BJ163:BK163"/>
    <mergeCell ref="BL163:BM163"/>
    <mergeCell ref="AH163:AI163"/>
    <mergeCell ref="AJ163:AK163"/>
    <mergeCell ref="AL163:AM163"/>
    <mergeCell ref="AN163:AO163"/>
    <mergeCell ref="AP163:AQ163"/>
    <mergeCell ref="AR163:AS163"/>
    <mergeCell ref="AT163:AU163"/>
    <mergeCell ref="AV163:AW163"/>
    <mergeCell ref="AX163:AY163"/>
    <mergeCell ref="BN145:BO146"/>
    <mergeCell ref="BP145:BQ146"/>
    <mergeCell ref="AH146:AI146"/>
    <mergeCell ref="AJ146:AK146"/>
    <mergeCell ref="AL146:AM146"/>
    <mergeCell ref="AN146:AO146"/>
    <mergeCell ref="AP146:AQ146"/>
    <mergeCell ref="AR146:AS146"/>
    <mergeCell ref="AT146:AU146"/>
    <mergeCell ref="AV146:AW146"/>
    <mergeCell ref="AX146:AY146"/>
    <mergeCell ref="AZ146:BA146"/>
    <mergeCell ref="BB146:BC146"/>
    <mergeCell ref="BD146:BE146"/>
    <mergeCell ref="BF146:BG146"/>
    <mergeCell ref="BH146:BI146"/>
    <mergeCell ref="BJ146:BK146"/>
    <mergeCell ref="BL146:BM146"/>
    <mergeCell ref="AZ145:BA145"/>
    <mergeCell ref="BB145:BC145"/>
    <mergeCell ref="BD145:BE145"/>
    <mergeCell ref="BF145:BG145"/>
    <mergeCell ref="BH145:BI145"/>
    <mergeCell ref="BJ145:BK145"/>
    <mergeCell ref="BL145:BM145"/>
    <mergeCell ref="AH145:AI145"/>
    <mergeCell ref="AJ145:AK145"/>
    <mergeCell ref="AL145:AM145"/>
    <mergeCell ref="AN145:AO145"/>
    <mergeCell ref="AP145:AQ145"/>
    <mergeCell ref="AR145:AS145"/>
    <mergeCell ref="AT145:AU145"/>
    <mergeCell ref="AV145:AW145"/>
    <mergeCell ref="AX145:AY145"/>
    <mergeCell ref="BN129:BO130"/>
    <mergeCell ref="BP129:BQ130"/>
    <mergeCell ref="AH130:AI130"/>
    <mergeCell ref="AJ130:AK130"/>
    <mergeCell ref="AL130:AM130"/>
    <mergeCell ref="AN130:AO130"/>
    <mergeCell ref="AP130:AQ130"/>
    <mergeCell ref="AR130:AS130"/>
    <mergeCell ref="AT130:AU130"/>
    <mergeCell ref="AV130:AW130"/>
    <mergeCell ref="AX130:AY130"/>
    <mergeCell ref="AZ130:BA130"/>
    <mergeCell ref="BB130:BC130"/>
    <mergeCell ref="BD130:BE130"/>
    <mergeCell ref="BF130:BG130"/>
    <mergeCell ref="BH130:BI130"/>
    <mergeCell ref="BJ130:BK130"/>
    <mergeCell ref="BL130:BM130"/>
    <mergeCell ref="AZ129:BA129"/>
    <mergeCell ref="BB129:BC129"/>
    <mergeCell ref="BD129:BE129"/>
    <mergeCell ref="BF129:BG129"/>
    <mergeCell ref="BH129:BI129"/>
    <mergeCell ref="BJ129:BK129"/>
    <mergeCell ref="BL129:BM129"/>
    <mergeCell ref="AH129:AI129"/>
    <mergeCell ref="AJ129:AK129"/>
    <mergeCell ref="AL129:AM129"/>
    <mergeCell ref="AN129:AO129"/>
    <mergeCell ref="AP129:AQ129"/>
    <mergeCell ref="AR129:AS129"/>
    <mergeCell ref="AT129:AU129"/>
    <mergeCell ref="AV129:AW129"/>
    <mergeCell ref="AX129:AY129"/>
    <mergeCell ref="BN111:BO112"/>
    <mergeCell ref="BP111:BQ112"/>
    <mergeCell ref="AH112:AI112"/>
    <mergeCell ref="AJ112:AK112"/>
    <mergeCell ref="AL112:AM112"/>
    <mergeCell ref="AN112:AO112"/>
    <mergeCell ref="AP112:AQ112"/>
    <mergeCell ref="AR112:AS112"/>
    <mergeCell ref="AT112:AU112"/>
    <mergeCell ref="AV112:AW112"/>
    <mergeCell ref="AX112:AY112"/>
    <mergeCell ref="AZ112:BA112"/>
    <mergeCell ref="BB112:BC112"/>
    <mergeCell ref="BD112:BE112"/>
    <mergeCell ref="BF112:BG112"/>
    <mergeCell ref="BH112:BI112"/>
    <mergeCell ref="BJ112:BK112"/>
    <mergeCell ref="BL112:BM112"/>
    <mergeCell ref="AZ111:BA111"/>
    <mergeCell ref="BB111:BC111"/>
    <mergeCell ref="BD111:BE111"/>
    <mergeCell ref="BF111:BG111"/>
    <mergeCell ref="BH111:BI111"/>
    <mergeCell ref="BJ111:BK111"/>
    <mergeCell ref="BL111:BM111"/>
    <mergeCell ref="AH111:AI111"/>
    <mergeCell ref="AJ111:AK111"/>
    <mergeCell ref="AL111:AM111"/>
    <mergeCell ref="AN111:AO111"/>
    <mergeCell ref="AP111:AQ111"/>
    <mergeCell ref="AR111:AS111"/>
    <mergeCell ref="AT111:AU111"/>
    <mergeCell ref="AV111:AW111"/>
    <mergeCell ref="AX111:AY111"/>
    <mergeCell ref="BN100:BO101"/>
    <mergeCell ref="BP100:BQ101"/>
    <mergeCell ref="AH101:AI101"/>
    <mergeCell ref="AJ101:AK101"/>
    <mergeCell ref="AL101:AM101"/>
    <mergeCell ref="AN101:AO101"/>
    <mergeCell ref="AP101:AQ101"/>
    <mergeCell ref="AR101:AS101"/>
    <mergeCell ref="AT101:AU101"/>
    <mergeCell ref="AV101:AW101"/>
    <mergeCell ref="AX101:AY101"/>
    <mergeCell ref="AZ101:BA101"/>
    <mergeCell ref="BB101:BC101"/>
    <mergeCell ref="BD101:BE101"/>
    <mergeCell ref="BF101:BG101"/>
    <mergeCell ref="BH101:BI101"/>
    <mergeCell ref="BJ101:BK101"/>
    <mergeCell ref="BL101:BM101"/>
    <mergeCell ref="AZ100:BA100"/>
    <mergeCell ref="BB100:BC100"/>
    <mergeCell ref="BD100:BE100"/>
    <mergeCell ref="BF100:BG100"/>
    <mergeCell ref="BH100:BI100"/>
    <mergeCell ref="BJ100:BK100"/>
    <mergeCell ref="BL100:BM100"/>
    <mergeCell ref="AH100:AI100"/>
    <mergeCell ref="AJ100:AK100"/>
    <mergeCell ref="AL100:AM100"/>
    <mergeCell ref="AN100:AO100"/>
    <mergeCell ref="AP100:AQ100"/>
    <mergeCell ref="AR100:AS100"/>
    <mergeCell ref="AT100:AU100"/>
    <mergeCell ref="AV100:AW100"/>
    <mergeCell ref="AX100:AY100"/>
    <mergeCell ref="BN91:BO92"/>
    <mergeCell ref="BP91:BQ92"/>
    <mergeCell ref="AH92:AI92"/>
    <mergeCell ref="AJ92:AK92"/>
    <mergeCell ref="AL92:AM92"/>
    <mergeCell ref="AN92:AO92"/>
    <mergeCell ref="AP92:AQ92"/>
    <mergeCell ref="AR92:AS92"/>
    <mergeCell ref="AT92:AU92"/>
    <mergeCell ref="AV92:AW92"/>
    <mergeCell ref="AX92:AY92"/>
    <mergeCell ref="AZ92:BA92"/>
    <mergeCell ref="BB92:BC92"/>
    <mergeCell ref="BD92:BE92"/>
    <mergeCell ref="BF92:BG92"/>
    <mergeCell ref="BH92:BI92"/>
    <mergeCell ref="BJ92:BK92"/>
    <mergeCell ref="BL92:BM92"/>
    <mergeCell ref="AZ91:BA91"/>
    <mergeCell ref="BB91:BC91"/>
    <mergeCell ref="BD91:BE91"/>
    <mergeCell ref="BF91:BG91"/>
    <mergeCell ref="BH91:BI91"/>
    <mergeCell ref="BJ91:BK91"/>
    <mergeCell ref="BL91:BM91"/>
    <mergeCell ref="AH91:AI91"/>
    <mergeCell ref="AJ91:AK91"/>
    <mergeCell ref="AL91:AM91"/>
    <mergeCell ref="AN91:AO91"/>
    <mergeCell ref="AP91:AQ91"/>
    <mergeCell ref="AR91:AS91"/>
    <mergeCell ref="AT91:AU91"/>
    <mergeCell ref="AV91:AW91"/>
    <mergeCell ref="AX91:AY91"/>
    <mergeCell ref="BN77:BO78"/>
    <mergeCell ref="BP77:BQ78"/>
    <mergeCell ref="AH78:AI78"/>
    <mergeCell ref="AJ78:AK7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AZ77:BA77"/>
    <mergeCell ref="BB77:BC77"/>
    <mergeCell ref="BD77:BE77"/>
    <mergeCell ref="BF77:BG77"/>
    <mergeCell ref="BH77:BI77"/>
    <mergeCell ref="BJ77:BK77"/>
    <mergeCell ref="BL77:BM77"/>
    <mergeCell ref="AH77:AI77"/>
    <mergeCell ref="AJ77:AK77"/>
    <mergeCell ref="AL77:AM77"/>
    <mergeCell ref="AN77:AO77"/>
    <mergeCell ref="AP77:AQ77"/>
    <mergeCell ref="AR77:AS77"/>
    <mergeCell ref="AT77:AU77"/>
    <mergeCell ref="AV77:AW77"/>
    <mergeCell ref="AX77:AY77"/>
    <mergeCell ref="BN68:BO69"/>
    <mergeCell ref="BP68:BQ69"/>
    <mergeCell ref="AH69:AI69"/>
    <mergeCell ref="AJ69:AK69"/>
    <mergeCell ref="AL69:AM69"/>
    <mergeCell ref="AN69:AO69"/>
    <mergeCell ref="AP69:AQ69"/>
    <mergeCell ref="AR69:AS69"/>
    <mergeCell ref="AT69:AU69"/>
    <mergeCell ref="AV69:AW69"/>
    <mergeCell ref="AX69:AY69"/>
    <mergeCell ref="AZ69:BA69"/>
    <mergeCell ref="BB69:BC69"/>
    <mergeCell ref="BD69:BE69"/>
    <mergeCell ref="BF69:BG69"/>
    <mergeCell ref="BH69:BI69"/>
    <mergeCell ref="BJ69:BK69"/>
    <mergeCell ref="BL69:BM69"/>
    <mergeCell ref="AZ68:BA68"/>
    <mergeCell ref="BB68:BC68"/>
    <mergeCell ref="BD68:BE68"/>
    <mergeCell ref="BF68:BG68"/>
    <mergeCell ref="BH68:BI68"/>
    <mergeCell ref="BJ68:BK68"/>
    <mergeCell ref="BL68:BM68"/>
    <mergeCell ref="AH68:AI68"/>
    <mergeCell ref="AJ68:AK68"/>
    <mergeCell ref="AL68:AM68"/>
    <mergeCell ref="AN68:AO68"/>
    <mergeCell ref="AP68:AQ68"/>
    <mergeCell ref="AR68:AS68"/>
    <mergeCell ref="AT68:AU68"/>
    <mergeCell ref="AV68:AW68"/>
    <mergeCell ref="AX68:AY68"/>
    <mergeCell ref="BN57:BO58"/>
    <mergeCell ref="AX57:AY57"/>
    <mergeCell ref="BP57:BQ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H58:BI58"/>
    <mergeCell ref="BJ58:BK58"/>
    <mergeCell ref="BL58:BM58"/>
    <mergeCell ref="AZ57:BA57"/>
    <mergeCell ref="BB57:BC57"/>
    <mergeCell ref="BD57:BE57"/>
    <mergeCell ref="BF57:BG57"/>
    <mergeCell ref="BH57:BI57"/>
    <mergeCell ref="BJ57:BK57"/>
    <mergeCell ref="BL57:BM57"/>
    <mergeCell ref="AH57:AI57"/>
    <mergeCell ref="AJ57:AK57"/>
    <mergeCell ref="AL57:AM57"/>
    <mergeCell ref="AN57:AO57"/>
    <mergeCell ref="AP57:AQ57"/>
    <mergeCell ref="AR57:AS57"/>
    <mergeCell ref="AT57:AU57"/>
    <mergeCell ref="AV57:AW57"/>
    <mergeCell ref="BN27:BO28"/>
    <mergeCell ref="BP27:BQ28"/>
    <mergeCell ref="AH28:AI28"/>
    <mergeCell ref="AJ28:AK28"/>
    <mergeCell ref="AL28:AM28"/>
    <mergeCell ref="AN28:AO28"/>
    <mergeCell ref="AP28:AQ28"/>
    <mergeCell ref="AR28:AS28"/>
    <mergeCell ref="AT28:AU28"/>
    <mergeCell ref="AV28:AW28"/>
    <mergeCell ref="AX28:AY28"/>
    <mergeCell ref="AZ28:BA28"/>
    <mergeCell ref="BB28:BC28"/>
    <mergeCell ref="BD28:BE28"/>
    <mergeCell ref="BF28:BG28"/>
    <mergeCell ref="BH28:BI28"/>
    <mergeCell ref="BJ28:BK28"/>
    <mergeCell ref="BL28:BM28"/>
    <mergeCell ref="AZ27:BA27"/>
    <mergeCell ref="BB27:BC27"/>
    <mergeCell ref="BD27:BE27"/>
    <mergeCell ref="BF27:BG27"/>
    <mergeCell ref="BH27:BI27"/>
    <mergeCell ref="BJ27:BK27"/>
    <mergeCell ref="BL27:BM27"/>
    <mergeCell ref="AH27:AI27"/>
    <mergeCell ref="AJ27:AK27"/>
    <mergeCell ref="AL27:AM27"/>
    <mergeCell ref="AN27:AO27"/>
    <mergeCell ref="AP27:AQ27"/>
    <mergeCell ref="AR27:AS27"/>
    <mergeCell ref="AT27:AU27"/>
    <mergeCell ref="AV27:AW27"/>
    <mergeCell ref="AX27:AY27"/>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AZ1:BA1"/>
    <mergeCell ref="BB1:BC1"/>
    <mergeCell ref="BD1:BE1"/>
    <mergeCell ref="BF1:BG1"/>
    <mergeCell ref="BH1:BI1"/>
    <mergeCell ref="BJ1:BK1"/>
    <mergeCell ref="BL1:BM1"/>
    <mergeCell ref="AH1:AI1"/>
    <mergeCell ref="AJ1:AK1"/>
    <mergeCell ref="AL1:AM1"/>
    <mergeCell ref="AN1:AO1"/>
    <mergeCell ref="AP1:AQ1"/>
    <mergeCell ref="AR1:AS1"/>
    <mergeCell ref="AT1:AU1"/>
    <mergeCell ref="AV1:AW1"/>
    <mergeCell ref="AX1:AY1"/>
    <mergeCell ref="R1:S1"/>
    <mergeCell ref="T1:U1"/>
    <mergeCell ref="V1:W1"/>
    <mergeCell ref="B1:B3"/>
    <mergeCell ref="C1:C3"/>
    <mergeCell ref="D1:E1"/>
    <mergeCell ref="F1:G1"/>
    <mergeCell ref="H1:I1"/>
    <mergeCell ref="J1:K1"/>
    <mergeCell ref="V2:W2"/>
    <mergeCell ref="X2:Y2"/>
    <mergeCell ref="Z2:AA2"/>
    <mergeCell ref="AB2:AC2"/>
    <mergeCell ref="AD2:AE2"/>
    <mergeCell ref="AF2:AG2"/>
    <mergeCell ref="D2:E2"/>
    <mergeCell ref="F2:G2"/>
    <mergeCell ref="H2:I2"/>
    <mergeCell ref="J2:K2"/>
    <mergeCell ref="L2:M2"/>
    <mergeCell ref="N2:O2"/>
    <mergeCell ref="P2:Q2"/>
    <mergeCell ref="R2:S2"/>
    <mergeCell ref="T2:U2"/>
    <mergeCell ref="X1:Y1"/>
    <mergeCell ref="Z1:AA1"/>
    <mergeCell ref="AB1:AC1"/>
    <mergeCell ref="AD1:AE1"/>
    <mergeCell ref="AF1:AG1"/>
    <mergeCell ref="L1:M1"/>
    <mergeCell ref="N1:O1"/>
    <mergeCell ref="P1:Q1"/>
    <mergeCell ref="R27:S27"/>
    <mergeCell ref="T27:U27"/>
    <mergeCell ref="V27:W27"/>
    <mergeCell ref="B27:B29"/>
    <mergeCell ref="C27:C29"/>
    <mergeCell ref="D27:E27"/>
    <mergeCell ref="F27:G27"/>
    <mergeCell ref="H27:I27"/>
    <mergeCell ref="J27:K27"/>
    <mergeCell ref="T28:U28"/>
    <mergeCell ref="V28:W28"/>
    <mergeCell ref="X28:Y28"/>
    <mergeCell ref="Z28:AA28"/>
    <mergeCell ref="AB28:AC28"/>
    <mergeCell ref="AD28:AE28"/>
    <mergeCell ref="D28:E28"/>
    <mergeCell ref="F28:G28"/>
    <mergeCell ref="H28:I28"/>
    <mergeCell ref="J28:K28"/>
    <mergeCell ref="L28:M28"/>
    <mergeCell ref="N28:O28"/>
    <mergeCell ref="P28:Q28"/>
    <mergeCell ref="R28:S28"/>
    <mergeCell ref="X27:Y27"/>
    <mergeCell ref="Z27:AA27"/>
    <mergeCell ref="AB27:AC27"/>
    <mergeCell ref="AD27:AE27"/>
    <mergeCell ref="AF27:AG27"/>
    <mergeCell ref="AF28:AG28"/>
    <mergeCell ref="L27:M27"/>
    <mergeCell ref="N27:O27"/>
    <mergeCell ref="P27:Q27"/>
    <mergeCell ref="R57:S57"/>
    <mergeCell ref="T57:U57"/>
    <mergeCell ref="V57:W57"/>
    <mergeCell ref="B57:B59"/>
    <mergeCell ref="C57:C59"/>
    <mergeCell ref="D57:E57"/>
    <mergeCell ref="F57:G57"/>
    <mergeCell ref="H57:I57"/>
    <mergeCell ref="J57:K57"/>
    <mergeCell ref="T58:U58"/>
    <mergeCell ref="V58:W58"/>
    <mergeCell ref="X58:Y58"/>
    <mergeCell ref="Z58:AA58"/>
    <mergeCell ref="AB58:AC58"/>
    <mergeCell ref="AD58:AE58"/>
    <mergeCell ref="D58:E58"/>
    <mergeCell ref="F58:G58"/>
    <mergeCell ref="H58:I58"/>
    <mergeCell ref="J58:K58"/>
    <mergeCell ref="L58:M58"/>
    <mergeCell ref="N58:O58"/>
    <mergeCell ref="P58:Q58"/>
    <mergeCell ref="R58:S58"/>
    <mergeCell ref="X57:Y57"/>
    <mergeCell ref="Z57:AA57"/>
    <mergeCell ref="AB57:AC57"/>
    <mergeCell ref="AD57:AE57"/>
    <mergeCell ref="AF57:AG57"/>
    <mergeCell ref="AF58:AG58"/>
    <mergeCell ref="L57:M57"/>
    <mergeCell ref="N57:O57"/>
    <mergeCell ref="P57:Q57"/>
    <mergeCell ref="R68:S68"/>
    <mergeCell ref="T68:U68"/>
    <mergeCell ref="V68:W68"/>
    <mergeCell ref="B68:B70"/>
    <mergeCell ref="C68:C70"/>
    <mergeCell ref="D68:E68"/>
    <mergeCell ref="F68:G68"/>
    <mergeCell ref="H68:I68"/>
    <mergeCell ref="J68:K68"/>
    <mergeCell ref="V69:W69"/>
    <mergeCell ref="X69:Y69"/>
    <mergeCell ref="Z69:AA69"/>
    <mergeCell ref="AB69:AC69"/>
    <mergeCell ref="AD69:AE69"/>
    <mergeCell ref="AF69:AG69"/>
    <mergeCell ref="D69:E69"/>
    <mergeCell ref="F69:G69"/>
    <mergeCell ref="H69:I69"/>
    <mergeCell ref="J69:K69"/>
    <mergeCell ref="L69:M69"/>
    <mergeCell ref="N69:O69"/>
    <mergeCell ref="P69:Q69"/>
    <mergeCell ref="R69:S69"/>
    <mergeCell ref="T69:U69"/>
    <mergeCell ref="X68:Y68"/>
    <mergeCell ref="Z68:AA68"/>
    <mergeCell ref="AB68:AC68"/>
    <mergeCell ref="AD68:AE68"/>
    <mergeCell ref="AF68:AG68"/>
    <mergeCell ref="L68:M68"/>
    <mergeCell ref="N68:O68"/>
    <mergeCell ref="P68:Q68"/>
    <mergeCell ref="R77:S77"/>
    <mergeCell ref="T77:U77"/>
    <mergeCell ref="V77:W77"/>
    <mergeCell ref="B77:B79"/>
    <mergeCell ref="C77:C79"/>
    <mergeCell ref="D77:E77"/>
    <mergeCell ref="F77:G77"/>
    <mergeCell ref="H77:I77"/>
    <mergeCell ref="J77:K77"/>
    <mergeCell ref="V78:W78"/>
    <mergeCell ref="X78:Y78"/>
    <mergeCell ref="Z78:AA78"/>
    <mergeCell ref="AB78:AC78"/>
    <mergeCell ref="AD78:AE78"/>
    <mergeCell ref="AF78:AG78"/>
    <mergeCell ref="D78:E78"/>
    <mergeCell ref="F78:G78"/>
    <mergeCell ref="H78:I78"/>
    <mergeCell ref="J78:K78"/>
    <mergeCell ref="L78:M78"/>
    <mergeCell ref="N78:O78"/>
    <mergeCell ref="P78:Q78"/>
    <mergeCell ref="R78:S78"/>
    <mergeCell ref="T78:U78"/>
    <mergeCell ref="X77:Y77"/>
    <mergeCell ref="Z77:AA77"/>
    <mergeCell ref="AB77:AC77"/>
    <mergeCell ref="AD77:AE77"/>
    <mergeCell ref="AF77:AG77"/>
    <mergeCell ref="L77:M77"/>
    <mergeCell ref="N77:O77"/>
    <mergeCell ref="P77:Q77"/>
    <mergeCell ref="R91:S91"/>
    <mergeCell ref="T91:U91"/>
    <mergeCell ref="V91:W91"/>
    <mergeCell ref="B91:B93"/>
    <mergeCell ref="C91:C93"/>
    <mergeCell ref="D91:E91"/>
    <mergeCell ref="F91:G91"/>
    <mergeCell ref="H91:I91"/>
    <mergeCell ref="J91:K91"/>
    <mergeCell ref="V92:W92"/>
    <mergeCell ref="X92:Y92"/>
    <mergeCell ref="Z92:AA92"/>
    <mergeCell ref="AB92:AC92"/>
    <mergeCell ref="AD92:AE92"/>
    <mergeCell ref="AF92:AG92"/>
    <mergeCell ref="D92:E92"/>
    <mergeCell ref="F92:G92"/>
    <mergeCell ref="H92:I92"/>
    <mergeCell ref="J92:K92"/>
    <mergeCell ref="L92:M92"/>
    <mergeCell ref="N92:O92"/>
    <mergeCell ref="P92:Q92"/>
    <mergeCell ref="R92:S92"/>
    <mergeCell ref="T92:U92"/>
    <mergeCell ref="X91:Y91"/>
    <mergeCell ref="Z91:AA91"/>
    <mergeCell ref="AB91:AC91"/>
    <mergeCell ref="AD91:AE91"/>
    <mergeCell ref="AF91:AG91"/>
    <mergeCell ref="L91:M91"/>
    <mergeCell ref="N91:O91"/>
    <mergeCell ref="P91:Q91"/>
    <mergeCell ref="R100:S100"/>
    <mergeCell ref="T100:U100"/>
    <mergeCell ref="V100:W100"/>
    <mergeCell ref="B100:B102"/>
    <mergeCell ref="C100:C102"/>
    <mergeCell ref="D100:E100"/>
    <mergeCell ref="F100:G100"/>
    <mergeCell ref="H100:I100"/>
    <mergeCell ref="J100:K100"/>
    <mergeCell ref="V101:W101"/>
    <mergeCell ref="X101:Y101"/>
    <mergeCell ref="Z101:AA101"/>
    <mergeCell ref="AB101:AC101"/>
    <mergeCell ref="AD101:AE101"/>
    <mergeCell ref="AF101:AG101"/>
    <mergeCell ref="D101:E101"/>
    <mergeCell ref="F101:G101"/>
    <mergeCell ref="H101:I101"/>
    <mergeCell ref="J101:K101"/>
    <mergeCell ref="L101:M101"/>
    <mergeCell ref="N101:O101"/>
    <mergeCell ref="P101:Q101"/>
    <mergeCell ref="R101:S101"/>
    <mergeCell ref="T101:U101"/>
    <mergeCell ref="X100:Y100"/>
    <mergeCell ref="Z100:AA100"/>
    <mergeCell ref="AB100:AC100"/>
    <mergeCell ref="AD100:AE100"/>
    <mergeCell ref="AF100:AG100"/>
    <mergeCell ref="L100:M100"/>
    <mergeCell ref="N100:O100"/>
    <mergeCell ref="P100:Q100"/>
    <mergeCell ref="R111:S111"/>
    <mergeCell ref="T111:U111"/>
    <mergeCell ref="V111:W111"/>
    <mergeCell ref="B111:B113"/>
    <mergeCell ref="C111:C113"/>
    <mergeCell ref="D111:E111"/>
    <mergeCell ref="F111:G111"/>
    <mergeCell ref="H111:I111"/>
    <mergeCell ref="J111:K111"/>
    <mergeCell ref="V112:W112"/>
    <mergeCell ref="X112:Y112"/>
    <mergeCell ref="Z112:AA112"/>
    <mergeCell ref="AB112:AC112"/>
    <mergeCell ref="AD112:AE112"/>
    <mergeCell ref="AF112:AG112"/>
    <mergeCell ref="D112:E112"/>
    <mergeCell ref="F112:G112"/>
    <mergeCell ref="H112:I112"/>
    <mergeCell ref="J112:K112"/>
    <mergeCell ref="L112:M112"/>
    <mergeCell ref="N112:O112"/>
    <mergeCell ref="P112:Q112"/>
    <mergeCell ref="R112:S112"/>
    <mergeCell ref="T112:U112"/>
    <mergeCell ref="X111:Y111"/>
    <mergeCell ref="Z111:AA111"/>
    <mergeCell ref="AB111:AC111"/>
    <mergeCell ref="AD111:AE111"/>
    <mergeCell ref="AF111:AG111"/>
    <mergeCell ref="L111:M111"/>
    <mergeCell ref="N111:O111"/>
    <mergeCell ref="P111:Q111"/>
    <mergeCell ref="R129:S129"/>
    <mergeCell ref="T129:U129"/>
    <mergeCell ref="V129:W129"/>
    <mergeCell ref="B129:B131"/>
    <mergeCell ref="C129:C131"/>
    <mergeCell ref="D129:E129"/>
    <mergeCell ref="F129:G129"/>
    <mergeCell ref="H129:I129"/>
    <mergeCell ref="J129:K129"/>
    <mergeCell ref="V130:W130"/>
    <mergeCell ref="X130:Y130"/>
    <mergeCell ref="Z130:AA130"/>
    <mergeCell ref="AB130:AC130"/>
    <mergeCell ref="AD130:AE130"/>
    <mergeCell ref="AF130:AG130"/>
    <mergeCell ref="D130:E130"/>
    <mergeCell ref="F130:G130"/>
    <mergeCell ref="H130:I130"/>
    <mergeCell ref="J130:K130"/>
    <mergeCell ref="L130:M130"/>
    <mergeCell ref="N130:O130"/>
    <mergeCell ref="P130:Q130"/>
    <mergeCell ref="R130:S130"/>
    <mergeCell ref="T130:U130"/>
    <mergeCell ref="X129:Y129"/>
    <mergeCell ref="Z129:AA129"/>
    <mergeCell ref="AB129:AC129"/>
    <mergeCell ref="AD129:AE129"/>
    <mergeCell ref="AF129:AG129"/>
    <mergeCell ref="L129:M129"/>
    <mergeCell ref="N129:O129"/>
    <mergeCell ref="P129:Q129"/>
    <mergeCell ref="R145:S145"/>
    <mergeCell ref="T145:U145"/>
    <mergeCell ref="V145:W145"/>
    <mergeCell ref="B145:B147"/>
    <mergeCell ref="C145:C147"/>
    <mergeCell ref="D145:E145"/>
    <mergeCell ref="F145:G145"/>
    <mergeCell ref="H145:I145"/>
    <mergeCell ref="J145:K145"/>
    <mergeCell ref="V146:W146"/>
    <mergeCell ref="X146:Y146"/>
    <mergeCell ref="Z146:AA146"/>
    <mergeCell ref="AB146:AC146"/>
    <mergeCell ref="AD146:AE146"/>
    <mergeCell ref="AF146:AG146"/>
    <mergeCell ref="D146:E146"/>
    <mergeCell ref="F146:G146"/>
    <mergeCell ref="H146:I146"/>
    <mergeCell ref="J146:K146"/>
    <mergeCell ref="L146:M146"/>
    <mergeCell ref="N146:O146"/>
    <mergeCell ref="P146:Q146"/>
    <mergeCell ref="R146:S146"/>
    <mergeCell ref="T146:U146"/>
    <mergeCell ref="X145:Y145"/>
    <mergeCell ref="Z145:AA145"/>
    <mergeCell ref="AB145:AC145"/>
    <mergeCell ref="AD145:AE145"/>
    <mergeCell ref="AF145:AG145"/>
    <mergeCell ref="L145:M145"/>
    <mergeCell ref="N145:O145"/>
    <mergeCell ref="P145:Q145"/>
    <mergeCell ref="R163:S163"/>
    <mergeCell ref="T163:U163"/>
    <mergeCell ref="V163:W163"/>
    <mergeCell ref="B163:B165"/>
    <mergeCell ref="C163:C165"/>
    <mergeCell ref="D163:E163"/>
    <mergeCell ref="F163:G163"/>
    <mergeCell ref="H163:I163"/>
    <mergeCell ref="J163:K163"/>
    <mergeCell ref="V164:W164"/>
    <mergeCell ref="X164:Y164"/>
    <mergeCell ref="Z164:AA164"/>
    <mergeCell ref="AB164:AC164"/>
    <mergeCell ref="AD164:AE164"/>
    <mergeCell ref="AF164:AG164"/>
    <mergeCell ref="D164:E164"/>
    <mergeCell ref="F164:G164"/>
    <mergeCell ref="H164:I164"/>
    <mergeCell ref="J164:K164"/>
    <mergeCell ref="L164:M164"/>
    <mergeCell ref="N164:O164"/>
    <mergeCell ref="P164:Q164"/>
    <mergeCell ref="R164:S164"/>
    <mergeCell ref="T164:U164"/>
    <mergeCell ref="X163:Y163"/>
    <mergeCell ref="Z163:AA163"/>
    <mergeCell ref="AB163:AC163"/>
    <mergeCell ref="AD163:AE163"/>
    <mergeCell ref="AF163:AG163"/>
    <mergeCell ref="L163:M163"/>
    <mergeCell ref="N163:O163"/>
    <mergeCell ref="P163:Q163"/>
    <mergeCell ref="R199:S199"/>
    <mergeCell ref="T199:U199"/>
    <mergeCell ref="V199:W199"/>
    <mergeCell ref="B199:B201"/>
    <mergeCell ref="C199:C201"/>
    <mergeCell ref="D199:E199"/>
    <mergeCell ref="F199:G199"/>
    <mergeCell ref="H199:I199"/>
    <mergeCell ref="J199:K199"/>
    <mergeCell ref="V200:W200"/>
    <mergeCell ref="X200:Y200"/>
    <mergeCell ref="Z200:AA200"/>
    <mergeCell ref="AB200:AC200"/>
    <mergeCell ref="AD200:AE200"/>
    <mergeCell ref="AF200:AG200"/>
    <mergeCell ref="D200:E200"/>
    <mergeCell ref="F200:G200"/>
    <mergeCell ref="H200:I200"/>
    <mergeCell ref="J200:K200"/>
    <mergeCell ref="L200:M200"/>
    <mergeCell ref="N200:O200"/>
    <mergeCell ref="P200:Q200"/>
    <mergeCell ref="R200:S200"/>
    <mergeCell ref="T200:U200"/>
    <mergeCell ref="X199:Y199"/>
    <mergeCell ref="Z199:AA199"/>
    <mergeCell ref="AB199:AC199"/>
    <mergeCell ref="AD199:AE199"/>
    <mergeCell ref="AF199:AG199"/>
    <mergeCell ref="L199:M199"/>
    <mergeCell ref="N199:O199"/>
    <mergeCell ref="P199:Q199"/>
    <mergeCell ref="R224:S224"/>
    <mergeCell ref="T224:U224"/>
    <mergeCell ref="V224:W224"/>
    <mergeCell ref="B224:B226"/>
    <mergeCell ref="C224:C226"/>
    <mergeCell ref="D224:E224"/>
    <mergeCell ref="F224:G224"/>
    <mergeCell ref="H224:I224"/>
    <mergeCell ref="J224:K224"/>
    <mergeCell ref="V225:W225"/>
    <mergeCell ref="X225:Y225"/>
    <mergeCell ref="Z225:AA225"/>
    <mergeCell ref="AB225:AC225"/>
    <mergeCell ref="AD225:AE225"/>
    <mergeCell ref="AF225:AG225"/>
    <mergeCell ref="D225:E225"/>
    <mergeCell ref="F225:G225"/>
    <mergeCell ref="H225:I225"/>
    <mergeCell ref="J225:K225"/>
    <mergeCell ref="L225:M225"/>
    <mergeCell ref="N225:O225"/>
    <mergeCell ref="P225:Q225"/>
    <mergeCell ref="R225:S225"/>
    <mergeCell ref="T225:U225"/>
    <mergeCell ref="X224:Y224"/>
    <mergeCell ref="Z224:AA224"/>
    <mergeCell ref="AB224:AC224"/>
    <mergeCell ref="AD224:AE224"/>
    <mergeCell ref="AF224:AG224"/>
    <mergeCell ref="L224:M224"/>
    <mergeCell ref="N224:O224"/>
    <mergeCell ref="P224:Q224"/>
    <mergeCell ref="R249:S249"/>
    <mergeCell ref="T249:U249"/>
    <mergeCell ref="V249:W249"/>
    <mergeCell ref="B249:B251"/>
    <mergeCell ref="C249:C251"/>
    <mergeCell ref="D249:E249"/>
    <mergeCell ref="F249:G249"/>
    <mergeCell ref="H249:I249"/>
    <mergeCell ref="J249:K249"/>
    <mergeCell ref="V250:W250"/>
    <mergeCell ref="X250:Y250"/>
    <mergeCell ref="Z250:AA250"/>
    <mergeCell ref="AB250:AC250"/>
    <mergeCell ref="AD250:AE250"/>
    <mergeCell ref="AF250:AG250"/>
    <mergeCell ref="D250:E250"/>
    <mergeCell ref="F250:G250"/>
    <mergeCell ref="H250:I250"/>
    <mergeCell ref="J250:K250"/>
    <mergeCell ref="L250:M250"/>
    <mergeCell ref="N250:O250"/>
    <mergeCell ref="P250:Q250"/>
    <mergeCell ref="R250:S250"/>
    <mergeCell ref="T250:U250"/>
    <mergeCell ref="X249:Y249"/>
    <mergeCell ref="Z249:AA249"/>
    <mergeCell ref="AB249:AC249"/>
    <mergeCell ref="AD249:AE249"/>
    <mergeCell ref="AF249:AG249"/>
    <mergeCell ref="L249:M249"/>
    <mergeCell ref="N249:O249"/>
    <mergeCell ref="P249:Q249"/>
    <mergeCell ref="R261:S261"/>
    <mergeCell ref="T261:U261"/>
    <mergeCell ref="V261:W261"/>
    <mergeCell ref="B261:B263"/>
    <mergeCell ref="C261:C263"/>
    <mergeCell ref="D261:E261"/>
    <mergeCell ref="F261:G261"/>
    <mergeCell ref="H261:I261"/>
    <mergeCell ref="J261:K261"/>
    <mergeCell ref="V262:W262"/>
    <mergeCell ref="X262:Y262"/>
    <mergeCell ref="Z262:AA262"/>
    <mergeCell ref="AB262:AC262"/>
    <mergeCell ref="AD262:AE262"/>
    <mergeCell ref="AF262:AG262"/>
    <mergeCell ref="D262:E262"/>
    <mergeCell ref="F262:G262"/>
    <mergeCell ref="H262:I262"/>
    <mergeCell ref="J262:K262"/>
    <mergeCell ref="L262:M262"/>
    <mergeCell ref="N262:O262"/>
    <mergeCell ref="P262:Q262"/>
    <mergeCell ref="R262:S262"/>
    <mergeCell ref="T262:U262"/>
    <mergeCell ref="X261:Y261"/>
    <mergeCell ref="Z261:AA261"/>
    <mergeCell ref="AB261:AC261"/>
    <mergeCell ref="AD261:AE261"/>
    <mergeCell ref="AF261:AG261"/>
    <mergeCell ref="L261:M261"/>
    <mergeCell ref="N261:O261"/>
    <mergeCell ref="P261:Q261"/>
    <mergeCell ref="R295:S295"/>
    <mergeCell ref="T295:U295"/>
    <mergeCell ref="V295:W295"/>
    <mergeCell ref="B295:B297"/>
    <mergeCell ref="C295:C297"/>
    <mergeCell ref="D295:E295"/>
    <mergeCell ref="F295:G295"/>
    <mergeCell ref="H295:I295"/>
    <mergeCell ref="J295:K295"/>
    <mergeCell ref="V296:W296"/>
    <mergeCell ref="X296:Y296"/>
    <mergeCell ref="Z296:AA296"/>
    <mergeCell ref="AB296:AC296"/>
    <mergeCell ref="AD296:AE296"/>
    <mergeCell ref="AF296:AG296"/>
    <mergeCell ref="D296:E296"/>
    <mergeCell ref="F296:G296"/>
    <mergeCell ref="H296:I296"/>
    <mergeCell ref="J296:K296"/>
    <mergeCell ref="L296:M296"/>
    <mergeCell ref="N296:O296"/>
    <mergeCell ref="P296:Q296"/>
    <mergeCell ref="R296:S296"/>
    <mergeCell ref="T296:U296"/>
    <mergeCell ref="X295:Y295"/>
    <mergeCell ref="Z295:AA295"/>
    <mergeCell ref="AB295:AC295"/>
    <mergeCell ref="AD295:AE295"/>
    <mergeCell ref="AF295:AG295"/>
    <mergeCell ref="L295:M295"/>
    <mergeCell ref="N295:O295"/>
    <mergeCell ref="P295:Q295"/>
    <mergeCell ref="R330:S330"/>
    <mergeCell ref="T330:U330"/>
    <mergeCell ref="V330:W330"/>
    <mergeCell ref="B330:B332"/>
    <mergeCell ref="C330:C332"/>
    <mergeCell ref="D330:E330"/>
    <mergeCell ref="F330:G330"/>
    <mergeCell ref="H330:I330"/>
    <mergeCell ref="J330:K330"/>
    <mergeCell ref="V331:W331"/>
    <mergeCell ref="X331:Y331"/>
    <mergeCell ref="Z331:AA331"/>
    <mergeCell ref="AB331:AC331"/>
    <mergeCell ref="AD331:AE331"/>
    <mergeCell ref="AF331:AG331"/>
    <mergeCell ref="D331:E331"/>
    <mergeCell ref="F331:G331"/>
    <mergeCell ref="H331:I331"/>
    <mergeCell ref="J331:K331"/>
    <mergeCell ref="L331:M331"/>
    <mergeCell ref="N331:O331"/>
    <mergeCell ref="P331:Q331"/>
    <mergeCell ref="R331:S331"/>
    <mergeCell ref="T331:U331"/>
    <mergeCell ref="X330:Y330"/>
    <mergeCell ref="Z330:AA330"/>
    <mergeCell ref="AB330:AC330"/>
    <mergeCell ref="AD330:AE330"/>
    <mergeCell ref="AF330:AG330"/>
    <mergeCell ref="L330:M330"/>
    <mergeCell ref="N330:O330"/>
    <mergeCell ref="P330:Q330"/>
    <mergeCell ref="R346:S346"/>
    <mergeCell ref="T346:U346"/>
    <mergeCell ref="V346:W346"/>
    <mergeCell ref="B346:B348"/>
    <mergeCell ref="C346:C348"/>
    <mergeCell ref="D346:E346"/>
    <mergeCell ref="F346:G346"/>
    <mergeCell ref="H346:I346"/>
    <mergeCell ref="J346:K346"/>
    <mergeCell ref="V347:W347"/>
    <mergeCell ref="X347:Y347"/>
    <mergeCell ref="Z347:AA347"/>
    <mergeCell ref="AB347:AC347"/>
    <mergeCell ref="AD347:AE347"/>
    <mergeCell ref="AF347:AG347"/>
    <mergeCell ref="D347:E347"/>
    <mergeCell ref="F347:G347"/>
    <mergeCell ref="H347:I347"/>
    <mergeCell ref="J347:K347"/>
    <mergeCell ref="L347:M347"/>
    <mergeCell ref="N347:O347"/>
    <mergeCell ref="P347:Q347"/>
    <mergeCell ref="R347:S347"/>
    <mergeCell ref="T347:U347"/>
    <mergeCell ref="X346:Y346"/>
    <mergeCell ref="Z346:AA346"/>
    <mergeCell ref="AB346:AC346"/>
    <mergeCell ref="AD346:AE346"/>
    <mergeCell ref="AF346:AG346"/>
    <mergeCell ref="L346:M346"/>
    <mergeCell ref="N346:O346"/>
    <mergeCell ref="P346:Q346"/>
    <mergeCell ref="R368:S368"/>
    <mergeCell ref="T368:U368"/>
    <mergeCell ref="V368:W368"/>
    <mergeCell ref="B368:B370"/>
    <mergeCell ref="C368:C370"/>
    <mergeCell ref="D368:E368"/>
    <mergeCell ref="F368:G368"/>
    <mergeCell ref="H368:I368"/>
    <mergeCell ref="J368:K368"/>
    <mergeCell ref="V369:W369"/>
    <mergeCell ref="X369:Y369"/>
    <mergeCell ref="Z369:AA369"/>
    <mergeCell ref="AB369:AC369"/>
    <mergeCell ref="AD369:AE369"/>
    <mergeCell ref="AF369:AG369"/>
    <mergeCell ref="D369:E369"/>
    <mergeCell ref="F369:G369"/>
    <mergeCell ref="H369:I369"/>
    <mergeCell ref="J369:K369"/>
    <mergeCell ref="L369:M369"/>
    <mergeCell ref="N369:O369"/>
    <mergeCell ref="P369:Q369"/>
    <mergeCell ref="R369:S369"/>
    <mergeCell ref="T369:U369"/>
    <mergeCell ref="X368:Y368"/>
    <mergeCell ref="Z368:AA368"/>
    <mergeCell ref="AB368:AC368"/>
    <mergeCell ref="AD368:AE368"/>
    <mergeCell ref="AF368:AG368"/>
    <mergeCell ref="L368:M368"/>
    <mergeCell ref="N368:O368"/>
    <mergeCell ref="P368:Q368"/>
    <mergeCell ref="R379:S379"/>
    <mergeCell ref="T379:U379"/>
    <mergeCell ref="V379:W379"/>
    <mergeCell ref="B379:B381"/>
    <mergeCell ref="C379:C381"/>
    <mergeCell ref="D379:E379"/>
    <mergeCell ref="F379:G379"/>
    <mergeCell ref="H379:I379"/>
    <mergeCell ref="J379:K379"/>
    <mergeCell ref="V380:W380"/>
    <mergeCell ref="X380:Y380"/>
    <mergeCell ref="Z380:AA380"/>
    <mergeCell ref="AB380:AC380"/>
    <mergeCell ref="AD380:AE380"/>
    <mergeCell ref="AF380:AG380"/>
    <mergeCell ref="D380:E380"/>
    <mergeCell ref="F380:G380"/>
    <mergeCell ref="H380:I380"/>
    <mergeCell ref="J380:K380"/>
    <mergeCell ref="L380:M380"/>
    <mergeCell ref="N380:O380"/>
    <mergeCell ref="P380:Q380"/>
    <mergeCell ref="R380:S380"/>
    <mergeCell ref="T380:U380"/>
    <mergeCell ref="X379:Y379"/>
    <mergeCell ref="Z379:AA379"/>
    <mergeCell ref="AB379:AC379"/>
    <mergeCell ref="AD379:AE379"/>
    <mergeCell ref="AF379:AG379"/>
    <mergeCell ref="L379:M379"/>
    <mergeCell ref="N379:O379"/>
    <mergeCell ref="P379:Q379"/>
    <mergeCell ref="R412:S412"/>
    <mergeCell ref="T412:U412"/>
    <mergeCell ref="V412:W412"/>
    <mergeCell ref="B412:B414"/>
    <mergeCell ref="C412:C414"/>
    <mergeCell ref="D412:E412"/>
    <mergeCell ref="F412:G412"/>
    <mergeCell ref="H412:I412"/>
    <mergeCell ref="J412:K412"/>
    <mergeCell ref="V413:W413"/>
    <mergeCell ref="X413:Y413"/>
    <mergeCell ref="Z413:AA413"/>
    <mergeCell ref="AB413:AC413"/>
    <mergeCell ref="AD413:AE413"/>
    <mergeCell ref="AF413:AG413"/>
    <mergeCell ref="AJ412:AK413"/>
    <mergeCell ref="D413:E413"/>
    <mergeCell ref="F413:G413"/>
    <mergeCell ref="H413:I413"/>
    <mergeCell ref="J413:K413"/>
    <mergeCell ref="L413:M413"/>
    <mergeCell ref="N413:O413"/>
    <mergeCell ref="P413:Q413"/>
    <mergeCell ref="R413:S413"/>
    <mergeCell ref="T413:U413"/>
    <mergeCell ref="X412:Y412"/>
    <mergeCell ref="Z412:AA412"/>
    <mergeCell ref="AB412:AC412"/>
    <mergeCell ref="AD412:AE412"/>
    <mergeCell ref="AF412:AG412"/>
    <mergeCell ref="AH412:AI413"/>
    <mergeCell ref="L412:M412"/>
    <mergeCell ref="N412:O412"/>
    <mergeCell ref="P412:Q412"/>
    <mergeCell ref="AJ421:AK422"/>
    <mergeCell ref="D422:E422"/>
    <mergeCell ref="F422:G422"/>
    <mergeCell ref="H422:I422"/>
    <mergeCell ref="J422:K422"/>
    <mergeCell ref="L422:M422"/>
    <mergeCell ref="N422:O422"/>
    <mergeCell ref="P422:Q422"/>
    <mergeCell ref="R422:S422"/>
    <mergeCell ref="T422:U422"/>
    <mergeCell ref="X421:Y421"/>
    <mergeCell ref="Z421:AA421"/>
    <mergeCell ref="AB421:AC421"/>
    <mergeCell ref="AD421:AE421"/>
    <mergeCell ref="AF421:AG421"/>
    <mergeCell ref="AH421:AI422"/>
    <mergeCell ref="L421:M421"/>
    <mergeCell ref="N421:O421"/>
    <mergeCell ref="P421:Q421"/>
    <mergeCell ref="B435:B437"/>
    <mergeCell ref="C435:C437"/>
    <mergeCell ref="D435:E435"/>
    <mergeCell ref="F435:G435"/>
    <mergeCell ref="H435:I435"/>
    <mergeCell ref="J435:K435"/>
    <mergeCell ref="V436:W436"/>
    <mergeCell ref="X436:Y436"/>
    <mergeCell ref="Z436:AA436"/>
    <mergeCell ref="AB436:AC436"/>
    <mergeCell ref="AD436:AE436"/>
    <mergeCell ref="AF436:AG436"/>
    <mergeCell ref="R421:S421"/>
    <mergeCell ref="T421:U421"/>
    <mergeCell ref="V421:W421"/>
    <mergeCell ref="B421:B423"/>
    <mergeCell ref="C421:C423"/>
    <mergeCell ref="D421:E421"/>
    <mergeCell ref="F421:G421"/>
    <mergeCell ref="H421:I421"/>
    <mergeCell ref="J421:K421"/>
    <mergeCell ref="V422:W422"/>
    <mergeCell ref="X422:Y422"/>
    <mergeCell ref="Z422:AA422"/>
    <mergeCell ref="AB422:AC422"/>
    <mergeCell ref="AD422:AE422"/>
    <mergeCell ref="AF422:AG422"/>
    <mergeCell ref="AJ435:AK436"/>
    <mergeCell ref="D436:E436"/>
    <mergeCell ref="F436:G436"/>
    <mergeCell ref="H436:I436"/>
    <mergeCell ref="J436:K436"/>
    <mergeCell ref="L436:M436"/>
    <mergeCell ref="N436:O436"/>
    <mergeCell ref="P436:Q436"/>
    <mergeCell ref="R436:S436"/>
    <mergeCell ref="T436:U436"/>
    <mergeCell ref="X435:Y435"/>
    <mergeCell ref="Z435:AA435"/>
    <mergeCell ref="AB435:AC435"/>
    <mergeCell ref="AD435:AE435"/>
    <mergeCell ref="AF435:AG435"/>
    <mergeCell ref="AH435:AI436"/>
    <mergeCell ref="L435:M435"/>
    <mergeCell ref="N435:O435"/>
    <mergeCell ref="P435:Q435"/>
    <mergeCell ref="R435:S435"/>
    <mergeCell ref="T435:U435"/>
    <mergeCell ref="V435:W435"/>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個人別獲得表(前半）</oddHeader>
    <oddFooter>&amp;C&amp;20&amp;P / &amp;N ページ</oddFooter>
  </headerFooter>
  <rowBreaks count="11" manualBreakCount="11">
    <brk id="25" max="68" man="1"/>
    <brk id="55" max="68" man="1"/>
    <brk id="90" max="68" man="1"/>
    <brk id="127" max="68" man="1"/>
    <brk id="161" max="68" man="1"/>
    <brk id="197" max="68" man="1"/>
    <brk id="222" max="68" man="1"/>
    <brk id="259" max="16383" man="1"/>
    <brk id="293" max="68" man="1"/>
    <brk id="328" max="68" man="1"/>
    <brk id="377"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D66AC-349B-415D-A25F-CA08100E8CD6}">
  <sheetPr codeName="Sheet11">
    <pageSetUpPr fitToPage="1"/>
  </sheetPr>
  <dimension ref="A1:X91"/>
  <sheetViews>
    <sheetView showZeros="0" topLeftCell="A97" zoomScale="115" zoomScaleNormal="115" workbookViewId="0">
      <selection activeCell="C3" sqref="C3"/>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07" t="str">
        <f>CONCATENATE("グループA  ",_xlfn.VALUETOTEXT(COUNTA(A3:A14)*3+COUNTIF(B3:B14,"=●")*3),"件")</f>
        <v>グループA  45件</v>
      </c>
      <c r="B2" s="308"/>
      <c r="C2" s="80">
        <f>SUM(C3:C13)</f>
        <v>0</v>
      </c>
      <c r="E2" s="309" t="str">
        <f>CONCATENATE("グループB  ",_xlfn.VALUETOTEXT(COUNTA(E3:E13)*3+COUNTIF(F3:F13,"=●")*3),"件")</f>
        <v>グループB  33件</v>
      </c>
      <c r="F2" s="310"/>
      <c r="G2" s="80" t="e">
        <f>SUM(G3:G13)</f>
        <v>#REF!</v>
      </c>
      <c r="H2" s="2">
        <f>SUM(H3:H12)</f>
        <v>0</v>
      </c>
      <c r="I2" s="309" t="str">
        <f>CONCATENATE("グループC  ",_xlfn.VALUETOTEXT(COUNTA(I3:I13)*3+COUNTIF(J3:J13,"=●")*3),"件")</f>
        <v>グループC  39件</v>
      </c>
      <c r="J2" s="310"/>
      <c r="K2" s="80">
        <f>SUM(K3:K13)</f>
        <v>0</v>
      </c>
      <c r="M2" s="309" t="str">
        <f>CONCATENATE("グループD  ",_xlfn.VALUETOTEXT(COUNTA(M3:M12)*3+COUNTIF(N3:N12,"=●")*3),"件")</f>
        <v>グループD  36件</v>
      </c>
      <c r="N2" s="310"/>
      <c r="O2" s="434">
        <f>SUM(O3:O13)</f>
        <v>0</v>
      </c>
      <c r="P2" s="138"/>
      <c r="Q2" s="138"/>
    </row>
    <row r="3" spans="1:17" ht="14.25" thickTop="1">
      <c r="A3" s="300" t="str">
        <f>'集計表(1～3月) '!A3</f>
        <v>古瀬　裕二</v>
      </c>
      <c r="B3" s="287" t="str">
        <f>'集計表(1～3月) '!B3</f>
        <v>●</v>
      </c>
      <c r="C3" s="173">
        <f>VLOOKUP(A3,'3月'!$B$4:$BQ$342,65,FALSE)</f>
        <v>0</v>
      </c>
      <c r="D3" s="1"/>
      <c r="E3" s="302" t="str">
        <f>'集計表(1～3月) '!E3</f>
        <v>熊谷　正浩</v>
      </c>
      <c r="F3" s="289">
        <f>'集計表(1～3月) '!F3</f>
        <v>0</v>
      </c>
      <c r="G3" s="173">
        <f>VLOOKUP(E3,'3月'!$B$4:$BQ$342,65,FALSE)</f>
        <v>0</v>
      </c>
      <c r="I3" s="347" t="str">
        <f>'集計表(1～3月) '!I3</f>
        <v>佐々木　あゆみ</v>
      </c>
      <c r="J3" s="294" t="str">
        <f>'集計表(1～3月) '!J3</f>
        <v>●</v>
      </c>
      <c r="K3" s="173">
        <f>VLOOKUP(I3,'3月'!$B$4:$BQ$342,65,FALSE)</f>
        <v>0</v>
      </c>
      <c r="M3" s="305" t="str">
        <f>'集計表(1～3月) '!M3</f>
        <v>中山　明洋</v>
      </c>
      <c r="N3" s="289" t="str">
        <f>'集計表(1～3月) '!N3</f>
        <v>●</v>
      </c>
      <c r="O3" s="173">
        <f>VLOOKUP(M3,'3月'!$B$4:$BQ$342,65,FALSE)</f>
        <v>0</v>
      </c>
      <c r="P3" s="1"/>
      <c r="Q3" s="1"/>
    </row>
    <row r="4" spans="1:17">
      <c r="A4" s="301" t="str">
        <f>'集計表(1～3月) '!A4</f>
        <v>工藤　あずさ</v>
      </c>
      <c r="B4" s="288">
        <f>'集計表(1～3月) '!B4</f>
        <v>0</v>
      </c>
      <c r="C4" s="109">
        <f>VLOOKUP(A4,'3月'!$B$4:$BQ$342,65,FALSE)</f>
        <v>0</v>
      </c>
      <c r="D4" s="1"/>
      <c r="E4" s="303" t="str">
        <f>'集計表(1～3月) '!E4</f>
        <v>近藤　綾乃</v>
      </c>
      <c r="F4" s="290">
        <f>'集計表(1～3月) '!F4</f>
        <v>0</v>
      </c>
      <c r="G4" s="82">
        <f>VLOOKUP(E4,'3月'!$B$4:$BQ$342,65,FALSE)</f>
        <v>0</v>
      </c>
      <c r="I4" s="303" t="str">
        <f>'集計表(1～3月) '!I4</f>
        <v>川守田　拓</v>
      </c>
      <c r="J4" s="290">
        <f>'集計表(1～3月) '!J4</f>
        <v>0</v>
      </c>
      <c r="K4" s="82">
        <f>VLOOKUP(I4,'3月'!$B$4:$BQ$342,65,FALSE)</f>
        <v>0</v>
      </c>
      <c r="M4" s="301" t="str">
        <f>'集計表(1～3月) '!M4</f>
        <v>中里　郁子</v>
      </c>
      <c r="N4" s="290" t="str">
        <f>'集計表(1～3月) '!N4</f>
        <v>●</v>
      </c>
      <c r="O4" s="85">
        <f>VLOOKUP(M4,'3月'!$B$4:$BQ$342,65,FALSE)</f>
        <v>0</v>
      </c>
      <c r="P4" s="1"/>
      <c r="Q4" s="1"/>
    </row>
    <row r="5" spans="1:17">
      <c r="A5" s="127" t="str">
        <f>'集計表(1～3月) '!A5</f>
        <v>伊藤　良子</v>
      </c>
      <c r="B5" s="288">
        <f>'集計表(1～3月) '!B5</f>
        <v>0</v>
      </c>
      <c r="C5" s="109">
        <f>VLOOKUP(A5,'3月'!$B$4:$BQ$342,65,FALSE)</f>
        <v>0</v>
      </c>
      <c r="D5" s="1"/>
      <c r="E5" s="127" t="str">
        <f>'集計表(1～3月) '!E5</f>
        <v>石橋　直子</v>
      </c>
      <c r="F5" s="290">
        <f>'集計表(1～3月) '!F5</f>
        <v>0</v>
      </c>
      <c r="G5" s="82">
        <f>VLOOKUP(E5,'3月'!$B$4:$BQ$342,65,FALSE)</f>
        <v>0</v>
      </c>
      <c r="I5" s="125" t="str">
        <f>'集計表(1～3月) '!I5</f>
        <v>上村　聰子</v>
      </c>
      <c r="J5" s="290">
        <f>'集計表(1～3月) '!J5</f>
        <v>0</v>
      </c>
      <c r="K5" s="82">
        <f>VLOOKUP(I5,'3月'!$B$4:$BQ$342,65,FALSE)</f>
        <v>0</v>
      </c>
      <c r="M5" s="127" t="str">
        <f>'集計表(1～3月) '!M5</f>
        <v>川村　一覚</v>
      </c>
      <c r="N5" s="290">
        <f>'集計表(1～3月) '!N5</f>
        <v>0</v>
      </c>
      <c r="O5" s="85">
        <f>VLOOKUP(M5,'3月'!$B$4:$BQ$342,65,FALSE)</f>
        <v>0</v>
      </c>
      <c r="P5" s="1"/>
      <c r="Q5" s="1"/>
    </row>
    <row r="6" spans="1:17">
      <c r="A6" s="127" t="str">
        <f>'集計表(1～3月) '!A6</f>
        <v>梅津　昭勝</v>
      </c>
      <c r="B6" s="136" t="str">
        <f>'集計表(1～3月) '!B6</f>
        <v>●</v>
      </c>
      <c r="C6" s="109">
        <f>VLOOKUP(A6,'3月'!$B$4:$BQ$342,65,FALSE)</f>
        <v>0</v>
      </c>
      <c r="D6" s="1"/>
      <c r="E6" s="125" t="str">
        <f>'集計表(1～3月) '!E6</f>
        <v>上野　喜幸</v>
      </c>
      <c r="F6" s="290">
        <f>'集計表(1～3月) '!F6</f>
        <v>0</v>
      </c>
      <c r="G6" s="82">
        <f>VLOOKUP(E6,'3月'!$B$4:$BQ$342,65,FALSE)</f>
        <v>0</v>
      </c>
      <c r="I6" s="125" t="str">
        <f>'集計表(1～3月) '!I6</f>
        <v>大下　孝志</v>
      </c>
      <c r="J6" s="290">
        <f>'集計表(1～3月) '!J6</f>
        <v>0</v>
      </c>
      <c r="K6" s="82">
        <f>VLOOKUP(I6,'3月'!$B$4:$BQ$342,65,FALSE)</f>
        <v>0</v>
      </c>
      <c r="M6" s="127" t="str">
        <f>'集計表(1～3月) '!M6</f>
        <v>小西　裕子</v>
      </c>
      <c r="N6" s="290">
        <f>'集計表(1～3月) '!N6</f>
        <v>0</v>
      </c>
      <c r="O6" s="85">
        <f>VLOOKUP(M6,'3月'!$B$4:$BQ$342,65,FALSE)</f>
        <v>0</v>
      </c>
      <c r="P6" s="1"/>
      <c r="Q6" s="1"/>
    </row>
    <row r="7" spans="1:17">
      <c r="A7" s="127" t="str">
        <f>'集計表(1～3月) '!A7</f>
        <v>河村　久美子</v>
      </c>
      <c r="B7" s="288">
        <f>'集計表(1～3月) '!B7</f>
        <v>0</v>
      </c>
      <c r="C7" s="109">
        <f>VLOOKUP(A7,'3月'!$B$4:$BQ$342,65,FALSE)</f>
        <v>0</v>
      </c>
      <c r="D7" s="1"/>
      <c r="E7" s="125" t="e">
        <f>'集計表(1～3月) '!#REF!</f>
        <v>#REF!</v>
      </c>
      <c r="F7" s="290" t="e">
        <f>'集計表(1～3月) '!#REF!</f>
        <v>#REF!</v>
      </c>
      <c r="G7" s="82" t="e">
        <f>VLOOKUP(E7,'3月'!$B$4:$BQ$342,65,FALSE)</f>
        <v>#REF!</v>
      </c>
      <c r="I7" s="125" t="str">
        <f>'集計表(1～3月) '!I7</f>
        <v>小笠原　健一</v>
      </c>
      <c r="J7" s="290">
        <f>'集計表(1～3月) '!J7</f>
        <v>0</v>
      </c>
      <c r="K7" s="82">
        <f>VLOOKUP(I7,'3月'!$B$4:$BQ$342,65,FALSE)</f>
        <v>0</v>
      </c>
      <c r="M7" s="127" t="str">
        <f>'集計表(1～3月) '!M7</f>
        <v>坂口　典子</v>
      </c>
      <c r="N7" s="290">
        <f>'集計表(1～3月) '!N7</f>
        <v>0</v>
      </c>
      <c r="O7" s="85">
        <f>VLOOKUP(M7,'3月'!$B$4:$BQ$342,65,FALSE)</f>
        <v>0</v>
      </c>
      <c r="P7" s="1"/>
      <c r="Q7" s="1"/>
    </row>
    <row r="8" spans="1:17">
      <c r="A8" s="127" t="str">
        <f>'集計表(1～3月) '!A8</f>
        <v>木村　貴子</v>
      </c>
      <c r="B8" s="344">
        <f>'集計表(1～3月) '!B8</f>
        <v>0</v>
      </c>
      <c r="C8" s="109">
        <f>VLOOKUP(A8,'3月'!$B$4:$BQ$342,65,FALSE)</f>
        <v>0</v>
      </c>
      <c r="D8" s="1"/>
      <c r="E8" s="125" t="str">
        <f>'集計表(1～3月) '!E7</f>
        <v>小平　厚子</v>
      </c>
      <c r="F8" s="290">
        <f>'集計表(1～3月) '!F7</f>
        <v>0</v>
      </c>
      <c r="G8" s="82">
        <f>VLOOKUP(E8,'3月'!$B$4:$BQ$342,65,FALSE)</f>
        <v>0</v>
      </c>
      <c r="I8" s="131" t="str">
        <f>'集計表(1～3月) '!I8</f>
        <v>奥谷　和広</v>
      </c>
      <c r="J8" s="293" t="str">
        <f>'集計表(1～3月) '!J8</f>
        <v>●</v>
      </c>
      <c r="K8" s="82">
        <f>VLOOKUP(I8,'3月'!$B$4:$BQ$342,65,FALSE)</f>
        <v>0</v>
      </c>
      <c r="M8" s="127" t="str">
        <f>'集計表(1～3月) '!M8</f>
        <v>佐藤　進</v>
      </c>
      <c r="N8" s="290">
        <f>'集計表(1～3月) '!N8</f>
        <v>0</v>
      </c>
      <c r="O8" s="85">
        <f>VLOOKUP(M8,'3月'!$B$4:$BQ$342,65,FALSE)</f>
        <v>0</v>
      </c>
      <c r="P8" s="1"/>
      <c r="Q8" s="1"/>
    </row>
    <row r="9" spans="1:17">
      <c r="A9" s="127" t="str">
        <f>'集計表(1～3月) '!A9</f>
        <v>澤田　敏秋</v>
      </c>
      <c r="B9" s="288" t="str">
        <f>'集計表(1～3月) '!B9</f>
        <v>●</v>
      </c>
      <c r="C9" s="109">
        <f>VLOOKUP(A9,'3月'!$B$4:$BQ$342,65,FALSE)</f>
        <v>0</v>
      </c>
      <c r="D9" s="1"/>
      <c r="E9" s="125" t="str">
        <f>'集計表(1～3月) '!E8</f>
        <v>坂本　里美</v>
      </c>
      <c r="F9" s="290">
        <f>'集計表(1～3月) '!F8</f>
        <v>0</v>
      </c>
      <c r="G9" s="82">
        <f>VLOOKUP(E9,'3月'!$B$4:$BQ$342,65,FALSE)</f>
        <v>0</v>
      </c>
      <c r="I9" s="131" t="str">
        <f>'集計表(1～3月) '!I9</f>
        <v>工藤　春美</v>
      </c>
      <c r="J9" s="293">
        <f>'集計表(1～3月) '!J9</f>
        <v>0</v>
      </c>
      <c r="K9" s="82">
        <f>VLOOKUP(I9,'3月'!$B$4:$BQ$342,65,FALSE)</f>
        <v>0</v>
      </c>
      <c r="M9" s="127" t="str">
        <f>'集計表(1～3月) '!M9</f>
        <v>戸舘　直人</v>
      </c>
      <c r="N9" s="293">
        <f>'集計表(1～3月) '!N9</f>
        <v>0</v>
      </c>
      <c r="O9" s="85">
        <f>VLOOKUP(M9,'3月'!$B$4:$BQ$342,65,FALSE)</f>
        <v>0</v>
      </c>
      <c r="P9" s="1"/>
      <c r="Q9" s="1"/>
    </row>
    <row r="10" spans="1:17">
      <c r="A10" s="127" t="str">
        <f>'集計表(1～3月) '!A10</f>
        <v>瀧口　健史</v>
      </c>
      <c r="B10" s="290">
        <f>'集計表(1～3月) '!B10</f>
        <v>0</v>
      </c>
      <c r="C10" s="109">
        <f>VLOOKUP(A10,'3月'!$B$4:$BQ$342,65,FALSE)</f>
        <v>0</v>
      </c>
      <c r="D10" s="1"/>
      <c r="E10" s="125" t="str">
        <f>'集計表(1～3月) '!E9</f>
        <v>杉浦　ゆみ子</v>
      </c>
      <c r="F10" s="290">
        <f>'集計表(1～3月) '!F9</f>
        <v>0</v>
      </c>
      <c r="G10" s="82">
        <f>VLOOKUP(E10,'3月'!$B$4:$BQ$342,65,FALSE)</f>
        <v>0</v>
      </c>
      <c r="I10" s="125" t="str">
        <f>'集計表(1～3月) '!I10</f>
        <v>今野　友生</v>
      </c>
      <c r="J10" s="290">
        <f>'集計表(1～3月) '!J10</f>
        <v>0</v>
      </c>
      <c r="K10" s="82">
        <f>VLOOKUP(I10,'3月'!$B$4:$BQ$342,65,FALSE)</f>
        <v>0</v>
      </c>
      <c r="M10" s="127" t="str">
        <f>'集計表(1～3月) '!M10</f>
        <v>豊川　真紀</v>
      </c>
      <c r="N10" s="293">
        <f>'集計表(1～3月) '!N10</f>
        <v>0</v>
      </c>
      <c r="O10" s="85">
        <f>VLOOKUP(M10,'3月'!$B$4:$BQ$342,65,FALSE)</f>
        <v>0</v>
      </c>
      <c r="P10" s="1"/>
      <c r="Q10" s="1"/>
    </row>
    <row r="11" spans="1:17">
      <c r="A11" s="125" t="str">
        <f>'集計表(1～3月) '!A11</f>
        <v>中村　盛宥</v>
      </c>
      <c r="B11" s="290">
        <f>'集計表(1～3月) '!B11</f>
        <v>0</v>
      </c>
      <c r="C11" s="109">
        <f>VLOOKUP(A11,'3月'!$B$4:$BQ$342,65,FALSE)</f>
        <v>0</v>
      </c>
      <c r="D11" s="1"/>
      <c r="E11" s="129" t="str">
        <f>'集計表(1～3月) '!E10</f>
        <v>出貝　千拓</v>
      </c>
      <c r="F11" s="291">
        <f>'集計表(1～3月) '!F10</f>
        <v>0</v>
      </c>
      <c r="G11" s="82">
        <f>VLOOKUP(E11,'3月'!$B$4:$BQ$342,65,FALSE)</f>
        <v>0</v>
      </c>
      <c r="I11" s="125" t="str">
        <f>'集計表(1～3月) '!I11</f>
        <v>柞木田　久子</v>
      </c>
      <c r="J11" s="290">
        <f>'集計表(1～3月) '!J11</f>
        <v>0</v>
      </c>
      <c r="K11" s="82">
        <f>VLOOKUP(I11,'3月'!$B$4:$BQ$342,65,FALSE)</f>
        <v>0</v>
      </c>
      <c r="M11" s="127" t="str">
        <f>'集計表(1～3月) '!M11</f>
        <v>野﨑　浩士</v>
      </c>
      <c r="N11" s="293">
        <f>'集計表(1～3月) '!N11</f>
        <v>0</v>
      </c>
      <c r="O11" s="85">
        <f>VLOOKUP(M11,'3月'!$B$4:$BQ$342,65,FALSE)</f>
        <v>0</v>
      </c>
      <c r="P11" s="1"/>
      <c r="Q11" s="1"/>
    </row>
    <row r="12" spans="1:17" ht="14.25" thickBot="1">
      <c r="A12" s="127" t="str">
        <f>'集計表(1～3月) '!A12</f>
        <v>廣田　真紀</v>
      </c>
      <c r="B12" s="290">
        <f>'集計表(1～3月) '!B12</f>
        <v>0</v>
      </c>
      <c r="C12" s="109">
        <f>VLOOKUP(A12,'3月'!$B$4:$BQ$342,65,FALSE)</f>
        <v>0</v>
      </c>
      <c r="E12" s="273" t="str">
        <f>'集計表(1～3月) '!E11</f>
        <v>松井　蓮奈</v>
      </c>
      <c r="F12" s="290">
        <f>'集計表(1～3月) '!F11</f>
        <v>0</v>
      </c>
      <c r="G12" s="82">
        <f>VLOOKUP(E12,'3月'!$B$4:$BQ$342,65,FALSE)</f>
        <v>0</v>
      </c>
      <c r="I12" s="125" t="str">
        <f>'集計表(1～3月) '!I12</f>
        <v>田名部　夢生</v>
      </c>
      <c r="J12" s="290">
        <f>'集計表(1～3月) '!J12</f>
        <v>0</v>
      </c>
      <c r="K12" s="82">
        <f>VLOOKUP(I12,'3月'!$B$4:$BQ$342,65,FALSE)</f>
        <v>0</v>
      </c>
      <c r="M12" s="126" t="str">
        <f>'集計表(1～3月) '!M12</f>
        <v>林　悠</v>
      </c>
      <c r="N12" s="295">
        <f>'集計表(1～3月) '!N12</f>
        <v>0</v>
      </c>
      <c r="O12" s="191">
        <f>VLOOKUP(M12,'3月'!$B$4:$BQ$342,65,FALSE)</f>
        <v>0</v>
      </c>
      <c r="P12" s="1"/>
      <c r="Q12" s="1"/>
    </row>
    <row r="13" spans="1:17" ht="14.25" thickBot="1">
      <c r="A13" s="343" t="str">
        <f>'集計表(1～3月) '!A13</f>
        <v>三浦　賢子</v>
      </c>
      <c r="B13" s="345">
        <f>'集計表(1～3月) '!B13</f>
        <v>0</v>
      </c>
      <c r="C13" s="83">
        <f>VLOOKUP(A13,'3月'!$B$4:$BQ$342,65,FALSE)</f>
        <v>0</v>
      </c>
      <c r="D13" s="1"/>
      <c r="E13" s="296" t="str">
        <f>'集計表(1～3月) '!E12</f>
        <v>山内　まゆみ</v>
      </c>
      <c r="F13" s="297">
        <f>'集計表(1～3月) '!F12</f>
        <v>0</v>
      </c>
      <c r="G13" s="84">
        <f>VLOOKUP(E13,'3月'!$B$4:$BQ$342,65,FALSE)</f>
        <v>0</v>
      </c>
      <c r="I13" s="270" t="str">
        <f>'集計表(1～3月) '!I13</f>
        <v>三浦　朱里</v>
      </c>
      <c r="J13" s="292">
        <f>'集計表(1～3月) '!J13</f>
        <v>0</v>
      </c>
      <c r="K13" s="84">
        <f>VLOOKUP(I13,'3月'!$B$4:$BQ$342,65,FALSE)</f>
        <v>0</v>
      </c>
      <c r="M13" s="134"/>
      <c r="N13" s="192"/>
      <c r="P13" s="1"/>
      <c r="Q13" s="1"/>
    </row>
    <row r="14" spans="1:17" ht="14.25" thickBot="1">
      <c r="A14" s="126" t="str">
        <f>'集計表(1～3月) '!A14</f>
        <v>渡辺　真由美</v>
      </c>
      <c r="B14" s="292">
        <f>'集計表(1～3月) '!B14</f>
        <v>0</v>
      </c>
      <c r="C14" s="174">
        <f>VLOOKUP(A14,'3月'!$B$4:$BQ$342,65,FALSE)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07" t="str">
        <f>CONCATENATE("グループE  ",_xlfn.VALUETOTEXT(COUNTA(A17:A27)*3+COUNTIF(B17:B27,"=●")*3),"件")</f>
        <v>グループE  42件</v>
      </c>
      <c r="B16" s="308"/>
      <c r="C16" s="80">
        <f>SUM(C17:C27)</f>
        <v>0</v>
      </c>
      <c r="E16" s="309" t="str">
        <f>CONCATENATE("グループF  ",_xlfn.VALUETOTEXT(COUNTA(E17:E27)*3+COUNTIF(F17:F27,"=●")*3),"件")</f>
        <v>グループF  33件</v>
      </c>
      <c r="F16" s="310"/>
      <c r="G16" s="80">
        <f>SUM(G17:G27)</f>
        <v>0</v>
      </c>
      <c r="H16" s="2">
        <f>SUM(H17:H26)</f>
        <v>0</v>
      </c>
      <c r="I16" s="309" t="str">
        <f>CONCATENATE("グループG  ",_xlfn.VALUETOTEXT(COUNTA(I17:I27)*3+COUNTIF(J17:J27,"=●")*3),"件")</f>
        <v>グループG  42件</v>
      </c>
      <c r="J16" s="310"/>
      <c r="K16" s="80">
        <f>SUM(K17:K28)</f>
        <v>0</v>
      </c>
      <c r="M16" s="309" t="str">
        <f>CONCATENATE("グループH  ",_xlfn.VALUETOTEXT(COUNTA(M17:M27)*3+COUNTIF(N17:N27,"=●")*3),"件")</f>
        <v>グループH  39件</v>
      </c>
      <c r="N16" s="310"/>
      <c r="O16" s="80">
        <f>SUM(O17:O26)</f>
        <v>0</v>
      </c>
      <c r="P16" s="2"/>
      <c r="Q16" s="1"/>
    </row>
    <row r="17" spans="1:21" ht="14.25" thickTop="1">
      <c r="A17" s="300" t="str">
        <f>'集計表(1～3月) '!A17</f>
        <v>丹治　祐介</v>
      </c>
      <c r="B17" s="287" t="str">
        <f>'集計表(1～3月) '!B17</f>
        <v>●</v>
      </c>
      <c r="C17" s="173">
        <f>VLOOKUP(A17,'3月'!$B$4:$BQ$342,65,FALSE)</f>
        <v>0</v>
      </c>
      <c r="D17" s="1"/>
      <c r="E17" s="300" t="str">
        <f>'集計表(1～3月) '!E17</f>
        <v>小川　雅規</v>
      </c>
      <c r="F17" s="289">
        <f>'集計表(1～3月) '!F17</f>
        <v>0</v>
      </c>
      <c r="G17" s="173">
        <f>VLOOKUP(E17,'3月'!$B$4:$BQ$342,65,FALSE)</f>
        <v>0</v>
      </c>
      <c r="I17" s="304" t="str">
        <f>'集計表(1～3月) '!I17</f>
        <v>成田　和史</v>
      </c>
      <c r="J17" s="294" t="str">
        <f>'集計表(1～3月) '!J17</f>
        <v>●</v>
      </c>
      <c r="K17" s="173">
        <f>VLOOKUP(I17,'3月'!$B$4:$BQ$342,65,FALSE)</f>
        <v>0</v>
      </c>
      <c r="M17" s="305" t="str">
        <f>'集計表(1～3月) '!M17</f>
        <v>櫛引　康平</v>
      </c>
      <c r="N17" s="289" t="str">
        <f>'集計表(1～3月) '!N17</f>
        <v>●</v>
      </c>
      <c r="O17" s="173">
        <f>VLOOKUP(M17,'3月'!$B$4:$BQ$342,65,FALSE)</f>
        <v>0</v>
      </c>
      <c r="P17" s="2"/>
    </row>
    <row r="18" spans="1:21">
      <c r="A18" s="301" t="str">
        <f>'集計表(1～3月) '!A18</f>
        <v>庭田　留美子</v>
      </c>
      <c r="B18" s="288">
        <f>'集計表(1～3月) '!B18</f>
        <v>0</v>
      </c>
      <c r="C18" s="109">
        <f>VLOOKUP(A18,'3月'!$B$4:$BQ$342,65,FALSE)</f>
        <v>0</v>
      </c>
      <c r="D18" s="1"/>
      <c r="E18" s="339" t="str">
        <f>'集計表(1～3月) '!E18</f>
        <v>上村　郁絵</v>
      </c>
      <c r="F18" s="290">
        <f>'集計表(1～3月) '!F18</f>
        <v>0</v>
      </c>
      <c r="G18" s="82">
        <f>VLOOKUP(E18,'3月'!$B$4:$BQ$342,65,FALSE)</f>
        <v>0</v>
      </c>
      <c r="I18" s="615" t="str">
        <f>'集計表(1～3月) '!I18</f>
        <v>中里　一賢</v>
      </c>
      <c r="J18" s="290" t="str">
        <f>'集計表(1～3月) '!J18</f>
        <v>●</v>
      </c>
      <c r="K18" s="82">
        <f>VLOOKUP(I18,'3月'!$B$4:$BQ$342,65,FALSE)</f>
        <v>0</v>
      </c>
      <c r="M18" s="301" t="str">
        <f>'集計表(1～3月) '!M18</f>
        <v>熊野　大助</v>
      </c>
      <c r="N18" s="290" t="str">
        <f>'集計表(1～3月) '!N18</f>
        <v>●</v>
      </c>
      <c r="O18" s="85">
        <f>VLOOKUP(M18,'3月'!$B$4:$BQ$342,65,FALSE)</f>
        <v>0</v>
      </c>
    </row>
    <row r="19" spans="1:21">
      <c r="A19" s="127" t="str">
        <f>'集計表(1～3月) '!A19</f>
        <v>泉山　郁子</v>
      </c>
      <c r="B19" s="288">
        <f>'集計表(1～3月) '!B19</f>
        <v>0</v>
      </c>
      <c r="C19" s="109">
        <f>VLOOKUP(A19,'3月'!$B$4:$BQ$342,65,FALSE)</f>
        <v>0</v>
      </c>
      <c r="D19" s="1"/>
      <c r="E19" s="125" t="str">
        <f>'集計表(1～3月) '!E19</f>
        <v>大下　里美</v>
      </c>
      <c r="F19" s="290">
        <f>'集計表(1～3月) '!F19</f>
        <v>0</v>
      </c>
      <c r="G19" s="82">
        <f>VLOOKUP(E19,'3月'!$B$4:$BQ$342,65,FALSE)</f>
        <v>0</v>
      </c>
      <c r="I19" s="616" t="str">
        <f>'集計表(1～3月) '!I19</f>
        <v>川井　博和</v>
      </c>
      <c r="J19" s="290" t="str">
        <f>'集計表(1～3月) '!J19</f>
        <v>●</v>
      </c>
      <c r="K19" s="82">
        <f>VLOOKUP(I19,'3月'!$B$4:$BQ$342,65,FALSE)</f>
        <v>0</v>
      </c>
      <c r="M19" s="127" t="str">
        <f>'集計表(1～3月) '!M19</f>
        <v>川合　健司</v>
      </c>
      <c r="N19" s="290">
        <f>'集計表(1～3月) '!N19</f>
        <v>0</v>
      </c>
      <c r="O19" s="85">
        <f>VLOOKUP(M19,'3月'!$B$4:$BQ$342,65,FALSE)</f>
        <v>0</v>
      </c>
      <c r="P19" s="2">
        <f>SUM(P20:P29)</f>
        <v>0</v>
      </c>
    </row>
    <row r="20" spans="1:21">
      <c r="A20" s="127" t="str">
        <f>'集計表(1～3月) '!A20</f>
        <v>岩間　留理子</v>
      </c>
      <c r="B20" s="288">
        <f>'集計表(1～3月) '!B20</f>
        <v>0</v>
      </c>
      <c r="C20" s="109">
        <f>VLOOKUP(A20,'3月'!$B$4:$BQ$342,65,FALSE)</f>
        <v>0</v>
      </c>
      <c r="D20" s="1"/>
      <c r="E20" s="125" t="str">
        <f>'集計表(1～3月) '!E20</f>
        <v>木田　美紀</v>
      </c>
      <c r="F20" s="290">
        <f>'集計表(1～3月) '!F20</f>
        <v>0</v>
      </c>
      <c r="G20" s="82">
        <f>VLOOKUP(E20,'3月'!$B$4:$BQ$342,65,FALSE)</f>
        <v>0</v>
      </c>
      <c r="I20" s="144" t="str">
        <f>'集計表(1～3月) '!I20</f>
        <v>坂井田　一徳</v>
      </c>
      <c r="J20" s="290">
        <f>'集計表(1～3月) '!J20</f>
        <v>0</v>
      </c>
      <c r="K20" s="82">
        <f>VLOOKUP(I20,'3月'!$B$4:$BQ$342,65,FALSE)</f>
        <v>0</v>
      </c>
      <c r="M20" s="127" t="str">
        <f>'集計表(1～3月) '!M20</f>
        <v>細越　加司子</v>
      </c>
      <c r="N20" s="290">
        <f>'集計表(1～3月) '!N20</f>
        <v>0</v>
      </c>
      <c r="O20" s="85">
        <f>VLOOKUP(M20,'3月'!$B$4:$BQ$342,65,FALSE)</f>
        <v>0</v>
      </c>
    </row>
    <row r="21" spans="1:21">
      <c r="A21" s="127" t="str">
        <f>'集計表(1～3月) '!A21</f>
        <v>久保　沙織</v>
      </c>
      <c r="B21" s="288">
        <f>'集計表(1～3月) '!B21</f>
        <v>0</v>
      </c>
      <c r="C21" s="109">
        <f>VLOOKUP(A21,'3月'!$B$4:$BQ$342,65,FALSE)</f>
        <v>0</v>
      </c>
      <c r="D21" s="1"/>
      <c r="E21" s="125" t="str">
        <f>'集計表(1～3月) '!E21</f>
        <v>佐々木　亮</v>
      </c>
      <c r="F21" s="290">
        <f>'集計表(1～3月) '!F21</f>
        <v>0</v>
      </c>
      <c r="G21" s="82">
        <f>VLOOKUP(E21,'3月'!$B$4:$BQ$342,65,FALSE)</f>
        <v>0</v>
      </c>
      <c r="I21" s="127" t="str">
        <f>'集計表(1～3月) '!I21</f>
        <v>下舘　はるみ</v>
      </c>
      <c r="J21" s="290">
        <f>'集計表(1～3月) '!J21</f>
        <v>0</v>
      </c>
      <c r="K21" s="82">
        <f>VLOOKUP(I21,'3月'!$B$4:$BQ$342,65,FALSE)</f>
        <v>0</v>
      </c>
      <c r="M21" s="127" t="str">
        <f>'集計表(1～3月) '!M21</f>
        <v>佐々木　清</v>
      </c>
      <c r="N21" s="290">
        <f>'集計表(1～3月) '!N21</f>
        <v>0</v>
      </c>
      <c r="O21" s="85">
        <f>VLOOKUP(M21,'3月'!$B$4:$BQ$342,65,FALSE)</f>
        <v>0</v>
      </c>
    </row>
    <row r="22" spans="1:21">
      <c r="A22" s="129" t="str">
        <f>'集計表(1～3月) '!A22</f>
        <v>品田　ゆり</v>
      </c>
      <c r="B22" s="290">
        <f>'集計表(1～3月) '!B22</f>
        <v>0</v>
      </c>
      <c r="C22" s="109">
        <f>VLOOKUP(A22,'3月'!$B$4:$BQ$342,65,FALSE)</f>
        <v>0</v>
      </c>
      <c r="D22" s="1"/>
      <c r="E22" s="125" t="str">
        <f>'集計表(1～3月) '!E22</f>
        <v>白坂　弘幸</v>
      </c>
      <c r="F22" s="290">
        <f>'集計表(1～3月) '!F22</f>
        <v>0</v>
      </c>
      <c r="G22" s="82">
        <f>VLOOKUP(E22,'3月'!$B$4:$BQ$342,65,FALSE)</f>
        <v>0</v>
      </c>
      <c r="I22" s="127" t="str">
        <f>'集計表(1～3月) '!I22</f>
        <v>照屋　育子</v>
      </c>
      <c r="J22" s="293">
        <f>'集計表(1～3月) '!J22</f>
        <v>0</v>
      </c>
      <c r="K22" s="82">
        <f>VLOOKUP(I22,'3月'!$B$4:$BQ$342,65,FALSE)</f>
        <v>0</v>
      </c>
      <c r="M22" s="319" t="str">
        <f>'集計表(1～3月) '!M22</f>
        <v>佐々木　めぐみ</v>
      </c>
      <c r="N22" s="290">
        <f>'集計表(1～3月) '!N22</f>
        <v>0</v>
      </c>
      <c r="O22" s="85">
        <f>VLOOKUP(M22,'3月'!$B$4:$BQ$342,65,FALSE)</f>
        <v>0</v>
      </c>
    </row>
    <row r="23" spans="1:21">
      <c r="A23" s="127" t="str">
        <f>'集計表(1～3月) '!A23</f>
        <v>高橋　真理子</v>
      </c>
      <c r="B23" s="288">
        <f>'集計表(1～3月) '!B23</f>
        <v>0</v>
      </c>
      <c r="C23" s="109">
        <f>VLOOKUP(A23,'3月'!$B$4:$BQ$342,65,FALSE)</f>
        <v>0</v>
      </c>
      <c r="D23" s="1"/>
      <c r="E23" s="125" t="str">
        <f>'集計表(1～3月) '!E23</f>
        <v>白戸　祐理</v>
      </c>
      <c r="F23" s="290">
        <f>'集計表(1～3月) '!F23</f>
        <v>0</v>
      </c>
      <c r="G23" s="82">
        <f>VLOOKUP(E23,'3月'!$B$4:$BQ$342,65,FALSE)</f>
        <v>0</v>
      </c>
      <c r="I23" s="144" t="str">
        <f>'集計表(1～3月) '!I23</f>
        <v>中山　知佳</v>
      </c>
      <c r="J23" s="293">
        <f>'集計表(1～3月) '!J23</f>
        <v>0</v>
      </c>
      <c r="K23" s="82">
        <f>VLOOKUP(I23,'3月'!$B$4:$BQ$342,65,FALSE)</f>
        <v>0</v>
      </c>
      <c r="M23" s="144" t="str">
        <f>'集計表(1～3月) '!M23</f>
        <v>佐藤　真夏</v>
      </c>
      <c r="N23" s="293">
        <f>'集計表(1～3月) '!N23</f>
        <v>0</v>
      </c>
      <c r="O23" s="85">
        <f>VLOOKUP(M23,'3月'!$B$4:$BQ$342,65,FALSE)</f>
        <v>0</v>
      </c>
      <c r="P23" s="2"/>
      <c r="Q23" s="139"/>
    </row>
    <row r="24" spans="1:21">
      <c r="A24" s="127" t="str">
        <f>'集計表(1～3月) '!A24</f>
        <v>田名部　丞</v>
      </c>
      <c r="B24" s="290" t="str">
        <f>'集計表(1～3月) '!B24</f>
        <v>●</v>
      </c>
      <c r="C24" s="109">
        <f>VLOOKUP(A24,'3月'!$B$4:$BQ$342,65,FALSE)</f>
        <v>0</v>
      </c>
      <c r="D24" s="1"/>
      <c r="E24" s="125" t="str">
        <f>'集計表(1～3月) '!E24</f>
        <v>田端　克昭</v>
      </c>
      <c r="F24" s="290">
        <f>'集計表(1～3月) '!F24</f>
        <v>0</v>
      </c>
      <c r="G24" s="82">
        <f>VLOOKUP(E24,'3月'!$B$4:$BQ$342,65,FALSE)</f>
        <v>0</v>
      </c>
      <c r="I24" s="144" t="str">
        <f>'集計表(1～3月) '!I24</f>
        <v>新井谷　恵美子</v>
      </c>
      <c r="J24" s="290">
        <f>'集計表(1～3月) '!J24</f>
        <v>0</v>
      </c>
      <c r="K24" s="82">
        <f>VLOOKUP(I24,'3月'!$B$4:$BQ$342,65,FALSE)</f>
        <v>0</v>
      </c>
      <c r="M24" s="127" t="str">
        <f>'集計表(1～3月) '!M24</f>
        <v>滝田　智</v>
      </c>
      <c r="N24" s="290">
        <f>'集計表(1～3月) '!N24</f>
        <v>0</v>
      </c>
      <c r="O24" s="85">
        <f>VLOOKUP(M24,'3月'!$B$4:$BQ$342,65,FALSE)</f>
        <v>0</v>
      </c>
      <c r="U24" s="216"/>
    </row>
    <row r="25" spans="1:21">
      <c r="A25" s="127" t="str">
        <f>'集計表(1～3月) '!A25</f>
        <v>平野　元基</v>
      </c>
      <c r="B25" s="269">
        <f>'集計表(1～3月) '!B25</f>
        <v>0</v>
      </c>
      <c r="C25" s="109">
        <f>VLOOKUP(A25,'3月'!$B$4:$BQ$342,65,FALSE)</f>
        <v>0</v>
      </c>
      <c r="D25" s="1"/>
      <c r="E25" s="129" t="str">
        <f>'集計表(1～3月) '!E25</f>
        <v>西村　夏希</v>
      </c>
      <c r="F25" s="291">
        <f>'集計表(1～3月) '!F25</f>
        <v>0</v>
      </c>
      <c r="G25" s="82">
        <f>VLOOKUP(E25,'3月'!$B$4:$BQ$342,65,FALSE)</f>
        <v>0</v>
      </c>
      <c r="I25" s="319" t="str">
        <f>'集計表(1～3月) '!I25</f>
        <v>野辺地　佳代子</v>
      </c>
      <c r="J25" s="290">
        <f>'集計表(1～3月) '!J25</f>
        <v>0</v>
      </c>
      <c r="K25" s="82">
        <f>VLOOKUP(I25,'3月'!$B$4:$BQ$342,65,FALSE)</f>
        <v>0</v>
      </c>
      <c r="M25" s="127" t="str">
        <f>'集計表(1～3月) '!M25</f>
        <v>寺下　久美子</v>
      </c>
      <c r="N25" s="290">
        <f>'集計表(1～3月) '!N25</f>
        <v>0</v>
      </c>
      <c r="O25" s="85">
        <f>VLOOKUP(M25,'3月'!$B$4:$BQ$342,65,FALSE)</f>
        <v>0</v>
      </c>
      <c r="U25" s="216"/>
    </row>
    <row r="26" spans="1:21">
      <c r="A26" s="127" t="str">
        <f>'集計表(1～3月) '!A26</f>
        <v>古里　剛</v>
      </c>
      <c r="B26" s="320" t="str">
        <f>'集計表(1～3月) '!B26</f>
        <v>●</v>
      </c>
      <c r="C26" s="82">
        <f>VLOOKUP(A26,'3月'!$B$4:$BQ$342,65,FALSE)</f>
        <v>0</v>
      </c>
      <c r="E26" s="127" t="str">
        <f>'集計表(1～3月) '!E26</f>
        <v>橋本　薫</v>
      </c>
      <c r="F26" s="290">
        <f>'集計表(1～3月) '!F26</f>
        <v>0</v>
      </c>
      <c r="G26" s="82">
        <f>VLOOKUP(E26,'3月'!$B$4:$BQ$342,65,FALSE)</f>
        <v>0</v>
      </c>
      <c r="I26" s="319" t="str">
        <f>'集計表(1～3月) '!I26</f>
        <v>山上　幸子</v>
      </c>
      <c r="J26" s="290">
        <f>'集計表(1～3月) '!J26</f>
        <v>0</v>
      </c>
      <c r="K26" s="82">
        <f>VLOOKUP(I26,'3月'!$B$4:$BQ$342,65,FALSE)</f>
        <v>0</v>
      </c>
      <c r="M26" s="343" t="str">
        <f>'集計表(1～3月) '!M26</f>
        <v>中屋敷　蓉子</v>
      </c>
      <c r="N26" s="291">
        <f>'集計表(1～3月) '!N26</f>
        <v>0</v>
      </c>
      <c r="O26" s="177">
        <f>VLOOKUP(M26,'3月'!$B$4:$BQ$342,65,FALSE)</f>
        <v>0</v>
      </c>
      <c r="P26" s="139"/>
      <c r="Q26" s="176"/>
    </row>
    <row r="27" spans="1:21" ht="14.25" thickBot="1">
      <c r="A27" s="126" t="str">
        <f>'集計表(1～3月) '!A27</f>
        <v>宮崎　和久</v>
      </c>
      <c r="B27" s="292">
        <f>'集計表(1～3月) '!B27</f>
        <v>0</v>
      </c>
      <c r="C27" s="174">
        <f>VLOOKUP(A27,'3月'!$B$4:$BQ$342,65,FALSE)</f>
        <v>0</v>
      </c>
      <c r="D27" s="1"/>
      <c r="E27" s="296" t="str">
        <f>'集計表(1～3月) '!E27</f>
        <v>見付　弘美</v>
      </c>
      <c r="F27" s="297">
        <f>'集計表(1～3月) '!F27</f>
        <v>0</v>
      </c>
      <c r="G27" s="84">
        <f>VLOOKUP(E27,'3月'!$B$4:$BQ$342,65,FALSE)</f>
        <v>0</v>
      </c>
      <c r="I27" s="126" t="str">
        <f>'集計表(1～3月) '!I27</f>
        <v>山田　祥弘</v>
      </c>
      <c r="J27" s="292">
        <f>'集計表(1～3月) '!J27</f>
        <v>0</v>
      </c>
      <c r="K27" s="84">
        <f>VLOOKUP(I27,'3月'!$B$4:$BQ$342,65,FALSE)</f>
        <v>0</v>
      </c>
      <c r="M27" s="270" t="str">
        <f>'集計表(1～3月) '!M27</f>
        <v>早川　政子</v>
      </c>
      <c r="N27" s="433">
        <f>'集計表(1～3月) '!N27</f>
        <v>0</v>
      </c>
      <c r="O27" s="84">
        <f>VLOOKUP(M27,'3月'!$B$4:$BQ$342,65,FALSE)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07" t="str">
        <f>CONCATENATE("グループI  ",_xlfn.VALUETOTEXT(COUNTA(A31:A40)*3+COUNTIF(B31:B40,"=●")*3),"件")</f>
        <v>グループI  39件</v>
      </c>
      <c r="B30" s="308"/>
      <c r="C30" s="80">
        <f>SUM(C31:C42)</f>
        <v>0</v>
      </c>
      <c r="E30" s="309" t="str">
        <f>CONCATENATE("グループJ  ",_xlfn.VALUETOTEXT(COUNTA(E31:E40)*3+COUNTIF(F31:F40,"=●")*3),"件")</f>
        <v>グループJ  36件</v>
      </c>
      <c r="F30" s="310"/>
      <c r="G30" s="80">
        <f>SUM(G31:G41)</f>
        <v>0</v>
      </c>
      <c r="H30" s="2">
        <f>SUM(H31:H40)</f>
        <v>0</v>
      </c>
      <c r="I30" s="309" t="str">
        <f>CONCATENATE("グループK  ",_xlfn.VALUETOTEXT(COUNTA(I31:I40)*3+COUNTIF(J31:J40,"=●")*3),"件")</f>
        <v>グループK  42件</v>
      </c>
      <c r="J30" s="310"/>
      <c r="K30" s="80">
        <f>SUM(K31:K42)</f>
        <v>0</v>
      </c>
      <c r="M30" s="309" t="str">
        <f>CONCATENATE("グループL  ",_xlfn.VALUETOTEXT(COUNTA(M31:M41)*3+COUNTIF(N31:N41,"=●")*3),"件")</f>
        <v>グループL  36件</v>
      </c>
      <c r="N30" s="310"/>
      <c r="O30" s="80">
        <f>SUM(O31:O42)</f>
        <v>0</v>
      </c>
      <c r="R30" s="134"/>
    </row>
    <row r="31" spans="1:21" ht="15" customHeight="1" thickTop="1">
      <c r="A31" s="618" t="str">
        <f>'集計表(1～3月) '!A31</f>
        <v>松井　龍平</v>
      </c>
      <c r="B31" s="287">
        <f>'集計表(1～3月) '!B31</f>
        <v>0</v>
      </c>
      <c r="C31" s="173">
        <f>VLOOKUP(A31,'3月'!$B$4:$BQ$342,65,FALSE)</f>
        <v>0</v>
      </c>
      <c r="D31" s="1"/>
      <c r="E31" s="302" t="str">
        <f>'集計表(1～3月) '!E31</f>
        <v>金子　千穂</v>
      </c>
      <c r="F31" s="289" t="str">
        <f>'集計表(1～3月) '!F31</f>
        <v>●</v>
      </c>
      <c r="G31" s="173">
        <f>VLOOKUP(E31,'3月'!$B$4:$BQ$342,65,FALSE)</f>
        <v>0</v>
      </c>
      <c r="I31" s="615" t="str">
        <f>'集計表(1～3月) '!I31</f>
        <v>類家　順</v>
      </c>
      <c r="J31" s="294" t="str">
        <f>'集計表(1～3月) '!J31</f>
        <v>●</v>
      </c>
      <c r="K31" s="173">
        <f>VLOOKUP(I31,'3月'!$B$4:$BQ$342,65,FALSE)</f>
        <v>0</v>
      </c>
      <c r="M31" s="305" t="str">
        <f>'集計表(1～3月) '!M31</f>
        <v>川合　ひとみ</v>
      </c>
      <c r="N31" s="289" t="str">
        <f>'集計表(1～3月) '!N31</f>
        <v>●</v>
      </c>
      <c r="O31" s="173">
        <f>VLOOKUP(M31,'3月'!$B$4:$BQ$342,65,FALSE)</f>
        <v>0</v>
      </c>
      <c r="R31" s="134"/>
    </row>
    <row r="32" spans="1:21" ht="15" customHeight="1">
      <c r="A32" s="301" t="str">
        <f>'集計表(1～3月) '!A32</f>
        <v>佐藤　範和</v>
      </c>
      <c r="B32" s="619" t="str">
        <f>'集計表(1～3月) '!B32</f>
        <v>●</v>
      </c>
      <c r="C32" s="109">
        <f>VLOOKUP(A32,'3月'!$B$4:$BQ$342,65,FALSE)</f>
        <v>0</v>
      </c>
      <c r="D32" s="1"/>
      <c r="E32" s="615" t="str">
        <f>'集計表(1～3月) '!E32</f>
        <v>佐々木　寛人</v>
      </c>
      <c r="F32" s="290" t="str">
        <f>'集計表(1～3月) '!F32</f>
        <v>●</v>
      </c>
      <c r="G32" s="82">
        <f>VLOOKUP(E32,'3月'!$B$4:$BQ$342,65,FALSE)</f>
        <v>0</v>
      </c>
      <c r="I32" s="615" t="str">
        <f>'集計表(1～3月) '!I32</f>
        <v>熊谷　剛</v>
      </c>
      <c r="J32" s="290">
        <f>'集計表(1～3月) '!J32</f>
        <v>0</v>
      </c>
      <c r="K32" s="82">
        <f>VLOOKUP(I32,'3月'!$B$4:$BQ$342,65,FALSE)</f>
        <v>0</v>
      </c>
      <c r="M32" s="301" t="str">
        <f>'集計表(1～3月) '!M32</f>
        <v>澤村　純一</v>
      </c>
      <c r="N32" s="290">
        <f>'集計表(1～3月) '!N32</f>
        <v>0</v>
      </c>
      <c r="O32" s="85">
        <f>VLOOKUP(M32,'3月'!$B$4:$BQ$342,65,FALSE)</f>
        <v>0</v>
      </c>
      <c r="R32" s="134"/>
    </row>
    <row r="33" spans="1:20" ht="15" customHeight="1">
      <c r="A33" s="127" t="str">
        <f>'集計表(1～3月) '!A33</f>
        <v>上村　巧弥</v>
      </c>
      <c r="B33" s="620">
        <f>'集計表(1～3月) '!B33</f>
        <v>0</v>
      </c>
      <c r="C33" s="109">
        <f>VLOOKUP(A33,'3月'!$B$4:$BQ$342,65,FALSE)</f>
        <v>0</v>
      </c>
      <c r="D33" s="1"/>
      <c r="E33" s="616" t="str">
        <f>'集計表(1～3月) '!E33</f>
        <v>小川　菜音</v>
      </c>
      <c r="F33" s="290">
        <f>'集計表(1～3月) '!F33</f>
        <v>0</v>
      </c>
      <c r="G33" s="82">
        <f>VLOOKUP(E33,'3月'!$B$4:$BQ$342,65,FALSE)</f>
        <v>0</v>
      </c>
      <c r="I33" s="616" t="str">
        <f>'集計表(1～3月) '!I33</f>
        <v>木津谷　隆</v>
      </c>
      <c r="J33" s="290" t="str">
        <f>'集計表(1～3月) '!J33</f>
        <v>●</v>
      </c>
      <c r="K33" s="82">
        <f>VLOOKUP(I33,'3月'!$B$4:$BQ$342,65,FALSE)</f>
        <v>0</v>
      </c>
      <c r="M33" s="127" t="str">
        <f>'集計表(1～3月) '!M33</f>
        <v>赤坂　輝明</v>
      </c>
      <c r="N33" s="290">
        <f>'集計表(1～3月) '!N33</f>
        <v>0</v>
      </c>
      <c r="O33" s="85">
        <f>VLOOKUP(M33,'3月'!$B$4:$BQ$342,65,FALSE)</f>
        <v>0</v>
      </c>
      <c r="P33" s="217"/>
      <c r="R33" s="134"/>
    </row>
    <row r="34" spans="1:20" ht="15" customHeight="1">
      <c r="A34" s="127" t="str">
        <f>'集計表(1～3月) '!A34</f>
        <v>大坂　真知子</v>
      </c>
      <c r="B34" s="620">
        <f>'集計表(1～3月) '!B34</f>
        <v>0</v>
      </c>
      <c r="C34" s="109">
        <f>VLOOKUP(A34,'3月'!$B$4:$BQ$342,65,FALSE)</f>
        <v>0</v>
      </c>
      <c r="D34" s="1"/>
      <c r="E34" s="616" t="str">
        <f>'集計表(1～3月) '!E34</f>
        <v>小黒　真智</v>
      </c>
      <c r="F34" s="290">
        <f>'集計表(1～3月) '!F34</f>
        <v>0</v>
      </c>
      <c r="G34" s="82">
        <f>VLOOKUP(E34,'3月'!$B$4:$BQ$342,65,FALSE)</f>
        <v>0</v>
      </c>
      <c r="I34" s="616" t="str">
        <f>'集計表(1～3月) '!I34</f>
        <v>小泉　洋之</v>
      </c>
      <c r="J34" s="290" t="str">
        <f>'集計表(1～3月) '!J34</f>
        <v>●</v>
      </c>
      <c r="K34" s="82">
        <f>VLOOKUP(I34,'3月'!$B$4:$BQ$342,65,FALSE)</f>
        <v>0</v>
      </c>
      <c r="M34" s="127" t="str">
        <f>'集計表(1～3月) '!M34</f>
        <v>熊谷　しぐれ</v>
      </c>
      <c r="N34" s="290">
        <f>'集計表(1～3月) '!N34</f>
        <v>0</v>
      </c>
      <c r="O34" s="85">
        <f>VLOOKUP(M34,'3月'!$B$4:$BQ$342,65,FALSE)</f>
        <v>0</v>
      </c>
      <c r="P34" s="2">
        <f>SUM(P35:P42)</f>
        <v>0</v>
      </c>
      <c r="Q34" s="175"/>
      <c r="R34" s="134"/>
    </row>
    <row r="35" spans="1:20" ht="15" customHeight="1">
      <c r="A35" s="127" t="str">
        <f>'集計表(1～3月) '!A35</f>
        <v>舘　博美</v>
      </c>
      <c r="B35" s="620" t="str">
        <f>'集計表(1～3月) '!B35</f>
        <v>●</v>
      </c>
      <c r="C35" s="109">
        <f>VLOOKUP(A35,'3月'!$B$4:$BQ$342,65,FALSE)</f>
        <v>0</v>
      </c>
      <c r="D35" s="1"/>
      <c r="E35" s="616" t="str">
        <f>'集計表(1～3月) '!E35</f>
        <v>佐々木　智子</v>
      </c>
      <c r="F35" s="290">
        <f>'集計表(1～3月) '!F35</f>
        <v>0</v>
      </c>
      <c r="G35" s="82">
        <f>VLOOKUP(E35,'3月'!$B$4:$BQ$342,65,FALSE)</f>
        <v>0</v>
      </c>
      <c r="I35" s="616" t="str">
        <f>'集計表(1～3月) '!I35</f>
        <v>種市　由希枝</v>
      </c>
      <c r="J35" s="290">
        <f>'集計表(1～3月) '!J35</f>
        <v>0</v>
      </c>
      <c r="K35" s="82">
        <f>VLOOKUP(I35,'3月'!$B$4:$BQ$342,65,FALSE)</f>
        <v>0</v>
      </c>
      <c r="M35" s="319" t="str">
        <f>'集計表(1～3月) '!M35</f>
        <v>佐々木　史弥</v>
      </c>
      <c r="N35" s="290">
        <f>'集計表(1～3月) '!N35</f>
        <v>0</v>
      </c>
      <c r="O35" s="85">
        <f>VLOOKUP(M35,'3月'!$B$4:$BQ$342,65,FALSE)</f>
        <v>0</v>
      </c>
      <c r="R35" s="134"/>
    </row>
    <row r="36" spans="1:20" ht="15" customHeight="1">
      <c r="A36" s="127" t="str">
        <f>'集計表(1～3月) '!A36</f>
        <v>野口　美幸</v>
      </c>
      <c r="B36" s="620">
        <f>'集計表(1～3月) '!B36</f>
        <v>0</v>
      </c>
      <c r="C36" s="109">
        <f>VLOOKUP(A36,'3月'!$B$4:$BQ$342,65,FALSE)</f>
        <v>0</v>
      </c>
      <c r="D36" s="1"/>
      <c r="E36" s="616" t="str">
        <f>'集計表(1～3月) '!E36</f>
        <v>佐藤　弘子</v>
      </c>
      <c r="F36" s="290">
        <f>'集計表(1～3月) '!F36</f>
        <v>0</v>
      </c>
      <c r="G36" s="82">
        <f>VLOOKUP(E36,'3月'!$B$4:$BQ$342,65,FALSE)</f>
        <v>0</v>
      </c>
      <c r="I36" s="616" t="str">
        <f>'集計表(1～3月) '!I36</f>
        <v>沼田　智子</v>
      </c>
      <c r="J36" s="290">
        <f>'集計表(1～3月) '!J36</f>
        <v>0</v>
      </c>
      <c r="K36" s="82">
        <f>VLOOKUP(I36,'3月'!$B$4:$BQ$342,65,FALSE)</f>
        <v>0</v>
      </c>
      <c r="M36" s="127" t="str">
        <f>'集計表(1～3月) '!M36</f>
        <v>佐々木　美知子</v>
      </c>
      <c r="N36" s="290">
        <f>'集計表(1～3月) '!N36</f>
        <v>0</v>
      </c>
      <c r="O36" s="85">
        <f>VLOOKUP(M36,'3月'!$B$4:$BQ$342,65,FALSE)</f>
        <v>0</v>
      </c>
      <c r="R36" s="134"/>
      <c r="S36" s="138"/>
      <c r="T36" s="138"/>
    </row>
    <row r="37" spans="1:20" ht="15" customHeight="1">
      <c r="A37" s="127" t="str">
        <f>'集計表(1～3月) '!A37</f>
        <v>畠山　真美</v>
      </c>
      <c r="B37" s="620">
        <f>'集計表(1～3月) '!B37</f>
        <v>0</v>
      </c>
      <c r="C37" s="109">
        <f>VLOOKUP(A37,'3月'!$B$4:$BQ$342,65,FALSE)</f>
        <v>0</v>
      </c>
      <c r="D37" s="1"/>
      <c r="E37" s="621" t="str">
        <f>'集計表(1～3月) '!E37</f>
        <v>田中　幸子</v>
      </c>
      <c r="F37" s="290">
        <f>'集計表(1～3月) '!F37</f>
        <v>0</v>
      </c>
      <c r="G37" s="82">
        <f>VLOOKUP(E37,'3月'!$B$4:$BQ$342,65,FALSE)</f>
        <v>0</v>
      </c>
      <c r="I37" s="616" t="str">
        <f>'集計表(1～3月) '!I37</f>
        <v>古舘　優紀</v>
      </c>
      <c r="J37" s="290">
        <f>'集計表(1～3月) '!J37</f>
        <v>0</v>
      </c>
      <c r="K37" s="82">
        <f>VLOOKUP(I37,'3月'!$B$4:$BQ$342,65,FALSE)</f>
        <v>0</v>
      </c>
      <c r="M37" s="144" t="str">
        <f>'集計表(1～3月) '!M37</f>
        <v>杉渕　恵美</v>
      </c>
      <c r="N37" s="293">
        <f>'集計表(1～3月) '!N37</f>
        <v>0</v>
      </c>
      <c r="O37" s="85">
        <f>VLOOKUP(M37,'3月'!$B$4:$BQ$342,65,FALSE)</f>
        <v>0</v>
      </c>
      <c r="R37" s="134"/>
      <c r="S37" s="138"/>
      <c r="T37" s="138"/>
    </row>
    <row r="38" spans="1:20" ht="15" customHeight="1">
      <c r="A38" s="127" t="str">
        <f>'集計表(1～3月) '!A38</f>
        <v>水野　美佳</v>
      </c>
      <c r="B38" s="620">
        <f>'集計表(1～3月) '!B38</f>
        <v>0</v>
      </c>
      <c r="C38" s="109">
        <f>VLOOKUP(A38,'3月'!$B$4:$BQ$342,65,FALSE)</f>
        <v>0</v>
      </c>
      <c r="D38" s="1"/>
      <c r="E38" s="616" t="str">
        <f>'集計表(1～3月) '!E38</f>
        <v>中城　裕子</v>
      </c>
      <c r="F38" s="290">
        <f>'集計表(1～3月) '!F38</f>
        <v>0</v>
      </c>
      <c r="G38" s="82">
        <f>VLOOKUP(E38,'3月'!$B$4:$BQ$342,65,FALSE)</f>
        <v>0</v>
      </c>
      <c r="I38" s="616" t="str">
        <f>'集計表(1～3月) '!I38</f>
        <v>古町　朋子</v>
      </c>
      <c r="J38" s="290">
        <f>'集計表(1～3月) '!J38</f>
        <v>0</v>
      </c>
      <c r="K38" s="82">
        <f>VLOOKUP(I38,'3月'!$B$4:$BQ$342,65,FALSE)</f>
        <v>0</v>
      </c>
      <c r="M38" s="127" t="str">
        <f>'集計表(1～3月) '!M38</f>
        <v>高橋　公司</v>
      </c>
      <c r="N38" s="290">
        <f>'集計表(1～3月) '!N38</f>
        <v>0</v>
      </c>
      <c r="O38" s="85">
        <f>VLOOKUP(M38,'3月'!$B$4:$BQ$342,65,FALSE)</f>
        <v>0</v>
      </c>
      <c r="R38" s="134"/>
      <c r="S38" s="138"/>
      <c r="T38" s="138"/>
    </row>
    <row r="39" spans="1:20" ht="15" customHeight="1">
      <c r="A39" s="343" t="str">
        <f>'集計表(1～3月) '!A39</f>
        <v>山口　美幸</v>
      </c>
      <c r="B39" s="617" t="str">
        <f>'集計表(1～3月) '!B39</f>
        <v>●</v>
      </c>
      <c r="C39" s="446">
        <f>VLOOKUP(A39,'3月'!$B$4:$BQ$342,65,FALSE)</f>
        <v>0</v>
      </c>
      <c r="D39" s="1"/>
      <c r="E39" s="127" t="str">
        <f>'集計表(1～3月) '!E39</f>
        <v>古舘　美香</v>
      </c>
      <c r="F39" s="291">
        <f>'集計表(1～3月) '!F39</f>
        <v>0</v>
      </c>
      <c r="G39" s="82">
        <f>VLOOKUP(E39,'3月'!$B$4:$BQ$342,65,FALSE)</f>
        <v>0</v>
      </c>
      <c r="I39" s="616" t="str">
        <f>'集計表(1～3月) '!I39</f>
        <v>古谷　裕美</v>
      </c>
      <c r="J39" s="290" t="str">
        <f>'集計表(1～3月) '!J39</f>
        <v>●</v>
      </c>
      <c r="K39" s="82">
        <f>VLOOKUP(I39,'3月'!$B$4:$BQ$342,65,FALSE)</f>
        <v>0</v>
      </c>
      <c r="M39" s="127" t="str">
        <f>'集計表(1～3月) '!M39</f>
        <v>中村　ゆかり</v>
      </c>
      <c r="N39" s="290">
        <f>'集計表(1～3月) '!N39</f>
        <v>0</v>
      </c>
      <c r="O39" s="85">
        <f>VLOOKUP(M39,'3月'!$B$4:$BQ$342,65,FALSE)</f>
        <v>0</v>
      </c>
      <c r="R39" s="134"/>
      <c r="S39" s="138"/>
      <c r="T39" s="138"/>
    </row>
    <row r="40" spans="1:20" ht="15" customHeight="1" thickBot="1">
      <c r="A40" s="126" t="str">
        <f>'集計表(1～3月) '!A40</f>
        <v>山田　隆広</v>
      </c>
      <c r="B40" s="292">
        <f>'集計表(1～3月) '!B40</f>
        <v>0</v>
      </c>
      <c r="C40" s="174">
        <f>VLOOKUP(A40,'3月'!$B$4:$BQ$342,65,FALSE)</f>
        <v>0</v>
      </c>
      <c r="E40" s="126" t="str">
        <f>'集計表(1～3月) '!E40</f>
        <v>八木田　那幸</v>
      </c>
      <c r="F40" s="292">
        <f>'集計表(1～3月) '!F40</f>
        <v>0</v>
      </c>
      <c r="G40" s="84">
        <f>VLOOKUP(E40,'3月'!$B$4:$BQ$342,65,FALSE)</f>
        <v>0</v>
      </c>
      <c r="I40" s="270" t="str">
        <f>'集計表(1～3月) '!I40</f>
        <v>八重畑　美里</v>
      </c>
      <c r="J40" s="292">
        <f>'集計表(1～3月) '!J40</f>
        <v>0</v>
      </c>
      <c r="K40" s="84">
        <f>VLOOKUP(I40,'3月'!$B$4:$BQ$342,65,FALSE)</f>
        <v>0</v>
      </c>
      <c r="M40" s="127" t="str">
        <f>'集計表(1～3月) '!M40</f>
        <v>松坂　百華</v>
      </c>
      <c r="N40" s="290">
        <f>'集計表(1～3月) '!N40</f>
        <v>0</v>
      </c>
      <c r="O40" s="85">
        <f>VLOOKUP(M40,'3月'!$B$4:$BQ$342,65,FALSE)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2">
        <f>'集計表(1～3月) '!N41</f>
        <v>0</v>
      </c>
      <c r="O41" s="191">
        <f>VLOOKUP(M41,'3月'!$B$4:$BQ$342,65,FALSE)</f>
        <v>0</v>
      </c>
      <c r="R41" s="134"/>
      <c r="S41" s="138"/>
      <c r="T41" s="138"/>
    </row>
    <row r="42" spans="1:20" ht="15" customHeight="1">
      <c r="B42" s="346">
        <f>'集計表(1～3月) '!B42</f>
        <v>0</v>
      </c>
      <c r="E42" s="135"/>
      <c r="F42" s="135"/>
      <c r="G42" s="138"/>
      <c r="H42" s="217"/>
      <c r="I42" s="447"/>
      <c r="J42" s="192"/>
      <c r="M42" s="134"/>
      <c r="R42" s="134"/>
      <c r="S42" s="138"/>
      <c r="T42" s="138"/>
    </row>
    <row r="43" spans="1:20" ht="15" customHeight="1">
      <c r="A43" s="134">
        <f>'集計表(1～3月) '!A43</f>
        <v>0</v>
      </c>
      <c r="B43" s="346">
        <f>'集計表(1～3月) '!B43</f>
        <v>0</v>
      </c>
      <c r="E43" s="135">
        <f>'集計表(1～3月) '!E43</f>
        <v>0</v>
      </c>
      <c r="F43" s="135">
        <f>'集計表(1～3月) '!F43</f>
        <v>0</v>
      </c>
      <c r="G43" s="138"/>
      <c r="H43" s="217"/>
      <c r="I43" s="417"/>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22" t="str">
        <f ca="1">TEXT(IF(TODAY()&lt;DATE(2025,1,31),TODAY(),DATE(2025,1,31)),"yyyy/m/dd")</f>
        <v>2025/1/16</v>
      </c>
      <c r="N44" s="722"/>
      <c r="O44" s="722"/>
      <c r="R44" s="134"/>
      <c r="S44" s="138"/>
      <c r="T44" s="138"/>
    </row>
    <row r="45" spans="1:20" ht="15" customHeight="1" thickBot="1">
      <c r="A45" s="307" t="str">
        <f>CONCATENATE("グループM  ",_xlfn.VALUETOTEXT(COUNTA(A46:A56)*3+COUNTIF(B46:B56,"=●")*3),"件")</f>
        <v>グループM  36件</v>
      </c>
      <c r="B45" s="308"/>
      <c r="C45" s="80">
        <f>SUM(C46:C56)</f>
        <v>0</v>
      </c>
      <c r="E45" s="309" t="str">
        <f>CONCATENATE("グループN  ",_xlfn.VALUETOTEXT(COUNTA(E46:E55)*3+COUNTIF(F46:F55,"=●")*3),"件")</f>
        <v>グループN  36件</v>
      </c>
      <c r="F45" s="310"/>
      <c r="G45" s="80">
        <f>SUM(G46:G55)</f>
        <v>0</v>
      </c>
      <c r="I45" s="274" t="s">
        <v>250</v>
      </c>
      <c r="J45" s="281"/>
      <c r="K45" s="80">
        <f>SUM(K46:K54)</f>
        <v>0</v>
      </c>
      <c r="M45" s="722"/>
      <c r="N45" s="722"/>
      <c r="O45" s="722"/>
    </row>
    <row r="46" spans="1:20" ht="15" customHeight="1" thickTop="1">
      <c r="A46" s="300" t="str">
        <f>'集計表(1～3月) '!A46</f>
        <v>伊藤　秀智</v>
      </c>
      <c r="B46" s="287">
        <f>'集計表(1～3月) '!B46</f>
        <v>0</v>
      </c>
      <c r="C46" s="173">
        <f>VLOOKUP(A46,'3月'!$B$4:$BQ$342,65,FALSE)</f>
        <v>0</v>
      </c>
      <c r="D46" s="1"/>
      <c r="E46" s="302" t="str">
        <f>'集計表(1～3月) '!E46</f>
        <v>田名部　昌義</v>
      </c>
      <c r="F46" s="289" t="str">
        <f>'集計表(1～3月) '!F46</f>
        <v>●</v>
      </c>
      <c r="G46" s="173">
        <f>VLOOKUP(E46,'3月'!$B$4:$BQ$342,65,FALSE)</f>
        <v>0</v>
      </c>
      <c r="I46" s="279" t="str">
        <f>'集計表(1～3月) '!I46</f>
        <v>八田　守立</v>
      </c>
      <c r="J46" s="282"/>
      <c r="K46" s="173">
        <f>VLOOKUP(I46,'3月'!$B$4:$BQ$342,65,FALSE)</f>
        <v>0</v>
      </c>
      <c r="M46" s="725" t="s">
        <v>325</v>
      </c>
      <c r="N46" s="725"/>
      <c r="O46" s="725"/>
    </row>
    <row r="47" spans="1:20" ht="15" customHeight="1">
      <c r="A47" s="301" t="str">
        <f>'集計表(1～3月) '!A47</f>
        <v>岡本　良一</v>
      </c>
      <c r="B47" s="288" t="str">
        <f>'集計表(1～3月) '!B47</f>
        <v>●</v>
      </c>
      <c r="C47" s="109">
        <f>VLOOKUP(A47,'3月'!$B$4:$BQ$342,65,FALSE)</f>
        <v>0</v>
      </c>
      <c r="D47" s="1"/>
      <c r="E47" s="401" t="str">
        <f>'集計表(1～3月) '!E47</f>
        <v>工藤　翔平</v>
      </c>
      <c r="F47" s="290" t="str">
        <f>'集計表(1～3月) '!F47</f>
        <v>●</v>
      </c>
      <c r="G47" s="82">
        <f>VLOOKUP(E47,'3月'!$B$4:$BQ$342,65,FALSE)</f>
        <v>0</v>
      </c>
      <c r="I47" s="616" t="str">
        <f>'集計表(1～3月) '!I47</f>
        <v>中村　充穂</v>
      </c>
      <c r="J47" s="619"/>
      <c r="K47" s="82">
        <f>VLOOKUP(I47,'3月'!$B$4:$BQ$342,65,FALSE)</f>
        <v>0</v>
      </c>
      <c r="M47" s="725"/>
      <c r="N47" s="725"/>
      <c r="O47" s="725"/>
    </row>
    <row r="48" spans="1:20" ht="15" customHeight="1">
      <c r="A48" s="127" t="str">
        <f>'集計表(1～3月) '!A48</f>
        <v>赤坂　友輔</v>
      </c>
      <c r="B48" s="288">
        <f>'集計表(1～3月) '!B48</f>
        <v>0</v>
      </c>
      <c r="C48" s="109">
        <f>VLOOKUP(A48,'3月'!$B$4:$BQ$342,65,FALSE)</f>
        <v>0</v>
      </c>
      <c r="D48" s="1"/>
      <c r="E48" s="623" t="str">
        <f>'集計表(1～3月) '!E48</f>
        <v>石井　智帆</v>
      </c>
      <c r="F48" s="290">
        <f>'集計表(1～3月) '!F48</f>
        <v>0</v>
      </c>
      <c r="G48" s="82">
        <f>VLOOKUP(E48,'3月'!$B$4:$BQ$342,65,FALSE)</f>
        <v>0</v>
      </c>
      <c r="I48" s="128" t="str">
        <f>'集計表(1～3月) '!I48</f>
        <v>八田　香菜子</v>
      </c>
      <c r="J48" s="135"/>
      <c r="K48" s="177">
        <f>VLOOKUP(I48,'3月'!$B$4:$BQ$342,65,FALSE)</f>
        <v>0</v>
      </c>
      <c r="M48" s="722" t="s">
        <v>200</v>
      </c>
      <c r="N48" s="722"/>
      <c r="O48" s="722"/>
    </row>
    <row r="49" spans="1:24" ht="15" customHeight="1" thickBot="1">
      <c r="A49" s="127" t="str">
        <f>'集計表(1～3月) '!A49</f>
        <v>大久保　理恵</v>
      </c>
      <c r="B49" s="288">
        <f>'集計表(1～3月) '!B49</f>
        <v>0</v>
      </c>
      <c r="C49" s="109">
        <f>VLOOKUP(A49,'3月'!$B$4:$BQ$342,65,FALSE)</f>
        <v>0</v>
      </c>
      <c r="D49" s="1"/>
      <c r="E49" s="616" t="str">
        <f>'集計表(1～3月) '!E49</f>
        <v>貝守　竜哉</v>
      </c>
      <c r="F49" s="290">
        <f>'集計表(1～3月) '!F49</f>
        <v>0</v>
      </c>
      <c r="G49" s="82">
        <f>VLOOKUP(E49,'3月'!$B$4:$BQ$342,65,FALSE)</f>
        <v>0</v>
      </c>
      <c r="I49" s="616" t="str">
        <f>'集計表(1～3月) '!I49</f>
        <v>八田　雄太</v>
      </c>
      <c r="J49" s="619"/>
      <c r="K49" s="82">
        <f>VLOOKUP(I49,'3月'!$B$4:$BQ$342,65,FALSE)</f>
        <v>0</v>
      </c>
      <c r="L49" s="227"/>
      <c r="M49" s="726"/>
      <c r="N49" s="726"/>
      <c r="O49" s="726"/>
    </row>
    <row r="50" spans="1:24" ht="15" customHeight="1">
      <c r="A50" s="127" t="str">
        <f>'集計表(1～3月) '!A50</f>
        <v>熊野　実佳</v>
      </c>
      <c r="B50" s="288">
        <f>'集計表(1～3月) '!B50</f>
        <v>0</v>
      </c>
      <c r="C50" s="109">
        <f>VLOOKUP(A50,'3月'!$B$4:$BQ$342,65,FALSE)</f>
        <v>0</v>
      </c>
      <c r="D50" s="1"/>
      <c r="E50" s="616" t="str">
        <f>'集計表(1～3月) '!E50</f>
        <v>坂ノ上　愛莉</v>
      </c>
      <c r="F50" s="290">
        <f>'集計表(1～3月) '!F50</f>
        <v>0</v>
      </c>
      <c r="G50" s="82">
        <f>VLOOKUP(E50,'3月'!$B$4:$BQ$342,65,FALSE)</f>
        <v>0</v>
      </c>
      <c r="I50" s="280" t="str">
        <f>'集計表(1～3月) '!I50</f>
        <v>八田　安啓</v>
      </c>
      <c r="J50" s="275"/>
      <c r="K50" s="177">
        <f>VLOOKUP(I50,'3月'!$B$4:$BQ$342,65,FALSE)</f>
        <v>0</v>
      </c>
      <c r="L50" s="231"/>
      <c r="M50" s="727" t="e">
        <f>IF('3月'!BN405 = SUM(K45,G45,C45,C30,G30,K30,O30,O16,K16,G16,C16,C2,G2,K2,O2,C66,G66,K66,G73,G78,G79,C80),'3月'!BN405,0)</f>
        <v>#REF!</v>
      </c>
      <c r="N50" s="728"/>
      <c r="O50" s="731" t="s">
        <v>120</v>
      </c>
    </row>
    <row r="51" spans="1:24" ht="15" customHeight="1" thickBot="1">
      <c r="A51" s="127" t="str">
        <f>'集計表(1～3月) '!A51</f>
        <v>倉島　清子</v>
      </c>
      <c r="B51" s="288">
        <f>'集計表(1～3月) '!B51</f>
        <v>0</v>
      </c>
      <c r="C51" s="109">
        <f>VLOOKUP(A51,'3月'!$B$4:$BQ$342,65,FALSE)</f>
        <v>0</v>
      </c>
      <c r="D51" s="1"/>
      <c r="E51" s="616" t="str">
        <f>'集計表(1～3月) '!E51</f>
        <v>関川　哲一</v>
      </c>
      <c r="F51" s="290">
        <f>'集計表(1～3月) '!F51</f>
        <v>0</v>
      </c>
      <c r="G51" s="82">
        <f>VLOOKUP(E51,'3月'!$B$4:$BQ$342,65,FALSE)</f>
        <v>0</v>
      </c>
      <c r="I51" s="616" t="str">
        <f>'集計表(1～3月) '!I51</f>
        <v>桜庭　雅寛</v>
      </c>
      <c r="J51" s="619"/>
      <c r="K51" s="82">
        <f>VLOOKUP(I51,'3月'!$B$4:$BQ$342,65,FALSE)</f>
        <v>0</v>
      </c>
      <c r="L51" s="231"/>
      <c r="M51" s="729"/>
      <c r="N51" s="730"/>
      <c r="O51" s="732"/>
    </row>
    <row r="52" spans="1:24" ht="15" customHeight="1">
      <c r="A52" s="127" t="str">
        <f>'集計表(1～3月) '!A52</f>
        <v>清水　ミチ子</v>
      </c>
      <c r="B52" s="288">
        <f>'集計表(1～3月) '!B52</f>
        <v>0</v>
      </c>
      <c r="C52" s="109">
        <f>VLOOKUP(A52,'3月'!$B$4:$BQ$342,65,FALSE)</f>
        <v>0</v>
      </c>
      <c r="D52" s="1"/>
      <c r="E52" s="616" t="str">
        <f>'集計表(1～3月) '!E52</f>
        <v>髙橋　桐子</v>
      </c>
      <c r="F52" s="290">
        <f>'集計表(1～3月) '!F52</f>
        <v>0</v>
      </c>
      <c r="G52" s="82">
        <f>VLOOKUP(E52,'3月'!$B$4:$BQ$342,65,FALSE)</f>
        <v>0</v>
      </c>
      <c r="I52" s="128" t="str">
        <f>'集計表(1～3月) '!I52</f>
        <v>鷹幸　弘尚</v>
      </c>
      <c r="J52" s="134"/>
      <c r="K52" s="177">
        <f>VLOOKUP(I52,'3月'!$B$4:$BQ$342,65,FALSE)</f>
        <v>0</v>
      </c>
      <c r="L52" s="231"/>
      <c r="M52" s="733">
        <f>'3月'!BO405</f>
        <v>0</v>
      </c>
      <c r="N52" s="734"/>
      <c r="O52" s="719" t="s">
        <v>194</v>
      </c>
      <c r="P52" s="114"/>
    </row>
    <row r="53" spans="1:24" ht="15" customHeight="1" thickBot="1">
      <c r="A53" s="127" t="str">
        <f>'集計表(1～3月) '!A53</f>
        <v>西村　裕美</v>
      </c>
      <c r="B53" s="290">
        <f>'集計表(1～3月) '!B53</f>
        <v>0</v>
      </c>
      <c r="C53" s="109">
        <f>VLOOKUP(A53,'3月'!$B$4:$BQ$342,65,FALSE)</f>
        <v>0</v>
      </c>
      <c r="D53" s="1"/>
      <c r="E53" s="616" t="str">
        <f>'集計表(1～3月) '!E53</f>
        <v>松橋　明日香</v>
      </c>
      <c r="F53" s="290">
        <f>'集計表(1～3月) '!F53</f>
        <v>0</v>
      </c>
      <c r="G53" s="82">
        <f>VLOOKUP(E53,'3月'!$B$4:$BQ$342,65,FALSE)</f>
        <v>0</v>
      </c>
      <c r="I53" s="616" t="str">
        <f>'集計表(1～3月) '!I53</f>
        <v>細越　利章</v>
      </c>
      <c r="J53" s="619"/>
      <c r="K53" s="82">
        <f>VLOOKUP(I53,'3月'!$B$4:$BQ$342,65,FALSE)</f>
        <v>0</v>
      </c>
      <c r="L53" s="231"/>
      <c r="M53" s="735"/>
      <c r="N53" s="736"/>
      <c r="O53" s="720"/>
      <c r="P53" s="114"/>
    </row>
    <row r="54" spans="1:24" ht="15" customHeight="1">
      <c r="A54" s="127" t="str">
        <f>'集計表(1～3月) '!A54</f>
        <v>沼田　久子</v>
      </c>
      <c r="B54" s="269">
        <f>'集計表(1～3月) '!B54</f>
        <v>0</v>
      </c>
      <c r="C54" s="109">
        <f>VLOOKUP(A54,'3月'!$B$4:$BQ$342,65,FALSE)</f>
        <v>0</v>
      </c>
      <c r="D54" s="1"/>
      <c r="E54" s="622" t="str">
        <f>'集計表(1～3月) '!E54</f>
        <v>安ヶ平　真由美</v>
      </c>
      <c r="F54" s="291">
        <f>'集計表(1～3月) '!F54</f>
        <v>0</v>
      </c>
      <c r="G54" s="83">
        <f>VLOOKUP(E54,'3月'!$B$4:$BQ$342,65,FALSE)</f>
        <v>0</v>
      </c>
      <c r="I54" s="578" t="str">
        <f>'集計表(1～3月) '!I54</f>
        <v>中村　英満</v>
      </c>
      <c r="J54" s="124"/>
      <c r="K54" s="177">
        <f>VLOOKUP(I54,'3月'!$B$4:$BQ$342,65,FALSE)</f>
        <v>0</v>
      </c>
    </row>
    <row r="55" spans="1:24" ht="15" customHeight="1" thickBot="1">
      <c r="A55" s="127" t="str">
        <f>'集計表(1～3月) '!A55</f>
        <v>母良田　幸子</v>
      </c>
      <c r="B55" s="299">
        <f>'集計表(1～3月) '!B55</f>
        <v>0</v>
      </c>
      <c r="C55" s="82">
        <f>VLOOKUP(A55,'3月'!$B$4:$BQ$342,65,FALSE)</f>
        <v>0</v>
      </c>
      <c r="E55" s="126" t="str">
        <f>'集計表(1～3月) '!E55</f>
        <v>山下　三鶴</v>
      </c>
      <c r="F55" s="292">
        <f>'集計表(1～3月) '!F55</f>
        <v>0</v>
      </c>
      <c r="G55" s="84">
        <f>VLOOKUP(E55,'3月'!$B$4:$BQ$342,65,FALSE)</f>
        <v>0</v>
      </c>
      <c r="I55" s="132" t="str">
        <f>'集計表(1～3月) '!I55</f>
        <v>佐野　俊彦</v>
      </c>
      <c r="J55" s="624"/>
      <c r="K55" s="84">
        <f>VLOOKUP(I55,'3月'!$B$4:$BQ$342,65,FALSE)</f>
        <v>0</v>
      </c>
      <c r="T55" s="313"/>
      <c r="U55" s="138"/>
      <c r="V55" s="311"/>
      <c r="W55" s="138"/>
      <c r="X55" s="217"/>
    </row>
    <row r="56" spans="1:24" ht="14.25" thickBot="1">
      <c r="A56" s="126" t="str">
        <f>'集計表(1～3月) '!A56</f>
        <v>松原　英利</v>
      </c>
      <c r="B56" s="292">
        <f>'集計表(1～3月) '!B56</f>
        <v>0</v>
      </c>
      <c r="C56" s="174">
        <f>VLOOKUP(A56,'3月'!$B$4:$BQ$342,65,FALSE)</f>
        <v>0</v>
      </c>
      <c r="D56" s="1"/>
      <c r="E56" s="134">
        <f>'集計表(1～3月) '!E56</f>
        <v>0</v>
      </c>
      <c r="F56" s="135">
        <f>'集計表(1～3月) '!F56</f>
        <v>0</v>
      </c>
      <c r="T56" s="272"/>
      <c r="U56" s="284" t="s">
        <v>128</v>
      </c>
      <c r="V56" s="276" t="s">
        <v>127</v>
      </c>
      <c r="W56" s="284" t="s">
        <v>134</v>
      </c>
      <c r="X56" s="316" t="s">
        <v>156</v>
      </c>
    </row>
    <row r="57" spans="1:24" ht="14.25" customHeight="1">
      <c r="E57" s="124"/>
      <c r="F57" s="184"/>
      <c r="H57" s="184"/>
      <c r="T57" s="271" t="s">
        <v>258</v>
      </c>
      <c r="U57" s="283">
        <f>COUNTA(E67:E70)</f>
        <v>4</v>
      </c>
      <c r="V57" s="140">
        <f>COUNTIF(G67:G70,"&gt;=1")</f>
        <v>0</v>
      </c>
      <c r="W57" s="140">
        <f>G66</f>
        <v>0</v>
      </c>
      <c r="X57" s="317">
        <v>30</v>
      </c>
    </row>
    <row r="58" spans="1:24" ht="14.25" customHeight="1">
      <c r="E58" s="184"/>
      <c r="F58" s="184"/>
      <c r="G58" s="184"/>
      <c r="H58" s="184"/>
      <c r="T58" s="342" t="s">
        <v>259</v>
      </c>
      <c r="U58" s="286">
        <f>COUNTA(I67:I85)</f>
        <v>19</v>
      </c>
      <c r="V58" s="140">
        <f>COUNTIF(K67:K85,"&gt;=1")</f>
        <v>0</v>
      </c>
      <c r="W58" s="140">
        <f>K66</f>
        <v>0</v>
      </c>
      <c r="X58" s="317">
        <v>100</v>
      </c>
    </row>
    <row r="59" spans="1:24" ht="14.25" customHeight="1">
      <c r="A59" s="721"/>
      <c r="B59" s="721"/>
      <c r="C59" s="721"/>
      <c r="D59" s="184"/>
      <c r="E59" s="192"/>
      <c r="F59" s="192"/>
      <c r="G59" s="192"/>
      <c r="H59" s="192"/>
      <c r="T59" s="271" t="s">
        <v>260</v>
      </c>
      <c r="U59" s="283">
        <f>COUNTA(A67:A74)</f>
        <v>8</v>
      </c>
      <c r="V59" s="140">
        <f>COUNTIF(C67:C74,"&gt;=1")</f>
        <v>0</v>
      </c>
      <c r="W59" s="140">
        <f>C66</f>
        <v>0</v>
      </c>
      <c r="X59" s="317">
        <v>40</v>
      </c>
    </row>
    <row r="60" spans="1:24" ht="14.25" customHeight="1" thickBot="1">
      <c r="A60" s="721"/>
      <c r="B60" s="721"/>
      <c r="C60" s="721"/>
      <c r="D60" s="184"/>
      <c r="E60" s="184"/>
      <c r="F60" s="184"/>
      <c r="G60" s="184"/>
      <c r="H60" s="184"/>
      <c r="T60" s="341" t="s">
        <v>317</v>
      </c>
      <c r="U60" s="314"/>
      <c r="V60" s="436"/>
      <c r="W60" s="298">
        <f>G73+G78+G79</f>
        <v>0</v>
      </c>
      <c r="X60" s="318"/>
    </row>
    <row r="61" spans="1:24">
      <c r="A61" s="124"/>
      <c r="B61" s="124"/>
      <c r="E61" s="103"/>
      <c r="F61" s="103"/>
      <c r="G61" s="103"/>
      <c r="H61" s="103"/>
      <c r="T61" s="313"/>
      <c r="U61" s="138"/>
      <c r="V61" s="311"/>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5"/>
      <c r="C66" s="220">
        <f>SUM(C67:C77)</f>
        <v>0</v>
      </c>
      <c r="D66" s="3"/>
      <c r="E66" s="715" t="s">
        <v>54</v>
      </c>
      <c r="F66" s="716"/>
      <c r="G66" s="220">
        <f>SUM(G67:G71)</f>
        <v>0</v>
      </c>
      <c r="H66" s="3"/>
      <c r="I66" s="715" t="s">
        <v>69</v>
      </c>
      <c r="J66" s="716"/>
      <c r="K66" s="220">
        <f>SUM(K67:K91)</f>
        <v>0</v>
      </c>
      <c r="L66" s="3"/>
    </row>
    <row r="67" spans="1:12" ht="14.25" thickTop="1">
      <c r="A67" s="130" t="str">
        <f>'集計表(1～3月) '!A67</f>
        <v>石橋　優子</v>
      </c>
      <c r="B67" s="267"/>
      <c r="C67" s="173">
        <f>VLOOKUP(A67,'3月'!$B$4:$BQ$342,65,FALSE)</f>
        <v>0</v>
      </c>
      <c r="D67" s="3"/>
      <c r="E67" s="125" t="str">
        <f>'集計表(1～3月) '!E67</f>
        <v>林　覚弘</v>
      </c>
      <c r="F67" s="277"/>
      <c r="G67" s="173">
        <f>VLOOKUP(E67,'3月'!$B$4:$BQ$342,65,FALSE)</f>
        <v>0</v>
      </c>
      <c r="H67" s="3"/>
      <c r="I67" s="130" t="str">
        <f>'集計表(1～3月) '!I67</f>
        <v>赤坂　和子</v>
      </c>
      <c r="J67" s="230"/>
      <c r="K67" s="173">
        <f>VLOOKUP(I67,'3月'!$B$4:$BQ$342,65,FALSE)</f>
        <v>0</v>
      </c>
      <c r="L67" s="3"/>
    </row>
    <row r="68" spans="1:12">
      <c r="A68" s="131" t="str">
        <f>'集計表(1～3月) '!A68</f>
        <v>上田　敏子</v>
      </c>
      <c r="B68" s="228"/>
      <c r="C68" s="223">
        <f>VLOOKUP(A68,'3月'!$B$4:$BQ$342,65,FALSE)</f>
        <v>0</v>
      </c>
      <c r="D68" s="3"/>
      <c r="E68" s="125" t="str">
        <f>'集計表(1～3月) '!E68</f>
        <v>松橋　誠</v>
      </c>
      <c r="F68" s="277"/>
      <c r="G68" s="198">
        <f>VLOOKUP(E68,'3月'!$B$4:$BQ$342,65,FALSE)</f>
        <v>0</v>
      </c>
      <c r="H68" s="3"/>
      <c r="I68" s="131" t="str">
        <f>'集計表(1～3月) '!I68</f>
        <v>赤坂　純子</v>
      </c>
      <c r="J68" s="228"/>
      <c r="K68" s="198">
        <f>VLOOKUP(I68,'3月'!$B$4:$BQ$342,65,FALSE)</f>
        <v>0</v>
      </c>
      <c r="L68" s="3"/>
    </row>
    <row r="69" spans="1:12">
      <c r="A69" s="131" t="str">
        <f>'集計表(1～3月) '!A69</f>
        <v>齋藤　小百合</v>
      </c>
      <c r="B69" s="228"/>
      <c r="C69" s="223">
        <f>VLOOKUP(A69,'3月'!$B$4:$BQ$342,65,FALSE)</f>
        <v>0</v>
      </c>
      <c r="D69" s="3"/>
      <c r="E69" s="125" t="str">
        <f>'集計表(1～3月) '!E69</f>
        <v>三田　亮</v>
      </c>
      <c r="F69" s="277"/>
      <c r="G69" s="198">
        <f>VLOOKUP(E69,'3月'!$B$4:$BQ$342,65,FALSE)</f>
        <v>0</v>
      </c>
      <c r="H69" s="3"/>
      <c r="I69" s="158" t="str">
        <f>'集計表(1～3月) '!I69</f>
        <v>榎本　明美</v>
      </c>
      <c r="J69" s="226"/>
      <c r="K69" s="198">
        <f>VLOOKUP(I69,'3月'!$B$4:$BQ$342,65,FALSE)</f>
        <v>0</v>
      </c>
      <c r="L69" s="3"/>
    </row>
    <row r="70" spans="1:12">
      <c r="A70" s="131" t="str">
        <f>'集計表(1～3月) '!A70</f>
        <v>鹿内　美海</v>
      </c>
      <c r="B70" s="228"/>
      <c r="C70" s="223">
        <f>VLOOKUP(A70,'3月'!$B$4:$BQ$342,65,FALSE)</f>
        <v>0</v>
      </c>
      <c r="D70" s="3"/>
      <c r="E70" s="125" t="str">
        <f>'集計表(1～3月) '!E70</f>
        <v>橋本　収史</v>
      </c>
      <c r="F70" s="277"/>
      <c r="G70" s="221">
        <f>VLOOKUP(E70,'3月'!$B$4:$BQ$342,65,FALSE)</f>
        <v>0</v>
      </c>
      <c r="H70" s="3"/>
      <c r="I70" s="131" t="str">
        <f>'集計表(1～3月) '!I70</f>
        <v>大前　順子</v>
      </c>
      <c r="J70" s="228"/>
      <c r="K70" s="198">
        <f>VLOOKUP(I70,'3月'!$B$4:$BQ$342,65,FALSE)</f>
        <v>0</v>
      </c>
      <c r="L70" s="3"/>
    </row>
    <row r="71" spans="1:12" ht="14.25" thickBot="1">
      <c r="A71" s="131" t="str">
        <f>'集計表(1～3月) '!A71</f>
        <v>田中　良子</v>
      </c>
      <c r="B71" s="228"/>
      <c r="C71" s="223">
        <f>VLOOKUP(A71,'3月'!$B$4:$BQ$342,65,FALSE)</f>
        <v>0</v>
      </c>
      <c r="D71" s="3"/>
      <c r="E71" s="270">
        <f>'集計表(1～3月) '!E71</f>
        <v>0</v>
      </c>
      <c r="F71" s="278"/>
      <c r="G71" s="199"/>
      <c r="H71" s="3"/>
      <c r="I71" s="131" t="str">
        <f>'集計表(1～3月) '!I71</f>
        <v>小笠原　桂子</v>
      </c>
      <c r="J71" s="228"/>
      <c r="K71" s="198">
        <f>VLOOKUP(I71,'3月'!$B$4:$BQ$342,65,FALSE)</f>
        <v>0</v>
      </c>
      <c r="L71" s="3"/>
    </row>
    <row r="72" spans="1:12" ht="14.25" thickBot="1">
      <c r="A72" s="131" t="str">
        <f>'集計表(1～3月) '!A72</f>
        <v>中村　章子</v>
      </c>
      <c r="B72" s="228"/>
      <c r="C72" s="223">
        <f>VLOOKUP(A72,'3月'!$B$4:$BQ$342,65,FALSE)</f>
        <v>0</v>
      </c>
      <c r="D72" s="3"/>
      <c r="I72" s="131" t="str">
        <f>'集計表(1～3月) '!I72</f>
        <v>小笠原　幹子</v>
      </c>
      <c r="J72" s="228"/>
      <c r="K72" s="198">
        <f>VLOOKUP(I72,'3月'!$B$4:$BQ$342,65,FALSE)</f>
        <v>0</v>
      </c>
      <c r="L72" s="3"/>
    </row>
    <row r="73" spans="1:12" ht="14.25" thickBot="1">
      <c r="A73" s="133" t="str">
        <f>'集計表(1～3月) '!A73</f>
        <v>林　京子</v>
      </c>
      <c r="B73" s="268"/>
      <c r="C73" s="223">
        <f>VLOOKUP(A73,'3月'!$B$4:$BQ$342,65,FALSE)</f>
        <v>0</v>
      </c>
      <c r="D73" s="3"/>
      <c r="E73" s="715" t="s">
        <v>58</v>
      </c>
      <c r="F73" s="716"/>
      <c r="G73" s="80">
        <f>SUM(G74:G75)</f>
        <v>0</v>
      </c>
      <c r="I73" s="131" t="str">
        <f>'集計表(1～3月) '!I73</f>
        <v>貝守　美奈子</v>
      </c>
      <c r="J73" s="228"/>
      <c r="K73" s="198">
        <f>VLOOKUP(I73,'3月'!$B$4:$BQ$342,65,FALSE)</f>
        <v>0</v>
      </c>
      <c r="L73" s="3"/>
    </row>
    <row r="74" spans="1:12" ht="14.25" thickTop="1">
      <c r="A74" s="133" t="str">
        <f>'集計表(1～3月) '!A74</f>
        <v>三上　紗津</v>
      </c>
      <c r="B74" s="268"/>
      <c r="C74" s="223">
        <f>VLOOKUP(A74,'3月'!$B$4:$BQ$342,65,FALSE)</f>
        <v>0</v>
      </c>
      <c r="D74" s="3"/>
      <c r="E74" s="717" t="str">
        <f>'集計表(1～3月) '!E74</f>
        <v>サポーター・他</v>
      </c>
      <c r="F74" s="718"/>
      <c r="G74" s="81">
        <f>'3月'!BN400</f>
        <v>0</v>
      </c>
      <c r="I74" s="131" t="str">
        <f>'集計表(1～3月) '!I74</f>
        <v>川守田　潤子</v>
      </c>
      <c r="J74" s="228"/>
      <c r="K74" s="198">
        <f>VLOOKUP(I74,'3月'!$B$4:$BQ$342,65,FALSE)</f>
        <v>0</v>
      </c>
      <c r="L74" s="3"/>
    </row>
    <row r="75" spans="1:12" ht="14.25" thickBot="1">
      <c r="A75" s="133">
        <f>'集計表(1～3月) '!A75</f>
        <v>0</v>
      </c>
      <c r="B75" s="268"/>
      <c r="C75" s="223"/>
      <c r="D75" s="3"/>
      <c r="E75" s="713" t="str">
        <f>'集計表(1～3月) '!E75</f>
        <v>取引先業者</v>
      </c>
      <c r="F75" s="714"/>
      <c r="G75" s="84">
        <f>'3月'!BN401</f>
        <v>0</v>
      </c>
      <c r="I75" s="131" t="str">
        <f>'集計表(1～3月) '!I75</f>
        <v>木村　かつ</v>
      </c>
      <c r="J75" s="228"/>
      <c r="K75" s="198">
        <f>VLOOKUP(I75,'3月'!$B$4:$BQ$342,65,FALSE)</f>
        <v>0</v>
      </c>
      <c r="L75" s="3"/>
    </row>
    <row r="76" spans="1:12">
      <c r="A76" s="133">
        <f>'集計表(1～3月) '!A76</f>
        <v>0</v>
      </c>
      <c r="B76" s="268"/>
      <c r="C76" s="223"/>
      <c r="D76" s="3"/>
      <c r="E76" s="783"/>
      <c r="F76" s="783"/>
      <c r="I76" s="131" t="str">
        <f>'集計表(1～3月) '!I76</f>
        <v>木村　紀子</v>
      </c>
      <c r="J76" s="228"/>
      <c r="K76" s="198">
        <f>VLOOKUP(I76,'3月'!$B$4:$BQ$342,65,FALSE)</f>
        <v>0</v>
      </c>
      <c r="L76" s="3"/>
    </row>
    <row r="77" spans="1:12" ht="14.25" thickBot="1">
      <c r="A77" s="132">
        <f>'集計表(1～3月) '!A77</f>
        <v>0</v>
      </c>
      <c r="B77" s="229"/>
      <c r="C77" s="224"/>
      <c r="D77" s="3"/>
      <c r="I77" s="131" t="str">
        <f>'集計表(1～3月) '!I77</f>
        <v>斉藤　尚子</v>
      </c>
      <c r="J77" s="228"/>
      <c r="K77" s="198">
        <f>VLOOKUP(I77,'3月'!$B$4:$BQ$342,65,FALSE)</f>
        <v>0</v>
      </c>
      <c r="L77" s="3"/>
    </row>
    <row r="78" spans="1:12">
      <c r="E78" s="723" t="str">
        <f>'集計表(1～3月) '!E78</f>
        <v>互助会本部</v>
      </c>
      <c r="F78" s="724"/>
      <c r="G78" s="90">
        <f>'3月'!BN244</f>
        <v>0</v>
      </c>
      <c r="I78" s="131" t="str">
        <f>'集計表(1～3月) '!I78</f>
        <v>坂　美穂子</v>
      </c>
      <c r="J78" s="228"/>
      <c r="K78" s="198">
        <f>VLOOKUP(I78,'3月'!$B$4:$BQ$342,65,FALSE)</f>
        <v>0</v>
      </c>
      <c r="L78" s="3"/>
    </row>
    <row r="79" spans="1:12" ht="14.25" thickBot="1">
      <c r="E79" s="713" t="str">
        <f>'集計表(1～3月) '!E79</f>
        <v>受籍</v>
      </c>
      <c r="F79" s="714"/>
      <c r="G79" s="84">
        <f>'3月'!BN245</f>
        <v>0</v>
      </c>
      <c r="I79" s="131" t="str">
        <f>'集計表(1～3月) '!I79</f>
        <v>坂ノ上　由紀</v>
      </c>
      <c r="J79" s="228"/>
      <c r="K79" s="198">
        <f>VLOOKUP(I79,'3月'!$B$4:$BQ$342,65,FALSE)</f>
        <v>0</v>
      </c>
      <c r="L79" s="3"/>
    </row>
    <row r="80" spans="1:12">
      <c r="C80" s="403">
        <f>SUM(C83:C85)</f>
        <v>0</v>
      </c>
      <c r="E80" s="139"/>
      <c r="F80" s="139"/>
      <c r="I80" s="131" t="str">
        <f>'集計表(1～3月) '!I80</f>
        <v>白石　華奈子</v>
      </c>
      <c r="J80" s="228"/>
      <c r="K80" s="198">
        <f>VLOOKUP(I80,'3月'!$B$4:$BQ$342,65,FALSE)</f>
        <v>0</v>
      </c>
      <c r="L80" s="3"/>
    </row>
    <row r="81" spans="1:12">
      <c r="A81" s="614" t="str">
        <f>'集計表(1～3月) '!A81</f>
        <v>小笠原　勉</v>
      </c>
      <c r="B81" s="403"/>
      <c r="C81" s="415">
        <f>VLOOKUP(A81,'3月'!$B$4:$BQ$342,65,FALSE)</f>
        <v>0</v>
      </c>
      <c r="I81" s="131" t="str">
        <f>'集計表(1～3月) '!I81</f>
        <v>清野　由貴子</v>
      </c>
      <c r="J81" s="228"/>
      <c r="K81" s="198">
        <f>VLOOKUP(I81,'3月'!$B$4:$BQ$342,65,FALSE)</f>
        <v>0</v>
      </c>
      <c r="L81" s="3"/>
    </row>
    <row r="82" spans="1:12">
      <c r="A82" s="614" t="str">
        <f>'集計表(1～3月) '!A82</f>
        <v>川戸　真由美</v>
      </c>
      <c r="B82" s="403"/>
      <c r="C82" s="415">
        <f>VLOOKUP(A82,'3月'!$B$4:$BQ$342,65,FALSE)</f>
        <v>0</v>
      </c>
      <c r="I82" s="131" t="str">
        <f>'集計表(1～3月) '!I82</f>
        <v>玉川　妙子</v>
      </c>
      <c r="J82" s="228"/>
      <c r="K82" s="198">
        <f>VLOOKUP(I82,'3月'!$B$4:$BQ$342,65,FALSE)</f>
        <v>0</v>
      </c>
      <c r="L82" s="3"/>
    </row>
    <row r="83" spans="1:12">
      <c r="A83" s="614" t="str">
        <f>'集計表(1～3月) '!A83</f>
        <v>根城　雅子</v>
      </c>
      <c r="B83" s="290"/>
      <c r="C83" s="415">
        <f>VLOOKUP(A83,'3月'!$B$4:$BQ$342,65,FALSE)</f>
        <v>0</v>
      </c>
      <c r="I83" s="131" t="str">
        <f>'集計表(1～3月) '!I83</f>
        <v>林下　恵</v>
      </c>
      <c r="J83" s="228"/>
      <c r="K83" s="198">
        <f>VLOOKUP(I83,'3月'!$B$4:$BQ$342,65,FALSE)</f>
        <v>0</v>
      </c>
      <c r="L83" s="3"/>
    </row>
    <row r="84" spans="1:12">
      <c r="A84" s="124"/>
      <c r="C84" s="613"/>
      <c r="I84" s="131" t="str">
        <f>'集計表(1～3月) '!I84</f>
        <v>山村　恭代</v>
      </c>
      <c r="J84" s="228"/>
      <c r="K84" s="198">
        <f>VLOOKUP(I84,'3月'!$B$4:$BQ$342,65,FALSE)</f>
        <v>0</v>
      </c>
      <c r="L84" s="3"/>
    </row>
    <row r="85" spans="1:12">
      <c r="A85" s="124"/>
      <c r="C85" s="613"/>
      <c r="I85" s="131" t="str">
        <f>'集計表(1～3月) '!I85</f>
        <v>山本　えり子</v>
      </c>
      <c r="J85" s="228"/>
      <c r="K85" s="198">
        <f>VLOOKUP(I85,'3月'!$B$4:$BQ$342,65,FALSE)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sheetData>
  <mergeCells count="17">
    <mergeCell ref="E75:F75"/>
    <mergeCell ref="E76:F76"/>
    <mergeCell ref="E78:F78"/>
    <mergeCell ref="E79:F79"/>
    <mergeCell ref="A59:C59"/>
    <mergeCell ref="A60:C60"/>
    <mergeCell ref="E66:F66"/>
    <mergeCell ref="I66:J66"/>
    <mergeCell ref="E73:F73"/>
    <mergeCell ref="E74:F74"/>
    <mergeCell ref="M44:O45"/>
    <mergeCell ref="M46:O47"/>
    <mergeCell ref="M48:O49"/>
    <mergeCell ref="M50:N51"/>
    <mergeCell ref="O50:O51"/>
    <mergeCell ref="M52:N53"/>
    <mergeCell ref="O52:O53"/>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51019-0AF2-4DD7-85EC-AEAE2FA2CF3E}">
  <sheetPr codeName="Sheet13"/>
  <dimension ref="A1:AK293"/>
  <sheetViews>
    <sheetView showZeros="0" view="pageBreakPreview" topLeftCell="A16" zoomScaleNormal="115" zoomScaleSheetLayoutView="100" workbookViewId="0">
      <selection activeCell="P50" sqref="P50:Q51"/>
    </sheetView>
  </sheetViews>
  <sheetFormatPr defaultColWidth="9" defaultRowHeight="13.5"/>
  <cols>
    <col min="1" max="1" width="13.125" style="2" customWidth="1"/>
    <col min="2" max="2" width="2.625" style="2" customWidth="1"/>
    <col min="3" max="4" width="4.625" style="2" customWidth="1"/>
    <col min="5" max="5" width="1.625" style="2" customWidth="1"/>
    <col min="6" max="6" width="13.125" style="2" customWidth="1"/>
    <col min="7" max="7" width="2.625" style="2" customWidth="1"/>
    <col min="8" max="9" width="4.625" style="2" customWidth="1"/>
    <col min="10" max="10" width="1.625" style="2" customWidth="1"/>
    <col min="11" max="11" width="13.125" style="2" customWidth="1"/>
    <col min="12" max="12" width="2.625" style="2" customWidth="1"/>
    <col min="13" max="14" width="4.625" style="2" customWidth="1"/>
    <col min="15" max="15" width="1.625" style="2" customWidth="1"/>
    <col min="16" max="16" width="13.125" style="2" customWidth="1"/>
    <col min="17" max="17" width="2.625" style="2" customWidth="1"/>
    <col min="18" max="18" width="4.625" style="2" customWidth="1"/>
    <col min="19" max="20" width="4.625" style="1" customWidth="1"/>
    <col min="21" max="21" width="2.75" style="1" customWidth="1"/>
    <col min="22" max="22" width="9" style="1"/>
    <col min="23" max="23" width="14.5" style="1" customWidth="1"/>
    <col min="24" max="24" width="9" style="1" customWidth="1"/>
    <col min="25" max="25" width="9" style="1"/>
    <col min="26" max="28" width="9" style="1" customWidth="1"/>
    <col min="29" max="16384" width="9" style="1"/>
  </cols>
  <sheetData>
    <row r="1" spans="1:20" ht="14.25" thickBot="1">
      <c r="C1" s="138" t="s">
        <v>253</v>
      </c>
      <c r="D1" s="357" t="s">
        <v>73</v>
      </c>
      <c r="E1" s="357"/>
      <c r="H1" s="138" t="s">
        <v>253</v>
      </c>
      <c r="I1" s="357" t="s">
        <v>73</v>
      </c>
      <c r="J1" s="357"/>
      <c r="M1" s="138" t="s">
        <v>253</v>
      </c>
      <c r="N1" s="357" t="s">
        <v>73</v>
      </c>
      <c r="O1" s="138"/>
      <c r="R1" s="138" t="s">
        <v>253</v>
      </c>
      <c r="S1" s="357" t="s">
        <v>73</v>
      </c>
      <c r="T1" s="357"/>
    </row>
    <row r="2" spans="1:20" ht="14.25" thickBot="1">
      <c r="A2" s="307" t="str">
        <f>CONCATENATE("グループA  ",_xlfn.VALUETOTEXT(COUNTA(A3:A14)*3+COUNTIF(B3:B14,"=●")*3),"件")</f>
        <v>グループA  45件</v>
      </c>
      <c r="B2" s="308"/>
      <c r="C2" s="220">
        <f>SUM(C3:C14)</f>
        <v>6</v>
      </c>
      <c r="D2" s="141">
        <f>SUM(D3:D14)</f>
        <v>9</v>
      </c>
      <c r="F2" s="309" t="str">
        <f>CONCATENATE("グループB  ",_xlfn.VALUETOTEXT(COUNTA(F3:F13)*3+COUNTIF(G3:G13,"=●")*3),"件")</f>
        <v>グループB  33件</v>
      </c>
      <c r="G2" s="310"/>
      <c r="H2" s="220">
        <f>SUM(H3:H13)</f>
        <v>1</v>
      </c>
      <c r="I2" s="141">
        <f>SUM(I3:I13)</f>
        <v>2</v>
      </c>
      <c r="J2" s="2">
        <f>SUM(J3:J12)</f>
        <v>0</v>
      </c>
      <c r="K2" s="309" t="str">
        <f>CONCATENATE("グループC  ",_xlfn.VALUETOTEXT(COUNTA(K3:K13)*3+COUNTIF(L3:L13,"=●")*3),"件")</f>
        <v>グループC  39件</v>
      </c>
      <c r="L2" s="310"/>
      <c r="M2" s="220">
        <f>SUM(M3:M13)</f>
        <v>1</v>
      </c>
      <c r="N2" s="141">
        <f>SUM(N3:N13)</f>
        <v>1</v>
      </c>
      <c r="P2" s="309" t="str">
        <f>CONCATENATE("グループD  ",_xlfn.VALUETOTEXT(COUNTA(P3:P13)*3+COUNTIF(Q3:Q13,"=●")*3),"件")</f>
        <v>グループD  39件</v>
      </c>
      <c r="Q2" s="310"/>
      <c r="R2" s="470">
        <f>SUM(R3:R12)</f>
        <v>2</v>
      </c>
      <c r="S2" s="471">
        <f>SUM(S3:S12)</f>
        <v>3</v>
      </c>
      <c r="T2" s="138"/>
    </row>
    <row r="3" spans="1:20" ht="14.25" thickTop="1">
      <c r="A3" s="364" t="str">
        <f>'集計表(1～3月) '!A3</f>
        <v>古瀬　裕二</v>
      </c>
      <c r="B3" s="402" t="str">
        <f>'集計表(1～3月) '!B3</f>
        <v>●</v>
      </c>
      <c r="C3" s="109">
        <f>SUMIF(DB!$B:$B,"="&amp;A3,DB!$D:$D)</f>
        <v>1</v>
      </c>
      <c r="D3" s="356">
        <f>SUMIF(DB!$B:$B,"="&amp;A3,DB!$E:$E)</f>
        <v>1</v>
      </c>
      <c r="E3" s="1"/>
      <c r="F3" s="365" t="str">
        <f>'集計表(1～3月) '!E3</f>
        <v>熊谷　正浩</v>
      </c>
      <c r="G3" s="366">
        <f>'集計表(1～3月) '!F3</f>
        <v>0</v>
      </c>
      <c r="H3" s="109">
        <f>SUMIF(DB!$B:$B,"="&amp;F3,DB!$D:$D)</f>
        <v>0</v>
      </c>
      <c r="I3" s="356">
        <f>SUMIF(DB!$B:$B,"="&amp;F3,DB!$E:$E)</f>
        <v>0</v>
      </c>
      <c r="K3" s="367" t="str">
        <f>'集計表(1～3月) '!I3</f>
        <v>佐々木　あゆみ</v>
      </c>
      <c r="L3" s="414" t="str">
        <f>'集計表(1～3月) '!J3</f>
        <v>●</v>
      </c>
      <c r="M3" s="109">
        <f>SUMIF(DB!$B:$B,"="&amp;K3,DB!$D:$D)</f>
        <v>1</v>
      </c>
      <c r="N3" s="356">
        <f>SUMIF(DB!$B:$B,"="&amp;K3,DB!$E:$E)</f>
        <v>1</v>
      </c>
      <c r="P3" s="368" t="str">
        <f>'集計表(1～3月) '!M3</f>
        <v>中山　明洋</v>
      </c>
      <c r="Q3" s="412" t="str">
        <f>'集計表(1～3月) '!N3</f>
        <v>●</v>
      </c>
      <c r="R3" s="109">
        <f>SUMIF(DB!$B:$B,"="&amp;P3,DB!$D:$D)</f>
        <v>2</v>
      </c>
      <c r="S3" s="356">
        <f>SUMIF(DB!$B:$B,"="&amp;P3,DB!$E:$E)</f>
        <v>3</v>
      </c>
    </row>
    <row r="4" spans="1:20">
      <c r="A4" s="369" t="str">
        <f>'集計表(1～3月) '!A4</f>
        <v>工藤　あずさ</v>
      </c>
      <c r="B4" s="373">
        <f>'集計表(1～3月) '!B4</f>
        <v>0</v>
      </c>
      <c r="C4" s="218">
        <f>SUMIF(DB!$B:$B,"="&amp;A4,DB!$D:$D)</f>
        <v>0</v>
      </c>
      <c r="D4" s="354">
        <f>SUMIF(DB!$B:$B,"="&amp;A4,DB!$E:$E)</f>
        <v>0</v>
      </c>
      <c r="E4" s="1"/>
      <c r="F4" s="370" t="str">
        <f>'集計表(1～3月) '!E4</f>
        <v>近藤　綾乃</v>
      </c>
      <c r="G4" s="140">
        <f>'集計表(1～3月) '!F4</f>
        <v>0</v>
      </c>
      <c r="H4" s="198">
        <f>SUMIF(DB!$B:$B,"="&amp;F4,DB!$D:$D)</f>
        <v>0</v>
      </c>
      <c r="I4" s="142">
        <f>SUMIF(DB!$B:$B,"="&amp;F4,DB!$E:$E)</f>
        <v>0</v>
      </c>
      <c r="K4" s="370" t="str">
        <f>'集計表(1～3月) '!I4</f>
        <v>川守田　拓</v>
      </c>
      <c r="L4" s="403">
        <f>'集計表(1～3月) '!J4</f>
        <v>0</v>
      </c>
      <c r="M4" s="198">
        <f>SUMIF(DB!$B:$B,"="&amp;K4,DB!$D:$D)</f>
        <v>0</v>
      </c>
      <c r="N4" s="142">
        <f>SUMIF(DB!$B:$B,"="&amp;K4,DB!$E:$E)</f>
        <v>0</v>
      </c>
      <c r="P4" s="369" t="str">
        <f>'集計表(1～3月) '!M4</f>
        <v>中里　郁子</v>
      </c>
      <c r="Q4" s="403" t="str">
        <f>'集計表(1～3月) '!N4</f>
        <v>●</v>
      </c>
      <c r="R4" s="82">
        <f>SUMIF(DB!$B:$B,"="&amp;P4,DB!$D:$D)</f>
        <v>0</v>
      </c>
      <c r="S4" s="354">
        <f>SUMIF(DB!$B:$B,"="&amp;P4,DB!$E:$E)</f>
        <v>0</v>
      </c>
    </row>
    <row r="5" spans="1:20">
      <c r="A5" s="371" t="str">
        <f>'集計表(1～3月) '!A5</f>
        <v>伊藤　良子</v>
      </c>
      <c r="B5" s="373">
        <f>'集計表(1～3月) '!B5</f>
        <v>0</v>
      </c>
      <c r="C5" s="218">
        <f>SUMIF(DB!$B:$B,"="&amp;A5,DB!$D:$D)</f>
        <v>0</v>
      </c>
      <c r="D5" s="354">
        <f>SUMIF(DB!$B:$B,"="&amp;A5,DB!$E:$E)</f>
        <v>0</v>
      </c>
      <c r="E5" s="1"/>
      <c r="F5" s="371" t="str">
        <f>'集計表(1～3月) '!E5</f>
        <v>石橋　直子</v>
      </c>
      <c r="G5" s="140">
        <f>'集計表(1～3月) '!F5</f>
        <v>0</v>
      </c>
      <c r="H5" s="198">
        <f>SUMIF(DB!$B:$B,"="&amp;F5,DB!$D:$D)</f>
        <v>0</v>
      </c>
      <c r="I5" s="142">
        <f>SUMIF(DB!$B:$B,"="&amp;F5,DB!$E:$E)</f>
        <v>0</v>
      </c>
      <c r="K5" s="372" t="str">
        <f>'集計表(1～3月) '!I5</f>
        <v>上村　聰子</v>
      </c>
      <c r="L5" s="403">
        <f>'集計表(1～3月) '!J5</f>
        <v>0</v>
      </c>
      <c r="M5" s="198">
        <f>SUMIF(DB!$B:$B,"="&amp;K5,DB!$D:$D)</f>
        <v>0</v>
      </c>
      <c r="N5" s="142">
        <f>SUMIF(DB!$B:$B,"="&amp;K5,DB!$E:$E)</f>
        <v>0</v>
      </c>
      <c r="P5" s="371" t="str">
        <f>'集計表(1～3月) '!M5</f>
        <v>川村　一覚</v>
      </c>
      <c r="Q5" s="403">
        <f>'集計表(1～3月) '!N5</f>
        <v>0</v>
      </c>
      <c r="R5" s="222">
        <f>SUMIF(DB!$B:$B,"="&amp;P5,DB!$D:$D)</f>
        <v>0</v>
      </c>
      <c r="S5" s="354">
        <f>SUMIF(DB!$B:$B,"="&amp;P5,DB!$E:$E)</f>
        <v>0</v>
      </c>
    </row>
    <row r="6" spans="1:20">
      <c r="A6" s="371" t="str">
        <f>'集計表(1～3月) '!A6</f>
        <v>梅津　昭勝</v>
      </c>
      <c r="B6" s="373" t="str">
        <f>'集計表(1～3月) '!B6</f>
        <v>●</v>
      </c>
      <c r="C6" s="218">
        <f>SUMIF(DB!$B:$B,"="&amp;A6,DB!$D:$D)</f>
        <v>0</v>
      </c>
      <c r="D6" s="354">
        <f>SUMIF(DB!$B:$B,"="&amp;A6,DB!$E:$E)</f>
        <v>0</v>
      </c>
      <c r="E6" s="1"/>
      <c r="F6" s="372" t="str">
        <f>'集計表(1～3月) '!E6</f>
        <v>上野　喜幸</v>
      </c>
      <c r="G6" s="140">
        <f>'集計表(1～3月) '!F6</f>
        <v>0</v>
      </c>
      <c r="H6" s="198">
        <f>SUMIF(DB!$B:$B,"="&amp;F6,DB!$D:$D)</f>
        <v>0</v>
      </c>
      <c r="I6" s="142">
        <f>SUMIF(DB!$B:$B,"="&amp;F6,DB!$E:$E)</f>
        <v>0</v>
      </c>
      <c r="K6" s="372" t="str">
        <f>'集計表(1～3月) '!I6</f>
        <v>大下　孝志</v>
      </c>
      <c r="L6" s="403">
        <f>'集計表(1～3月) '!J6</f>
        <v>0</v>
      </c>
      <c r="M6" s="198">
        <f>SUMIF(DB!$B:$B,"="&amp;K6,DB!$D:$D)</f>
        <v>0</v>
      </c>
      <c r="N6" s="142">
        <f>SUMIF(DB!$B:$B,"="&amp;K6,DB!$E:$E)</f>
        <v>0</v>
      </c>
      <c r="P6" s="371" t="str">
        <f>'集計表(1～3月) '!M6</f>
        <v>小西　裕子</v>
      </c>
      <c r="Q6" s="403">
        <f>'集計表(1～3月) '!N6</f>
        <v>0</v>
      </c>
      <c r="R6" s="222">
        <f>SUMIF(DB!$B:$B,"="&amp;P6,DB!$D:$D)</f>
        <v>0</v>
      </c>
      <c r="S6" s="354">
        <f>SUMIF(DB!$B:$B,"="&amp;P6,DB!$E:$E)</f>
        <v>0</v>
      </c>
    </row>
    <row r="7" spans="1:20">
      <c r="A7" s="371" t="str">
        <f>'集計表(1～3月) '!A7</f>
        <v>河村　久美子</v>
      </c>
      <c r="B7" s="373">
        <f>'集計表(1～3月) '!B7</f>
        <v>0</v>
      </c>
      <c r="C7" s="218">
        <f>SUMIF(DB!$B:$B,"="&amp;A7,DB!$D:$D)</f>
        <v>1</v>
      </c>
      <c r="D7" s="354">
        <f>SUMIF(DB!$B:$B,"="&amp;A7,DB!$E:$E)</f>
        <v>2</v>
      </c>
      <c r="E7" s="1"/>
      <c r="F7" s="372" t="e">
        <f>'集計表(1～3月) '!#REF!</f>
        <v>#REF!</v>
      </c>
      <c r="G7" s="140" t="e">
        <f>'集計表(1～3月) '!#REF!</f>
        <v>#REF!</v>
      </c>
      <c r="H7" s="198">
        <f>SUMIF(DB!$B:$B,"="&amp;F7,DB!$D:$D)</f>
        <v>0</v>
      </c>
      <c r="I7" s="142">
        <f>SUMIF(DB!$B:$B,"="&amp;F7,DB!$E:$E)</f>
        <v>0</v>
      </c>
      <c r="K7" s="372" t="str">
        <f>'集計表(1～3月) '!I7</f>
        <v>小笠原　健一</v>
      </c>
      <c r="L7" s="403">
        <f>'集計表(1～3月) '!J7</f>
        <v>0</v>
      </c>
      <c r="M7" s="198">
        <f>SUMIF(DB!$B:$B,"="&amp;K7,DB!$D:$D)</f>
        <v>0</v>
      </c>
      <c r="N7" s="142">
        <f>SUMIF(DB!$B:$B,"="&amp;K7,DB!$E:$E)</f>
        <v>0</v>
      </c>
      <c r="P7" s="371" t="str">
        <f>'集計表(1～3月) '!M7</f>
        <v>坂口　典子</v>
      </c>
      <c r="Q7" s="403">
        <f>'集計表(1～3月) '!N7</f>
        <v>0</v>
      </c>
      <c r="R7" s="222">
        <f>SUMIF(DB!$B:$B,"="&amp;P7,DB!$D:$D)</f>
        <v>0</v>
      </c>
      <c r="S7" s="354">
        <f>SUMIF(DB!$B:$B,"="&amp;P7,DB!$E:$E)</f>
        <v>0</v>
      </c>
    </row>
    <row r="8" spans="1:20">
      <c r="A8" s="371" t="str">
        <f>'集計表(1～3月) '!A8</f>
        <v>木村　貴子</v>
      </c>
      <c r="B8" s="394">
        <f>'集計表(1～3月) '!B8</f>
        <v>0</v>
      </c>
      <c r="C8" s="218">
        <f>SUMIF(DB!$B:$B,"="&amp;A8,DB!$D:$D)</f>
        <v>0</v>
      </c>
      <c r="D8" s="354">
        <f>SUMIF(DB!$B:$B,"="&amp;A8,DB!$E:$E)</f>
        <v>0</v>
      </c>
      <c r="E8" s="1"/>
      <c r="F8" s="372" t="str">
        <f>'集計表(1～3月) '!E7</f>
        <v>小平　厚子</v>
      </c>
      <c r="G8" s="140">
        <f>'集計表(1～3月) '!F7</f>
        <v>0</v>
      </c>
      <c r="H8" s="198">
        <f>SUMIF(DB!$B:$B,"="&amp;F8,DB!$D:$D)</f>
        <v>0</v>
      </c>
      <c r="I8" s="142">
        <f>SUMIF(DB!$B:$B,"="&amp;F8,DB!$E:$E)</f>
        <v>0</v>
      </c>
      <c r="K8" s="374" t="str">
        <f>'集計表(1～3月) '!I8</f>
        <v>奥谷　和広</v>
      </c>
      <c r="L8" s="415" t="str">
        <f>'集計表(1～3月) '!J8</f>
        <v>●</v>
      </c>
      <c r="M8" s="198">
        <f>SUMIF(DB!$B:$B,"="&amp;K8,DB!$D:$D)</f>
        <v>0</v>
      </c>
      <c r="N8" s="142">
        <f>SUMIF(DB!$B:$B,"="&amp;K8,DB!$E:$E)</f>
        <v>0</v>
      </c>
      <c r="P8" s="371" t="str">
        <f>'集計表(1～3月) '!M8</f>
        <v>佐藤　進</v>
      </c>
      <c r="Q8" s="403">
        <f>'集計表(1～3月) '!N8</f>
        <v>0</v>
      </c>
      <c r="R8" s="222">
        <f>SUMIF(DB!$B:$B,"="&amp;P8,DB!$D:$D)</f>
        <v>0</v>
      </c>
      <c r="S8" s="354">
        <f>SUMIF(DB!$B:$B,"="&amp;P8,DB!$E:$E)</f>
        <v>0</v>
      </c>
    </row>
    <row r="9" spans="1:20">
      <c r="A9" s="371" t="str">
        <f>'集計表(1～3月) '!A9</f>
        <v>澤田　敏秋</v>
      </c>
      <c r="B9" s="373" t="str">
        <f>'集計表(1～3月) '!B9</f>
        <v>●</v>
      </c>
      <c r="C9" s="218">
        <f>SUMIF(DB!$B:$B,"="&amp;A9,DB!$D:$D)</f>
        <v>2</v>
      </c>
      <c r="D9" s="354">
        <f>SUMIF(DB!$B:$B,"="&amp;A9,DB!$E:$E)</f>
        <v>2</v>
      </c>
      <c r="E9" s="1"/>
      <c r="F9" s="372" t="str">
        <f>'集計表(1～3月) '!E8</f>
        <v>坂本　里美</v>
      </c>
      <c r="G9" s="140">
        <f>'集計表(1～3月) '!F8</f>
        <v>0</v>
      </c>
      <c r="H9" s="198">
        <f>SUMIF(DB!$B:$B,"="&amp;F9,DB!$D:$D)</f>
        <v>0</v>
      </c>
      <c r="I9" s="142">
        <f>SUMIF(DB!$B:$B,"="&amp;F9,DB!$E:$E)</f>
        <v>0</v>
      </c>
      <c r="K9" s="374" t="str">
        <f>'集計表(1～3月) '!I9</f>
        <v>工藤　春美</v>
      </c>
      <c r="L9" s="415">
        <f>'集計表(1～3月) '!J9</f>
        <v>0</v>
      </c>
      <c r="M9" s="198">
        <f>SUMIF(DB!$B:$B,"="&amp;K9,DB!$D:$D)</f>
        <v>0</v>
      </c>
      <c r="N9" s="142">
        <f>SUMIF(DB!$B:$B,"="&amp;K9,DB!$E:$E)</f>
        <v>0</v>
      </c>
      <c r="P9" s="371" t="str">
        <f>'集計表(1～3月) '!M9</f>
        <v>戸舘　直人</v>
      </c>
      <c r="Q9" s="415">
        <f>'集計表(1～3月) '!N9</f>
        <v>0</v>
      </c>
      <c r="R9" s="222">
        <f>SUMIF(DB!$B:$B,"="&amp;P9,DB!$D:$D)</f>
        <v>0</v>
      </c>
      <c r="S9" s="354">
        <f>SUMIF(DB!$B:$B,"="&amp;P9,DB!$E:$E)</f>
        <v>0</v>
      </c>
    </row>
    <row r="10" spans="1:20">
      <c r="A10" s="371" t="str">
        <f>'集計表(1～3月) '!A10</f>
        <v>瀧口　健史</v>
      </c>
      <c r="B10" s="403">
        <f>'集計表(1～3月) '!B10</f>
        <v>0</v>
      </c>
      <c r="C10" s="218">
        <f>SUMIF(DB!$B:$B,"="&amp;A10,DB!$D:$D)</f>
        <v>0</v>
      </c>
      <c r="D10" s="354">
        <f>SUMIF(DB!$B:$B,"="&amp;A10,DB!$E:$E)</f>
        <v>0</v>
      </c>
      <c r="E10" s="1"/>
      <c r="F10" s="372" t="str">
        <f>'集計表(1～3月) '!E9</f>
        <v>杉浦　ゆみ子</v>
      </c>
      <c r="G10" s="140">
        <f>'集計表(1～3月) '!F9</f>
        <v>0</v>
      </c>
      <c r="H10" s="198">
        <f>SUMIF(DB!$B:$B,"="&amp;F10,DB!$D:$D)</f>
        <v>0</v>
      </c>
      <c r="I10" s="142">
        <f>SUMIF(DB!$B:$B,"="&amp;F10,DB!$E:$E)</f>
        <v>0</v>
      </c>
      <c r="K10" s="372" t="str">
        <f>'集計表(1～3月) '!I10</f>
        <v>今野　友生</v>
      </c>
      <c r="L10" s="403">
        <f>'集計表(1～3月) '!J10</f>
        <v>0</v>
      </c>
      <c r="M10" s="198">
        <f>SUMIF(DB!$B:$B,"="&amp;K10,DB!$D:$D)</f>
        <v>0</v>
      </c>
      <c r="N10" s="142">
        <f>SUMIF(DB!$B:$B,"="&amp;K10,DB!$E:$E)</f>
        <v>0</v>
      </c>
      <c r="P10" s="371" t="str">
        <f>'集計表(1～3月) '!M10</f>
        <v>豊川　真紀</v>
      </c>
      <c r="Q10" s="415">
        <f>'集計表(1～3月) '!N10</f>
        <v>0</v>
      </c>
      <c r="R10" s="222">
        <f>SUMIF(DB!$B:$B,"="&amp;P10,DB!$D:$D)</f>
        <v>0</v>
      </c>
      <c r="S10" s="354">
        <f>SUMIF(DB!$B:$B,"="&amp;P10,DB!$E:$E)</f>
        <v>0</v>
      </c>
    </row>
    <row r="11" spans="1:20">
      <c r="A11" s="372" t="str">
        <f>'集計表(1～3月) '!A11</f>
        <v>中村　盛宥</v>
      </c>
      <c r="B11" s="403">
        <f>'集計表(1～3月) '!B11</f>
        <v>0</v>
      </c>
      <c r="C11" s="218">
        <f>SUMIF(DB!$B:$B,"="&amp;A11,DB!$D:$D)</f>
        <v>0</v>
      </c>
      <c r="D11" s="354">
        <f>SUMIF(DB!$B:$B,"="&amp;A11,DB!$E:$E)</f>
        <v>0</v>
      </c>
      <c r="E11" s="1"/>
      <c r="F11" s="375" t="str">
        <f>'集計表(1～3月) '!E10</f>
        <v>出貝　千拓</v>
      </c>
      <c r="G11" s="376">
        <f>'集計表(1～3月) '!F10</f>
        <v>0</v>
      </c>
      <c r="H11" s="198">
        <f>SUMIF(DB!$B:$B,"="&amp;F11,DB!$D:$D)</f>
        <v>1</v>
      </c>
      <c r="I11" s="142">
        <f>SUMIF(DB!$B:$B,"="&amp;F11,DB!$E:$E)</f>
        <v>2</v>
      </c>
      <c r="K11" s="372" t="str">
        <f>'集計表(1～3月) '!I11</f>
        <v>柞木田　久子</v>
      </c>
      <c r="L11" s="403">
        <f>'集計表(1～3月) '!J11</f>
        <v>0</v>
      </c>
      <c r="M11" s="198">
        <f>SUMIF(DB!$B:$B,"="&amp;K11,DB!$D:$D)</f>
        <v>0</v>
      </c>
      <c r="N11" s="142">
        <f>SUMIF(DB!$B:$B,"="&amp;K11,DB!$E:$E)</f>
        <v>0</v>
      </c>
      <c r="P11" s="371" t="str">
        <f>'集計表(1～3月) '!M11</f>
        <v>野﨑　浩士</v>
      </c>
      <c r="Q11" s="415">
        <f>'集計表(1～3月) '!N11</f>
        <v>0</v>
      </c>
      <c r="R11" s="222">
        <f>SUMIF(DB!$B:$B,"="&amp;P11,DB!$D:$D)</f>
        <v>0</v>
      </c>
      <c r="S11" s="354">
        <f>SUMIF(DB!$B:$B,"="&amp;P11,DB!$E:$E)</f>
        <v>0</v>
      </c>
    </row>
    <row r="12" spans="1:20">
      <c r="A12" s="371" t="str">
        <f>'集計表(1～3月) '!A12</f>
        <v>廣田　真紀</v>
      </c>
      <c r="B12" s="403">
        <f>'集計表(1～3月) '!B12</f>
        <v>0</v>
      </c>
      <c r="C12" s="218">
        <f>SUMIF(DB!$B:$B,"="&amp;A12,DB!$D:$D)</f>
        <v>0</v>
      </c>
      <c r="D12" s="142">
        <f>SUMIF(DB!$B:$B,"="&amp;A12,DB!$E:$E)</f>
        <v>0</v>
      </c>
      <c r="F12" s="371" t="str">
        <f>'集計表(1～3月) '!E11</f>
        <v>松井　蓮奈</v>
      </c>
      <c r="G12" s="140">
        <f>'集計表(1～3月) '!F11</f>
        <v>0</v>
      </c>
      <c r="H12" s="198">
        <f>SUMIF(DB!$B:$B,"="&amp;F12,DB!$D:$D)</f>
        <v>0</v>
      </c>
      <c r="I12" s="142">
        <f>SUMIF(DB!$B:$B,"="&amp;F12,DB!$E:$E)</f>
        <v>0</v>
      </c>
      <c r="K12" s="372" t="str">
        <f>'集計表(1～3月) '!I12</f>
        <v>田名部　夢生</v>
      </c>
      <c r="L12" s="403">
        <f>'集計表(1～3月) '!J12</f>
        <v>0</v>
      </c>
      <c r="M12" s="198">
        <f>SUMIF(DB!$B:$B,"="&amp;K12,DB!$D:$D)</f>
        <v>0</v>
      </c>
      <c r="N12" s="142">
        <f>SUMIF(DB!$B:$B,"="&amp;K12,DB!$E:$E)</f>
        <v>0</v>
      </c>
      <c r="P12" s="377" t="str">
        <f>'集計表(1～3月) '!M12</f>
        <v>林　悠</v>
      </c>
      <c r="Q12" s="638">
        <f>'集計表(1～3月) '!N12</f>
        <v>0</v>
      </c>
      <c r="R12" s="200">
        <f>SUMIF(DB!$B:$B,"="&amp;P12,DB!$D:$D)</f>
        <v>0</v>
      </c>
      <c r="S12" s="639">
        <f>SUMIF(DB!$B:$B,"="&amp;P12,DB!$E:$E)</f>
        <v>0</v>
      </c>
    </row>
    <row r="13" spans="1:20" ht="14.25" thickBot="1">
      <c r="A13" s="377" t="str">
        <f>'集計表(1～3月) '!A13</f>
        <v>三浦　賢子</v>
      </c>
      <c r="B13" s="404">
        <f>'集計表(1～3月) '!B13</f>
        <v>0</v>
      </c>
      <c r="C13" s="221">
        <f>SUMIF(DB!$B:$B,"="&amp;A13,DB!$D:$D)</f>
        <v>2</v>
      </c>
      <c r="D13" s="354">
        <f>SUMIF(DB!$B:$B,"="&amp;A13,DB!$E:$E)</f>
        <v>4</v>
      </c>
      <c r="E13" s="1"/>
      <c r="F13" s="378" t="str">
        <f>'集計表(1～3月) '!E12</f>
        <v>山内　まゆみ</v>
      </c>
      <c r="G13" s="379">
        <f>'集計表(1～3月) '!F12</f>
        <v>0</v>
      </c>
      <c r="H13" s="199">
        <f>SUMIF(DB!$B:$B,"="&amp;F13,DB!$D:$D)</f>
        <v>0</v>
      </c>
      <c r="I13" s="351">
        <f>SUMIF(DB!$B:$B,"="&amp;F13,DB!$E:$E)</f>
        <v>0</v>
      </c>
      <c r="K13" s="380" t="str">
        <f>'集計表(1～3月) '!I13</f>
        <v>三浦　朱里</v>
      </c>
      <c r="L13" s="405">
        <f>'集計表(1～3月) '!J13</f>
        <v>0</v>
      </c>
      <c r="M13" s="199">
        <f>SUMIF(DB!$B:$B,"="&amp;K13,DB!$D:$D)</f>
        <v>0</v>
      </c>
      <c r="N13" s="351">
        <f>SUMIF(DB!$B:$B,"="&amp;K13,DB!$E:$E)</f>
        <v>0</v>
      </c>
      <c r="P13" s="380" t="str">
        <f>'集計表(1～3月) '!M13</f>
        <v>福士　純子</v>
      </c>
      <c r="Q13" s="416">
        <f>'集計表(1～3月) '!N13</f>
        <v>0</v>
      </c>
      <c r="R13" s="199">
        <f>SUMIF(DB!$B:$B,"="&amp;P13,DB!$D:$D)</f>
        <v>0</v>
      </c>
      <c r="S13" s="355">
        <f>SUMIF(DB!$B:$B,"="&amp;P13,DB!$E:$E)</f>
        <v>0</v>
      </c>
    </row>
    <row r="14" spans="1:20" ht="14.25" thickBot="1">
      <c r="A14" s="381" t="str">
        <f>'集計表(1～3月) '!A14</f>
        <v>渡辺　真由美</v>
      </c>
      <c r="B14" s="405">
        <f>'集計表(1～3月) '!B14</f>
        <v>0</v>
      </c>
      <c r="C14" s="219">
        <f>SUMIF(DB!$B:$B,"="&amp;A14,DB!$D:$D)</f>
        <v>0</v>
      </c>
      <c r="D14" s="355">
        <f>SUMIF(DB!$B:$B,"="&amp;A14,DB!$E:$E)</f>
        <v>0</v>
      </c>
      <c r="E14" s="1"/>
      <c r="F14" s="2">
        <f>'集計表(1～3月) '!E14</f>
        <v>0</v>
      </c>
      <c r="G14" s="2">
        <f>'集計表(1～3月) '!F14</f>
        <v>0</v>
      </c>
      <c r="H14" s="138"/>
      <c r="I14" s="138"/>
      <c r="J14" s="357"/>
      <c r="K14" s="2">
        <f>'集計表(1～3月) '!I14</f>
        <v>0</v>
      </c>
      <c r="L14" s="138">
        <f>'集計表(1～3月) '!J14</f>
        <v>0</v>
      </c>
      <c r="P14" s="1">
        <f>'集計表(1～3月) '!M14</f>
        <v>0</v>
      </c>
      <c r="Q14" s="357">
        <f>'集計表(1～3月) '!N14</f>
        <v>0</v>
      </c>
    </row>
    <row r="15" spans="1:20" ht="14.25" thickBot="1">
      <c r="C15" s="138" t="s">
        <v>253</v>
      </c>
      <c r="D15" s="357" t="s">
        <v>254</v>
      </c>
      <c r="E15" s="357"/>
      <c r="H15" s="138" t="s">
        <v>253</v>
      </c>
      <c r="I15" s="357" t="s">
        <v>254</v>
      </c>
      <c r="J15" s="357"/>
      <c r="M15" s="138" t="s">
        <v>253</v>
      </c>
      <c r="N15" s="357" t="s">
        <v>254</v>
      </c>
      <c r="O15" s="138"/>
      <c r="R15" s="138" t="s">
        <v>253</v>
      </c>
      <c r="S15" s="357" t="s">
        <v>254</v>
      </c>
    </row>
    <row r="16" spans="1:20" ht="14.25" thickBot="1">
      <c r="A16" s="307" t="str">
        <f>CONCATENATE("グループE  ",_xlfn.VALUETOTEXT(COUNTA(A17:A27)*3+COUNTIF(B17:B27,"=●")*3),"件")</f>
        <v>グループE  42件</v>
      </c>
      <c r="B16" s="308"/>
      <c r="C16" s="220">
        <f>SUM(C17:C27)</f>
        <v>7</v>
      </c>
      <c r="D16" s="141">
        <f>SUM(D17:D27)</f>
        <v>10</v>
      </c>
      <c r="F16" s="309" t="str">
        <f>CONCATENATE("グループF  ",_xlfn.VALUETOTEXT(COUNTA(F17:F27)*3+COUNTIF(G17:G27,"=●")*3),"件")</f>
        <v>グループF  33件</v>
      </c>
      <c r="G16" s="310"/>
      <c r="H16" s="220">
        <f>SUM(H17:H27)</f>
        <v>7</v>
      </c>
      <c r="I16" s="141">
        <f>SUM(I17:I27)</f>
        <v>9</v>
      </c>
      <c r="J16" s="2">
        <f>SUM(J17:J26)</f>
        <v>0</v>
      </c>
      <c r="K16" s="309" t="str">
        <f>CONCATENATE("グループG  ",_xlfn.VALUETOTEXT(COUNTA(K17:K27)*3+COUNTIF(L17:L27,"=●")*3),"件")</f>
        <v>グループG  42件</v>
      </c>
      <c r="L16" s="310"/>
      <c r="M16" s="220">
        <f>SUM(M17:M27)</f>
        <v>0</v>
      </c>
      <c r="N16" s="141">
        <f>SUM(N17:N27)</f>
        <v>0</v>
      </c>
      <c r="P16" s="678" t="str">
        <f>CONCATENATE("グループH  ",_xlfn.VALUETOTEXT(COUNTA(P17:P27)*3+COUNTIF(Q17:Q27,"=●")*3),"件")</f>
        <v>グループH  39件</v>
      </c>
      <c r="Q16" s="679"/>
      <c r="R16" s="680">
        <f>SUM(R17:R27)</f>
        <v>0</v>
      </c>
      <c r="S16" s="445">
        <f>SUM(S17:S27)</f>
        <v>0</v>
      </c>
    </row>
    <row r="17" spans="1:24" ht="14.25" thickTop="1">
      <c r="A17" s="364" t="str">
        <f>'集計表(1～3月) '!A17</f>
        <v>丹治　祐介</v>
      </c>
      <c r="B17" s="402" t="str">
        <f>'集計表(1～3月) '!B17</f>
        <v>●</v>
      </c>
      <c r="C17" s="109">
        <f>SUMIF(DB!$B:$B,"="&amp;A17,DB!$D:$D)</f>
        <v>0</v>
      </c>
      <c r="D17" s="356">
        <f>SUMIF(DB!$B:$B,"="&amp;A17,DB!$E:$E)</f>
        <v>0</v>
      </c>
      <c r="E17" s="1"/>
      <c r="F17" s="364" t="str">
        <f>'集計表(1～3月) '!E17</f>
        <v>小川　雅規</v>
      </c>
      <c r="G17" s="366">
        <f>'集計表(1～3月) '!F17</f>
        <v>0</v>
      </c>
      <c r="H17" s="109">
        <f>SUMIF(DB!$B:$B,"="&amp;F17,DB!$D:$D)</f>
        <v>0</v>
      </c>
      <c r="I17" s="356">
        <f>SUMIF(DB!$B:$B,"="&amp;F17,DB!$E:$E)</f>
        <v>0</v>
      </c>
      <c r="K17" s="382" t="str">
        <f>'集計表(1～3月) '!I17</f>
        <v>成田　和史</v>
      </c>
      <c r="L17" s="414" t="str">
        <f>'集計表(1～3月) '!J17</f>
        <v>●</v>
      </c>
      <c r="M17" s="109">
        <f>SUMIF(DB!$B:$B,"="&amp;K17,DB!$D:$D)</f>
        <v>0</v>
      </c>
      <c r="N17" s="356">
        <f>SUMIF(DB!$B:$B,"="&amp;K17,DB!$E:$E)</f>
        <v>0</v>
      </c>
      <c r="P17" s="681" t="str">
        <f>'集計表(1～3月) '!M17</f>
        <v>櫛引　康平</v>
      </c>
      <c r="Q17" s="682" t="str">
        <f>'集計表(1～3月) '!N17</f>
        <v>●</v>
      </c>
      <c r="R17" s="683">
        <f>SUMIF(DB!$B:$B,"="&amp;P17,DB!$D:$D)</f>
        <v>0</v>
      </c>
      <c r="S17" s="684">
        <f>SUMIF(DB!$B:$B,"="&amp;P17,DB!$E:$E)</f>
        <v>0</v>
      </c>
    </row>
    <row r="18" spans="1:24">
      <c r="A18" s="369" t="str">
        <f>'集計表(1～3月) '!A18</f>
        <v>庭田　留美子</v>
      </c>
      <c r="B18" s="373">
        <f>'集計表(1～3月) '!B18</f>
        <v>0</v>
      </c>
      <c r="C18" s="218">
        <f>SUMIF(DB!$B:$B,"="&amp;A18,DB!$D:$D)</f>
        <v>2</v>
      </c>
      <c r="D18" s="354">
        <f>SUMIF(DB!$B:$B,"="&amp;A18,DB!$E:$E)</f>
        <v>4</v>
      </c>
      <c r="E18" s="1"/>
      <c r="F18" s="383" t="str">
        <f>'集計表(1～3月) '!E18</f>
        <v>上村　郁絵</v>
      </c>
      <c r="G18" s="140">
        <f>'集計表(1～3月) '!F18</f>
        <v>0</v>
      </c>
      <c r="H18" s="198">
        <f>SUMIF(DB!$B:$B,"="&amp;F18,DB!$D:$D)</f>
        <v>1</v>
      </c>
      <c r="I18" s="142">
        <f>SUMIF(DB!$B:$B,"="&amp;F18,DB!$E:$E)</f>
        <v>3</v>
      </c>
      <c r="K18" s="370" t="str">
        <f>'集計表(1～3月) '!I18</f>
        <v>中里　一賢</v>
      </c>
      <c r="L18" s="403" t="str">
        <f>'集計表(1～3月) '!J18</f>
        <v>●</v>
      </c>
      <c r="M18" s="198">
        <f>SUMIF(DB!$B:$B,"="&amp;K18,DB!$D:$D)</f>
        <v>0</v>
      </c>
      <c r="N18" s="142">
        <f>SUMIF(DB!$B:$B,"="&amp;K18,DB!$E:$E)</f>
        <v>0</v>
      </c>
      <c r="P18" s="369" t="str">
        <f>'集計表(1～3月) '!M18</f>
        <v>熊野　大助</v>
      </c>
      <c r="Q18" s="403" t="str">
        <f>'集計表(1～3月) '!N18</f>
        <v>●</v>
      </c>
      <c r="R18" s="85">
        <f>SUMIF(DB!$B:$B,"="&amp;P18,DB!$D:$D)</f>
        <v>0</v>
      </c>
      <c r="S18" s="142">
        <f>SUMIF(DB!$B:$B,"="&amp;P18,DB!$E:$E)</f>
        <v>0</v>
      </c>
    </row>
    <row r="19" spans="1:24">
      <c r="A19" s="371" t="str">
        <f>'集計表(1～3月) '!A19</f>
        <v>泉山　郁子</v>
      </c>
      <c r="B19" s="373">
        <f>'集計表(1～3月) '!B19</f>
        <v>0</v>
      </c>
      <c r="C19" s="218">
        <f>SUMIF(DB!$B:$B,"="&amp;A19,DB!$D:$D)</f>
        <v>0</v>
      </c>
      <c r="D19" s="354">
        <f>SUMIF(DB!$B:$B,"="&amp;A19,DB!$E:$E)</f>
        <v>0</v>
      </c>
      <c r="E19" s="1"/>
      <c r="F19" s="372" t="str">
        <f>'集計表(1～3月) '!E19</f>
        <v>大下　里美</v>
      </c>
      <c r="G19" s="140">
        <f>'集計表(1～3月) '!F19</f>
        <v>0</v>
      </c>
      <c r="H19" s="198">
        <f>SUMIF(DB!$B:$B,"="&amp;F19,DB!$D:$D)</f>
        <v>0</v>
      </c>
      <c r="I19" s="142">
        <f>SUMIF(DB!$B:$B,"="&amp;F19,DB!$E:$E)</f>
        <v>0</v>
      </c>
      <c r="K19" s="372" t="str">
        <f>'集計表(1～3月) '!I19</f>
        <v>川井　博和</v>
      </c>
      <c r="L19" s="403" t="str">
        <f>'集計表(1～3月) '!J19</f>
        <v>●</v>
      </c>
      <c r="M19" s="198">
        <f>SUMIF(DB!$B:$B,"="&amp;K19,DB!$D:$D)</f>
        <v>0</v>
      </c>
      <c r="N19" s="142">
        <f>SUMIF(DB!$B:$B,"="&amp;K19,DB!$E:$E)</f>
        <v>0</v>
      </c>
      <c r="P19" s="371" t="str">
        <f>'集計表(1～3月) '!M19</f>
        <v>川合　健司</v>
      </c>
      <c r="Q19" s="403">
        <f>'集計表(1～3月) '!N19</f>
        <v>0</v>
      </c>
      <c r="R19" s="85">
        <f>SUMIF(DB!$B:$B,"="&amp;P19,DB!$D:$D)</f>
        <v>0</v>
      </c>
      <c r="S19" s="350">
        <f>SUMIF(DB!$B:$B,"="&amp;P19,DB!$E:$E)</f>
        <v>0</v>
      </c>
    </row>
    <row r="20" spans="1:24">
      <c r="A20" s="371" t="str">
        <f>'集計表(1～3月) '!A20</f>
        <v>岩間　留理子</v>
      </c>
      <c r="B20" s="373">
        <f>'集計表(1～3月) '!B20</f>
        <v>0</v>
      </c>
      <c r="C20" s="218">
        <f>SUMIF(DB!$B:$B,"="&amp;A20,DB!$D:$D)</f>
        <v>0</v>
      </c>
      <c r="D20" s="354">
        <f>SUMIF(DB!$B:$B,"="&amp;A20,DB!$E:$E)</f>
        <v>0</v>
      </c>
      <c r="E20" s="1"/>
      <c r="F20" s="372" t="str">
        <f>'集計表(1～3月) '!E20</f>
        <v>木田　美紀</v>
      </c>
      <c r="G20" s="140">
        <f>'集計表(1～3月) '!F20</f>
        <v>0</v>
      </c>
      <c r="H20" s="198">
        <f>SUMIF(DB!$B:$B,"="&amp;F20,DB!$D:$D)</f>
        <v>1</v>
      </c>
      <c r="I20" s="142">
        <f>SUMIF(DB!$B:$B,"="&amp;F20,DB!$E:$E)</f>
        <v>1</v>
      </c>
      <c r="K20" s="371" t="str">
        <f>'集計表(1～3月) '!I20</f>
        <v>坂井田　一徳</v>
      </c>
      <c r="L20" s="403">
        <f>'集計表(1～3月) '!J20</f>
        <v>0</v>
      </c>
      <c r="M20" s="198">
        <f>SUMIF(DB!$B:$B,"="&amp;K20,DB!$D:$D)</f>
        <v>0</v>
      </c>
      <c r="N20" s="142">
        <f>SUMIF(DB!$B:$B,"="&amp;K20,DB!$E:$E)</f>
        <v>0</v>
      </c>
      <c r="P20" s="371" t="str">
        <f>'集計表(1～3月) '!M20</f>
        <v>細越　加司子</v>
      </c>
      <c r="Q20" s="403">
        <f>'集計表(1～3月) '!N20</f>
        <v>0</v>
      </c>
      <c r="R20" s="85">
        <f>SUMIF(DB!$B:$B,"="&amp;P20,DB!$D:$D)</f>
        <v>0</v>
      </c>
      <c r="S20" s="350">
        <f>SUMIF(DB!$B:$B,"="&amp;P20,DB!$E:$E)</f>
        <v>0</v>
      </c>
    </row>
    <row r="21" spans="1:24">
      <c r="A21" s="371" t="str">
        <f>'集計表(1～3月) '!A21</f>
        <v>久保　沙織</v>
      </c>
      <c r="B21" s="373">
        <f>'集計表(1～3月) '!B21</f>
        <v>0</v>
      </c>
      <c r="C21" s="218">
        <f>SUMIF(DB!$B:$B,"="&amp;A21,DB!$D:$D)</f>
        <v>0</v>
      </c>
      <c r="D21" s="354">
        <f>SUMIF(DB!$B:$B,"="&amp;A21,DB!$E:$E)</f>
        <v>0</v>
      </c>
      <c r="E21" s="1"/>
      <c r="F21" s="372" t="str">
        <f>'集計表(1～3月) '!E21</f>
        <v>佐々木　亮</v>
      </c>
      <c r="G21" s="140">
        <f>'集計表(1～3月) '!F21</f>
        <v>0</v>
      </c>
      <c r="H21" s="198">
        <f>SUMIF(DB!$B:$B,"="&amp;F21,DB!$D:$D)</f>
        <v>2</v>
      </c>
      <c r="I21" s="142">
        <f>SUMIF(DB!$B:$B,"="&amp;F21,DB!$E:$E)</f>
        <v>2</v>
      </c>
      <c r="K21" s="371" t="str">
        <f>'集計表(1～3月) '!I21</f>
        <v>下舘　はるみ</v>
      </c>
      <c r="L21" s="415">
        <f>'集計表(1～3月) '!J21</f>
        <v>0</v>
      </c>
      <c r="M21" s="198">
        <f>SUMIF(DB!$B:$B,"="&amp;K21,DB!$D:$D)</f>
        <v>0</v>
      </c>
      <c r="N21" s="142">
        <f>SUMIF(DB!$B:$B,"="&amp;K21,DB!$E:$E)</f>
        <v>0</v>
      </c>
      <c r="P21" s="371" t="str">
        <f>'集計表(1～3月) '!M21</f>
        <v>佐々木　清</v>
      </c>
      <c r="Q21" s="403">
        <f>'集計表(1～3月) '!N21</f>
        <v>0</v>
      </c>
      <c r="R21" s="85">
        <f>SUMIF(DB!$B:$B,"="&amp;P21,DB!$D:$D)</f>
        <v>0</v>
      </c>
      <c r="S21" s="350">
        <f>SUMIF(DB!$B:$B,"="&amp;P21,DB!$E:$E)</f>
        <v>0</v>
      </c>
    </row>
    <row r="22" spans="1:24">
      <c r="A22" s="375" t="str">
        <f>'集計表(1～3月) '!A22</f>
        <v>品田　ゆり</v>
      </c>
      <c r="B22" s="403">
        <f>'集計表(1～3月) '!B22</f>
        <v>0</v>
      </c>
      <c r="C22" s="218">
        <f>SUMIF(DB!$B:$B,"="&amp;A22,DB!$D:$D)</f>
        <v>0</v>
      </c>
      <c r="D22" s="354">
        <f>SUMIF(DB!$B:$B,"="&amp;A22,DB!$E:$E)</f>
        <v>0</v>
      </c>
      <c r="E22" s="1"/>
      <c r="F22" s="372" t="str">
        <f>'集計表(1～3月) '!E22</f>
        <v>白坂　弘幸</v>
      </c>
      <c r="G22" s="140">
        <f>'集計表(1～3月) '!F22</f>
        <v>0</v>
      </c>
      <c r="H22" s="198">
        <f>SUMIF(DB!$B:$B,"="&amp;F22,DB!$D:$D)</f>
        <v>3</v>
      </c>
      <c r="I22" s="142">
        <f>SUMIF(DB!$B:$B,"="&amp;F22,DB!$E:$E)</f>
        <v>3</v>
      </c>
      <c r="K22" s="384" t="str">
        <f>'集計表(1～3月) '!I22</f>
        <v>照屋　育子</v>
      </c>
      <c r="L22" s="415">
        <f>'集計表(1～3月) '!J22</f>
        <v>0</v>
      </c>
      <c r="M22" s="198">
        <f>SUMIF(DB!$B:$B,"="&amp;K22,DB!$D:$D)</f>
        <v>0</v>
      </c>
      <c r="N22" s="142">
        <f>SUMIF(DB!$B:$B,"="&amp;K22,DB!$E:$E)</f>
        <v>0</v>
      </c>
      <c r="P22" s="385" t="str">
        <f>'集計表(1～3月) '!M22</f>
        <v>佐々木　めぐみ</v>
      </c>
      <c r="Q22" s="403">
        <f>'集計表(1～3月) '!N22</f>
        <v>0</v>
      </c>
      <c r="R22" s="85">
        <f>SUMIF(DB!$B:$B,"="&amp;P22,DB!$D:$D)</f>
        <v>0</v>
      </c>
      <c r="S22" s="350">
        <f>SUMIF(DB!$B:$B,"="&amp;P22,DB!$E:$E)</f>
        <v>0</v>
      </c>
    </row>
    <row r="23" spans="1:24">
      <c r="A23" s="371" t="str">
        <f>'集計表(1～3月) '!A23</f>
        <v>高橋　真理子</v>
      </c>
      <c r="B23" s="373">
        <f>'集計表(1～3月) '!B23</f>
        <v>0</v>
      </c>
      <c r="C23" s="218">
        <f>SUMIF(DB!$B:$B,"="&amp;A23,DB!$D:$D)</f>
        <v>0</v>
      </c>
      <c r="D23" s="354">
        <f>SUMIF(DB!$B:$B,"="&amp;A23,DB!$E:$E)</f>
        <v>0</v>
      </c>
      <c r="E23" s="1"/>
      <c r="F23" s="372" t="str">
        <f>'集計表(1～3月) '!E23</f>
        <v>白戸　祐理</v>
      </c>
      <c r="G23" s="140">
        <f>'集計表(1～3月) '!F23</f>
        <v>0</v>
      </c>
      <c r="H23" s="198">
        <f>SUMIF(DB!$B:$B,"="&amp;F23,DB!$D:$D)</f>
        <v>0</v>
      </c>
      <c r="I23" s="142">
        <f>SUMIF(DB!$B:$B,"="&amp;F23,DB!$E:$E)</f>
        <v>0</v>
      </c>
      <c r="K23" s="384" t="str">
        <f>'集計表(1～3月) '!I23</f>
        <v>中山　知佳</v>
      </c>
      <c r="L23" s="403">
        <f>'集計表(1～3月) '!J23</f>
        <v>0</v>
      </c>
      <c r="M23" s="198">
        <f>SUMIF(DB!$B:$B,"="&amp;K23,DB!$D:$D)</f>
        <v>0</v>
      </c>
      <c r="N23" s="142">
        <f>SUMIF(DB!$B:$B,"="&amp;K23,DB!$E:$E)</f>
        <v>0</v>
      </c>
      <c r="P23" s="384" t="str">
        <f>'集計表(1～3月) '!M23</f>
        <v>佐藤　真夏</v>
      </c>
      <c r="Q23" s="415">
        <f>'集計表(1～3月) '!N23</f>
        <v>0</v>
      </c>
      <c r="R23" s="85">
        <f>SUMIF(DB!$B:$B,"="&amp;P23,DB!$D:$D)</f>
        <v>0</v>
      </c>
      <c r="S23" s="350">
        <f>SUMIF(DB!$B:$B,"="&amp;P23,DB!$E:$E)</f>
        <v>0</v>
      </c>
      <c r="T23" s="139"/>
    </row>
    <row r="24" spans="1:24">
      <c r="A24" s="371" t="str">
        <f>'集計表(1～3月) '!A24</f>
        <v>田名部　丞</v>
      </c>
      <c r="B24" s="403" t="str">
        <f>'集計表(1～3月) '!B24</f>
        <v>●</v>
      </c>
      <c r="C24" s="218">
        <f>SUMIF(DB!$B:$B,"="&amp;A24,DB!$D:$D)</f>
        <v>1</v>
      </c>
      <c r="D24" s="354">
        <f>SUMIF(DB!$B:$B,"="&amp;A24,DB!$E:$E)</f>
        <v>2</v>
      </c>
      <c r="E24" s="1"/>
      <c r="F24" s="372" t="str">
        <f>'集計表(1～3月) '!E24</f>
        <v>田端　克昭</v>
      </c>
      <c r="G24" s="140">
        <f>'集計表(1～3月) '!F24</f>
        <v>0</v>
      </c>
      <c r="H24" s="198">
        <f>SUMIF(DB!$B:$B,"="&amp;F24,DB!$D:$D)</f>
        <v>0</v>
      </c>
      <c r="I24" s="142">
        <f>SUMIF(DB!$B:$B,"="&amp;F24,DB!$E:$E)</f>
        <v>0</v>
      </c>
      <c r="K24" s="385" t="str">
        <f>'集計表(1～3月) '!I24</f>
        <v>新井谷　恵美子</v>
      </c>
      <c r="L24" s="403">
        <f>'集計表(1～3月) '!J24</f>
        <v>0</v>
      </c>
      <c r="M24" s="198">
        <f>SUMIF(DB!$B:$B,"="&amp;K24,DB!$D:$D)</f>
        <v>0</v>
      </c>
      <c r="N24" s="142">
        <f>SUMIF(DB!$B:$B,"="&amp;K24,DB!$E:$E)</f>
        <v>0</v>
      </c>
      <c r="P24" s="371" t="str">
        <f>'集計表(1～3月) '!M24</f>
        <v>滝田　智</v>
      </c>
      <c r="Q24" s="403">
        <f>'集計表(1～3月) '!N24</f>
        <v>0</v>
      </c>
      <c r="R24" s="85">
        <f>SUMIF(DB!$B:$B,"="&amp;P24,DB!$D:$D)</f>
        <v>0</v>
      </c>
      <c r="S24" s="350">
        <f>SUMIF(DB!$B:$B,"="&amp;P24,DB!$E:$E)</f>
        <v>0</v>
      </c>
      <c r="X24" s="386"/>
    </row>
    <row r="25" spans="1:24">
      <c r="A25" s="371" t="str">
        <f>'集計表(1～3月) '!A25</f>
        <v>平野　元基</v>
      </c>
      <c r="B25" s="403">
        <f>'集計表(1～3月) '!B25</f>
        <v>0</v>
      </c>
      <c r="C25" s="218">
        <f>SUMIF(DB!$B:$B,"="&amp;A25,DB!$D:$D)</f>
        <v>0</v>
      </c>
      <c r="D25" s="354">
        <f>SUMIF(DB!$B:$B,"="&amp;A25,DB!$E:$E)</f>
        <v>0</v>
      </c>
      <c r="E25" s="1"/>
      <c r="F25" s="375" t="str">
        <f>'集計表(1～3月) '!E25</f>
        <v>西村　夏希</v>
      </c>
      <c r="G25" s="376">
        <f>'集計表(1～3月) '!F25</f>
        <v>0</v>
      </c>
      <c r="H25" s="198">
        <f>SUMIF(DB!$B:$B,"="&amp;F25,DB!$D:$D)</f>
        <v>0</v>
      </c>
      <c r="I25" s="142">
        <f>SUMIF(DB!$B:$B,"="&amp;F25,DB!$E:$E)</f>
        <v>0</v>
      </c>
      <c r="K25" s="385" t="str">
        <f>'集計表(1～3月) '!I25</f>
        <v>野辺地　佳代子</v>
      </c>
      <c r="L25" s="403">
        <f>'集計表(1～3月) '!J25</f>
        <v>0</v>
      </c>
      <c r="M25" s="198">
        <f>SUMIF(DB!$B:$B,"="&amp;K25,DB!$D:$D)</f>
        <v>0</v>
      </c>
      <c r="N25" s="142">
        <f>SUMIF(DB!$B:$B,"="&amp;K25,DB!$E:$E)</f>
        <v>0</v>
      </c>
      <c r="P25" s="371" t="str">
        <f>'集計表(1～3月) '!M25</f>
        <v>寺下　久美子</v>
      </c>
      <c r="Q25" s="403">
        <f>'集計表(1～3月) '!N25</f>
        <v>0</v>
      </c>
      <c r="R25" s="85">
        <f>SUMIF(DB!$B:$B,"="&amp;P25,DB!$D:$D)</f>
        <v>0</v>
      </c>
      <c r="S25" s="350">
        <f>SUMIF(DB!$B:$B,"="&amp;P25,DB!$E:$E)</f>
        <v>0</v>
      </c>
      <c r="X25" s="386"/>
    </row>
    <row r="26" spans="1:24">
      <c r="A26" s="371" t="str">
        <f>'集計表(1～3月) '!A26</f>
        <v>古里　剛</v>
      </c>
      <c r="B26" s="406" t="str">
        <f>'集計表(1～3月) '!B26</f>
        <v>●</v>
      </c>
      <c r="C26" s="198">
        <f>SUMIF(DB!$B:$B,"="&amp;A26,DB!$D:$D)</f>
        <v>4</v>
      </c>
      <c r="D26" s="142">
        <f>SUMIF(DB!$B:$B,"="&amp;A26,DB!$E:$E)</f>
        <v>4</v>
      </c>
      <c r="F26" s="371" t="str">
        <f>'集計表(1～3月) '!E26</f>
        <v>橋本　薫</v>
      </c>
      <c r="G26" s="140">
        <f>'集計表(1～3月) '!F26</f>
        <v>0</v>
      </c>
      <c r="H26" s="198">
        <f>SUMIF(DB!$B:$B,"="&amp;F26,DB!$D:$D)</f>
        <v>0</v>
      </c>
      <c r="I26" s="142">
        <f>SUMIF(DB!$B:$B,"="&amp;F26,DB!$E:$E)</f>
        <v>0</v>
      </c>
      <c r="K26" s="371" t="str">
        <f>'集計表(1～3月) '!I26</f>
        <v>山上　幸子</v>
      </c>
      <c r="L26" s="403">
        <f>'集計表(1～3月) '!J26</f>
        <v>0</v>
      </c>
      <c r="M26" s="198">
        <f>SUMIF(DB!$B:$B,"="&amp;K26,DB!$D:$D)</f>
        <v>0</v>
      </c>
      <c r="N26" s="142">
        <f>SUMIF(DB!$B:$B,"="&amp;K26,DB!$E:$E)</f>
        <v>0</v>
      </c>
      <c r="P26" s="377" t="str">
        <f>'集計表(1～3月) '!M26</f>
        <v>中屋敷　蓉子</v>
      </c>
      <c r="Q26" s="403">
        <f>'集計表(1～3月) '!N26</f>
        <v>0</v>
      </c>
      <c r="R26" s="85">
        <f>SUMIF(DB!$B:$B,"="&amp;P26,DB!$D:$D)</f>
        <v>0</v>
      </c>
      <c r="S26" s="350">
        <f>SUMIF(DB!$B:$B,"="&amp;P26,DB!$E:$E)</f>
        <v>0</v>
      </c>
      <c r="T26" s="176"/>
    </row>
    <row r="27" spans="1:24" ht="14.25" thickBot="1">
      <c r="A27" s="381" t="str">
        <f>'集計表(1～3月) '!A27</f>
        <v>宮崎　和久</v>
      </c>
      <c r="B27" s="405">
        <f>'集計表(1～3月) '!B27</f>
        <v>0</v>
      </c>
      <c r="C27" s="219">
        <f>SUMIF(DB!$B:$B,"="&amp;A27,DB!$D:$D)</f>
        <v>0</v>
      </c>
      <c r="D27" s="355">
        <f>SUMIF(DB!$B:$B,"="&amp;A27,DB!$E:$E)</f>
        <v>0</v>
      </c>
      <c r="E27" s="1"/>
      <c r="F27" s="378" t="str">
        <f>'集計表(1～3月) '!E27</f>
        <v>見付　弘美</v>
      </c>
      <c r="G27" s="379">
        <f>'集計表(1～3月) '!F27</f>
        <v>0</v>
      </c>
      <c r="H27" s="199">
        <f>SUMIF(DB!$B:$B,"="&amp;F27,DB!$D:$D)</f>
        <v>0</v>
      </c>
      <c r="I27" s="351">
        <f>SUMIF(DB!$B:$B,"="&amp;F27,DB!$E:$E)</f>
        <v>0</v>
      </c>
      <c r="K27" s="381" t="str">
        <f>'集計表(1～3月) '!I27</f>
        <v>山田　祥弘</v>
      </c>
      <c r="L27" s="416">
        <f>'集計表(1～3月) '!J27</f>
        <v>0</v>
      </c>
      <c r="M27" s="199">
        <f>SUMIF(DB!$B:$B,"="&amp;K27,DB!$D:$D)</f>
        <v>0</v>
      </c>
      <c r="N27" s="351">
        <f>SUMIF(DB!$B:$B,"="&amp;K27,DB!$E:$E)</f>
        <v>0</v>
      </c>
      <c r="P27" s="381" t="str">
        <f>'集計表(1～3月) '!M27</f>
        <v>早川　政子</v>
      </c>
      <c r="Q27" s="405">
        <f>'集計表(1～3月) '!N27</f>
        <v>0</v>
      </c>
      <c r="R27" s="191">
        <f>SUMIF(DB!$B:$B,"="&amp;P27,DB!$D:$D)</f>
        <v>0</v>
      </c>
      <c r="S27" s="348">
        <f>SUMIF(DB!$B:$B,"="&amp;P27,DB!$E:$E)</f>
        <v>0</v>
      </c>
    </row>
    <row r="28" spans="1:24">
      <c r="A28" s="2">
        <f>'集計表(1～3月) '!A28</f>
        <v>0</v>
      </c>
      <c r="B28" s="2">
        <f>'集計表(1～3月) '!B28</f>
        <v>0</v>
      </c>
      <c r="F28" s="139">
        <f>'集計表(1～3月) '!E28</f>
        <v>0</v>
      </c>
      <c r="G28" s="139">
        <f>'集計表(1～3月) '!F28</f>
        <v>0</v>
      </c>
      <c r="H28" s="138"/>
      <c r="I28" s="138"/>
      <c r="J28" s="357"/>
      <c r="L28" s="1"/>
      <c r="O28" s="1"/>
      <c r="Q28" s="306">
        <f>'集計表(1～3月) '!N28</f>
        <v>0</v>
      </c>
    </row>
    <row r="29" spans="1:24" ht="15" customHeight="1" thickBot="1">
      <c r="C29" s="138" t="s">
        <v>253</v>
      </c>
      <c r="D29" s="357" t="s">
        <v>254</v>
      </c>
      <c r="E29" s="357"/>
      <c r="H29" s="138" t="s">
        <v>253</v>
      </c>
      <c r="I29" s="357" t="s">
        <v>254</v>
      </c>
      <c r="J29" s="357"/>
      <c r="M29" s="138" t="s">
        <v>253</v>
      </c>
      <c r="N29" s="357" t="s">
        <v>254</v>
      </c>
      <c r="O29" s="138"/>
      <c r="R29" s="138" t="s">
        <v>253</v>
      </c>
      <c r="S29" s="357" t="s">
        <v>254</v>
      </c>
    </row>
    <row r="30" spans="1:24" ht="15" customHeight="1" thickBot="1">
      <c r="A30" s="307" t="str">
        <f>CONCATENATE("グループI  ",_xlfn.VALUETOTEXT(COUNTA(A31:A39)*3+COUNTIF(B31:B39,"=●")*3),"件")</f>
        <v>グループI  36件</v>
      </c>
      <c r="B30" s="308"/>
      <c r="C30" s="220">
        <f>SUM(C31:C39)</f>
        <v>11</v>
      </c>
      <c r="D30" s="141">
        <f>SUM(D31:D39)</f>
        <v>17</v>
      </c>
      <c r="F30" s="309" t="str">
        <f>CONCATENATE("グループJ  ",_xlfn.VALUETOTEXT(COUNTA(F31:F41)*3+COUNTIF(G31:G41,"=●")*3),"件")</f>
        <v>グループJ  39件</v>
      </c>
      <c r="G30" s="310"/>
      <c r="H30" s="220">
        <f>SUM(H31:H41)</f>
        <v>2</v>
      </c>
      <c r="I30" s="141">
        <f>SUM(I31:I41)</f>
        <v>2</v>
      </c>
      <c r="J30" s="2">
        <f>SUM(J31:J40)</f>
        <v>0</v>
      </c>
      <c r="K30" s="309" t="str">
        <f>CONCATENATE("グループK  ",_xlfn.VALUETOTEXT(COUNTA(K31:K41)*3+COUNTIF(L31:L41,"=●")*3),"件")</f>
        <v>グループK  45件</v>
      </c>
      <c r="L30" s="310"/>
      <c r="M30" s="220">
        <f>SUM(M31:M41)</f>
        <v>2</v>
      </c>
      <c r="N30" s="141">
        <f>SUM(N31:N41)</f>
        <v>4</v>
      </c>
      <c r="P30" s="309" t="str">
        <f>CONCATENATE("グループL  ",_xlfn.VALUETOTEXT(COUNTA(P31:P42)*3+COUNTIF(Q31:Q42,"=●")*3),"件")</f>
        <v>グループL  36件</v>
      </c>
      <c r="Q30" s="310"/>
      <c r="R30" s="470">
        <f>SUM(R31:R42)</f>
        <v>1</v>
      </c>
      <c r="S30" s="358">
        <f>SUM(S31:S42)</f>
        <v>2</v>
      </c>
    </row>
    <row r="31" spans="1:24" ht="15" customHeight="1" thickTop="1">
      <c r="A31" s="642" t="str">
        <f>'集計表(1～3月) '!A31</f>
        <v>松井　龍平</v>
      </c>
      <c r="B31" s="402">
        <f>'集計表(1～3月) '!B31</f>
        <v>0</v>
      </c>
      <c r="C31" s="109">
        <f>SUMIF(DB!$B:$B,"="&amp;A31,DB!$D:$D)</f>
        <v>4</v>
      </c>
      <c r="D31" s="356">
        <f>SUMIF(DB!$B:$B,"="&amp;A31,DB!$E:$E)</f>
        <v>5</v>
      </c>
      <c r="E31" s="1"/>
      <c r="F31" s="365" t="str">
        <f>'集計表(1～3月) '!E31</f>
        <v>金子　千穂</v>
      </c>
      <c r="G31" s="412" t="str">
        <f>'集計表(1～3月) '!F31</f>
        <v>●</v>
      </c>
      <c r="H31" s="109">
        <f>SUMIF(DB!$B:$B,"="&amp;F31,DB!$D:$D)</f>
        <v>2</v>
      </c>
      <c r="I31" s="356">
        <f>SUMIF(DB!$B:$B,"="&amp;F31,DB!$E:$E)</f>
        <v>2</v>
      </c>
      <c r="K31" s="647" t="str">
        <f>'集計表(1～3月) '!I31</f>
        <v>類家　順</v>
      </c>
      <c r="L31" s="414" t="str">
        <f>'集計表(1～3月) '!J31</f>
        <v>●</v>
      </c>
      <c r="M31" s="109">
        <f>SUMIF(DB!$B:$B,"="&amp;K31,DB!$D:$D)</f>
        <v>0</v>
      </c>
      <c r="N31" s="356">
        <f>SUMIF(DB!$B:$B,"="&amp;K31,DB!$E:$E)</f>
        <v>0</v>
      </c>
      <c r="P31" s="368" t="str">
        <f>'集計表(1～3月) '!M31</f>
        <v>川合　ひとみ</v>
      </c>
      <c r="Q31" s="412" t="str">
        <f>'集計表(1～3月) '!N31</f>
        <v>●</v>
      </c>
      <c r="R31" s="109">
        <f>SUMIF(DB!$B:$B,"="&amp;P31,DB!$D:$D)</f>
        <v>0</v>
      </c>
      <c r="S31" s="356">
        <f>SUMIF(DB!$B:$B,"="&amp;P31,DB!$E:$E)</f>
        <v>0</v>
      </c>
    </row>
    <row r="32" spans="1:24" ht="15" customHeight="1">
      <c r="A32" s="369" t="str">
        <f>'集計表(1～3月) '!A32</f>
        <v>佐藤　範和</v>
      </c>
      <c r="B32" s="643" t="str">
        <f>'集計表(1～3月) '!B32</f>
        <v>●</v>
      </c>
      <c r="C32" s="641">
        <f>SUMIF(DB!$B:$B,"="&amp;A32,DB!$D:$D)</f>
        <v>0</v>
      </c>
      <c r="D32" s="354">
        <f>SUMIF(DB!$B:$B,"="&amp;A32,DB!$E:$E)</f>
        <v>0</v>
      </c>
      <c r="E32" s="1"/>
      <c r="F32" s="647" t="str">
        <f>'集計表(1～3月) '!E32</f>
        <v>佐々木　寛人</v>
      </c>
      <c r="G32" s="403" t="str">
        <f>'集計表(1～3月) '!F32</f>
        <v>●</v>
      </c>
      <c r="H32" s="640">
        <f>SUMIF(DB!$B:$B,"="&amp;F32,DB!$D:$D)</f>
        <v>0</v>
      </c>
      <c r="I32" s="142">
        <f>SUMIF(DB!$B:$B,"="&amp;F32,DB!$E:$E)</f>
        <v>0</v>
      </c>
      <c r="K32" s="647" t="str">
        <f>'集計表(1～3月) '!I32</f>
        <v>熊谷　剛</v>
      </c>
      <c r="L32" s="403">
        <f>'集計表(1～3月) '!J32</f>
        <v>0</v>
      </c>
      <c r="M32" s="640">
        <f>SUMIF(DB!$B:$B,"="&amp;K32,DB!$D:$D)</f>
        <v>0</v>
      </c>
      <c r="N32" s="142">
        <f>SUMIF(DB!$B:$B,"="&amp;K32,DB!$E:$E)</f>
        <v>0</v>
      </c>
      <c r="P32" s="369" t="str">
        <f>'集計表(1～3月) '!M32</f>
        <v>澤村　純一</v>
      </c>
      <c r="Q32" s="403">
        <f>'集計表(1～3月) '!N32</f>
        <v>0</v>
      </c>
      <c r="R32" s="503">
        <f>SUMIF(DB!$B:$B,"="&amp;P32,DB!$D:$D)</f>
        <v>0</v>
      </c>
      <c r="S32" s="504">
        <f>SUMIF(DB!$B:$B,"="&amp;P32,DB!$E:$E)</f>
        <v>0</v>
      </c>
    </row>
    <row r="33" spans="1:23" ht="15" customHeight="1">
      <c r="A33" s="371" t="str">
        <f>'集計表(1～3月) '!A33</f>
        <v>上村　巧弥</v>
      </c>
      <c r="B33" s="643">
        <f>'集計表(1～3月) '!B33</f>
        <v>0</v>
      </c>
      <c r="C33" s="641">
        <f>SUMIF(DB!$B:$B,"="&amp;A33,DB!$D:$D)</f>
        <v>0</v>
      </c>
      <c r="D33" s="354">
        <f>SUMIF(DB!$B:$B,"="&amp;A33,DB!$E:$E)</f>
        <v>0</v>
      </c>
      <c r="E33" s="1"/>
      <c r="F33" s="648" t="str">
        <f>'集計表(1～3月) '!E33</f>
        <v>小川　菜音</v>
      </c>
      <c r="G33" s="403">
        <f>'集計表(1～3月) '!F33</f>
        <v>0</v>
      </c>
      <c r="H33" s="640">
        <f>SUMIF(DB!$B:$B,"="&amp;F33,DB!$D:$D)</f>
        <v>0</v>
      </c>
      <c r="I33" s="142">
        <f>SUMIF(DB!$B:$B,"="&amp;F33,DB!$E:$E)</f>
        <v>0</v>
      </c>
      <c r="K33" s="648" t="str">
        <f>'集計表(1～3月) '!I33</f>
        <v>木津谷　隆</v>
      </c>
      <c r="L33" s="403" t="str">
        <f>'集計表(1～3月) '!J33</f>
        <v>●</v>
      </c>
      <c r="M33" s="640">
        <f>SUMIF(DB!$B:$B,"="&amp;K33,DB!$D:$D)</f>
        <v>1</v>
      </c>
      <c r="N33" s="142">
        <f>SUMIF(DB!$B:$B,"="&amp;K33,DB!$E:$E)</f>
        <v>2</v>
      </c>
      <c r="P33" s="371" t="str">
        <f>'集計表(1～3月) '!M33</f>
        <v>赤坂　輝明</v>
      </c>
      <c r="Q33" s="403">
        <f>'集計表(1～3月) '!N33</f>
        <v>0</v>
      </c>
      <c r="R33" s="503">
        <f>SUMIF(DB!$B:$B,"="&amp;P33,DB!$D:$D)</f>
        <v>0</v>
      </c>
      <c r="S33" s="504">
        <f>SUMIF(DB!$B:$B,"="&amp;P33,DB!$E:$E)</f>
        <v>0</v>
      </c>
    </row>
    <row r="34" spans="1:23" ht="15" customHeight="1">
      <c r="A34" s="371" t="str">
        <f>'集計表(1～3月) '!A34</f>
        <v>大坂　真知子</v>
      </c>
      <c r="B34" s="643">
        <f>'集計表(1～3月) '!B34</f>
        <v>0</v>
      </c>
      <c r="C34" s="641">
        <f>SUMIF(DB!$B:$B,"="&amp;A34,DB!$D:$D)</f>
        <v>0</v>
      </c>
      <c r="D34" s="354">
        <f>SUMIF(DB!$B:$B,"="&amp;A34,DB!$E:$E)</f>
        <v>0</v>
      </c>
      <c r="E34" s="1"/>
      <c r="F34" s="648" t="str">
        <f>'集計表(1～3月) '!E34</f>
        <v>小黒　真智</v>
      </c>
      <c r="G34" s="403">
        <f>'集計表(1～3月) '!F34</f>
        <v>0</v>
      </c>
      <c r="H34" s="640">
        <f>SUMIF(DB!$B:$B,"="&amp;F34,DB!$D:$D)</f>
        <v>0</v>
      </c>
      <c r="I34" s="142">
        <f>SUMIF(DB!$B:$B,"="&amp;F34,DB!$E:$E)</f>
        <v>0</v>
      </c>
      <c r="K34" s="648" t="str">
        <f>'集計表(1～3月) '!I34</f>
        <v>小泉　洋之</v>
      </c>
      <c r="L34" s="403" t="str">
        <f>'集計表(1～3月) '!J34</f>
        <v>●</v>
      </c>
      <c r="M34" s="640">
        <f>SUMIF(DB!$B:$B,"="&amp;K34,DB!$D:$D)</f>
        <v>1</v>
      </c>
      <c r="N34" s="142">
        <f>SUMIF(DB!$B:$B,"="&amp;K34,DB!$E:$E)</f>
        <v>2</v>
      </c>
      <c r="P34" s="371" t="str">
        <f>'集計表(1～3月) '!M34</f>
        <v>熊谷　しぐれ</v>
      </c>
      <c r="Q34" s="403">
        <f>'集計表(1～3月) '!N34</f>
        <v>0</v>
      </c>
      <c r="R34" s="503">
        <f>SUMIF(DB!$B:$B,"="&amp;P34,DB!$D:$D)</f>
        <v>0</v>
      </c>
      <c r="S34" s="505">
        <f>SUMIF(DB!$B:$B,"="&amp;P34,DB!$E:$E)</f>
        <v>0</v>
      </c>
      <c r="T34" s="175"/>
    </row>
    <row r="35" spans="1:23" ht="15" customHeight="1">
      <c r="A35" s="371" t="str">
        <f>'集計表(1～3月) '!A35</f>
        <v>舘　博美</v>
      </c>
      <c r="B35" s="643" t="str">
        <f>'集計表(1～3月) '!B35</f>
        <v>●</v>
      </c>
      <c r="C35" s="641">
        <f>SUMIF(DB!$B:$B,"="&amp;A35,DB!$D:$D)</f>
        <v>3</v>
      </c>
      <c r="D35" s="354">
        <f>SUMIF(DB!$B:$B,"="&amp;A35,DB!$E:$E)</f>
        <v>6</v>
      </c>
      <c r="E35" s="1"/>
      <c r="F35" s="648" t="str">
        <f>'集計表(1～3月) '!E35</f>
        <v>佐々木　智子</v>
      </c>
      <c r="G35" s="403">
        <f>'集計表(1～3月) '!F35</f>
        <v>0</v>
      </c>
      <c r="H35" s="640">
        <f>SUMIF(DB!$B:$B,"="&amp;F35,DB!$D:$D)</f>
        <v>0</v>
      </c>
      <c r="I35" s="142">
        <f>SUMIF(DB!$B:$B,"="&amp;F35,DB!$E:$E)</f>
        <v>0</v>
      </c>
      <c r="K35" s="648" t="str">
        <f>'集計表(1～3月) '!I35</f>
        <v>種市　由希枝</v>
      </c>
      <c r="L35" s="403">
        <f>'集計表(1～3月) '!J35</f>
        <v>0</v>
      </c>
      <c r="M35" s="640">
        <f>SUMIF(DB!$B:$B,"="&amp;K35,DB!$D:$D)</f>
        <v>0</v>
      </c>
      <c r="N35" s="142">
        <f>SUMIF(DB!$B:$B,"="&amp;K35,DB!$E:$E)</f>
        <v>0</v>
      </c>
      <c r="P35" s="371" t="str">
        <f>'集計表(1～3月) '!M35</f>
        <v>佐々木　史弥</v>
      </c>
      <c r="Q35" s="403">
        <f>'集計表(1～3月) '!N35</f>
        <v>0</v>
      </c>
      <c r="R35" s="503">
        <f>SUMIF(DB!$B:$B,"="&amp;P35,DB!$D:$D)</f>
        <v>0</v>
      </c>
      <c r="S35" s="504">
        <f>SUMIF(DB!$B:$B,"="&amp;P35,DB!$E:$E)</f>
        <v>0</v>
      </c>
    </row>
    <row r="36" spans="1:23" ht="15" customHeight="1">
      <c r="A36" s="371" t="str">
        <f>'集計表(1～3月) '!A36</f>
        <v>野口　美幸</v>
      </c>
      <c r="B36" s="643">
        <f>'集計表(1～3月) '!B36</f>
        <v>0</v>
      </c>
      <c r="C36" s="641">
        <f>SUMIF(DB!$B:$B,"="&amp;A36,DB!$D:$D)</f>
        <v>2</v>
      </c>
      <c r="D36" s="354">
        <f>SUMIF(DB!$B:$B,"="&amp;A36,DB!$E:$E)</f>
        <v>2</v>
      </c>
      <c r="E36" s="1"/>
      <c r="F36" s="648" t="str">
        <f>'集計表(1～3月) '!E36</f>
        <v>佐藤　弘子</v>
      </c>
      <c r="G36" s="403">
        <f>'集計表(1～3月) '!F36</f>
        <v>0</v>
      </c>
      <c r="H36" s="640">
        <f>SUMIF(DB!$B:$B,"="&amp;F36,DB!$D:$D)</f>
        <v>0</v>
      </c>
      <c r="I36" s="142">
        <f>SUMIF(DB!$B:$B,"="&amp;F36,DB!$E:$E)</f>
        <v>0</v>
      </c>
      <c r="K36" s="648" t="str">
        <f>'集計表(1～3月) '!I36</f>
        <v>沼田　智子</v>
      </c>
      <c r="L36" s="403">
        <f>'集計表(1～3月) '!J36</f>
        <v>0</v>
      </c>
      <c r="M36" s="640">
        <f>SUMIF(DB!$B:$B,"="&amp;K36,DB!$D:$D)</f>
        <v>0</v>
      </c>
      <c r="N36" s="142">
        <f>SUMIF(DB!$B:$B,"="&amp;K36,DB!$E:$E)</f>
        <v>0</v>
      </c>
      <c r="P36" s="385" t="str">
        <f>'集計表(1～3月) '!M36</f>
        <v>佐々木　美知子</v>
      </c>
      <c r="Q36" s="403">
        <f>'集計表(1～3月) '!N36</f>
        <v>0</v>
      </c>
      <c r="R36" s="503">
        <f>SUMIF(DB!$B:$B,"="&amp;P36,DB!$D:$D)</f>
        <v>1</v>
      </c>
      <c r="S36" s="504">
        <f>SUMIF(DB!$B:$B,"="&amp;P36,DB!$E:$E)</f>
        <v>2</v>
      </c>
      <c r="W36" s="138"/>
    </row>
    <row r="37" spans="1:23" ht="15" customHeight="1">
      <c r="A37" s="371" t="str">
        <f>'集計表(1～3月) '!A37</f>
        <v>畠山　真美</v>
      </c>
      <c r="B37" s="643">
        <f>'集計表(1～3月) '!B37</f>
        <v>0</v>
      </c>
      <c r="C37" s="641">
        <f>SUMIF(DB!$B:$B,"="&amp;A37,DB!$D:$D)</f>
        <v>0</v>
      </c>
      <c r="D37" s="354">
        <f>SUMIF(DB!$B:$B,"="&amp;A37,DB!$E:$E)</f>
        <v>0</v>
      </c>
      <c r="E37" s="1"/>
      <c r="F37" s="648" t="str">
        <f>'集計表(1～3月) '!E37</f>
        <v>田中　幸子</v>
      </c>
      <c r="G37" s="403">
        <f>'集計表(1～3月) '!F37</f>
        <v>0</v>
      </c>
      <c r="H37" s="640">
        <f>SUMIF(DB!$B:$B,"="&amp;F37,DB!$D:$D)</f>
        <v>0</v>
      </c>
      <c r="I37" s="142">
        <f>SUMIF(DB!$B:$B,"="&amp;F37,DB!$E:$E)</f>
        <v>0</v>
      </c>
      <c r="K37" s="649" t="str">
        <f>'集計表(1～3月) '!I37</f>
        <v>古舘　優紀</v>
      </c>
      <c r="L37" s="415">
        <f>'集計表(1～3月) '!J37</f>
        <v>0</v>
      </c>
      <c r="M37" s="640">
        <f>SUMIF(DB!$B:$B,"="&amp;K37,DB!$D:$D)</f>
        <v>0</v>
      </c>
      <c r="N37" s="142">
        <f>SUMIF(DB!$B:$B,"="&amp;K37,DB!$E:$E)</f>
        <v>0</v>
      </c>
      <c r="P37" s="384" t="str">
        <f>'集計表(1～3月) '!M37</f>
        <v>杉渕　恵美</v>
      </c>
      <c r="Q37" s="415">
        <f>'集計表(1～3月) '!N37</f>
        <v>0</v>
      </c>
      <c r="R37" s="503">
        <f>SUMIF(DB!$B:$B,"="&amp;P37,DB!$D:$D)</f>
        <v>0</v>
      </c>
      <c r="S37" s="504">
        <f>SUMIF(DB!$B:$B,"="&amp;P37,DB!$E:$E)</f>
        <v>0</v>
      </c>
      <c r="W37" s="138"/>
    </row>
    <row r="38" spans="1:23" ht="15" customHeight="1">
      <c r="A38" s="371" t="str">
        <f>'集計表(1～3月) '!A38</f>
        <v>水野　美佳</v>
      </c>
      <c r="B38" s="403">
        <f>'集計表(1～3月) '!B38</f>
        <v>0</v>
      </c>
      <c r="C38" s="641">
        <f>SUMIF(DB!$B:$B,"="&amp;A38,DB!$D:$D)</f>
        <v>0</v>
      </c>
      <c r="D38" s="354">
        <f>SUMIF(DB!$B:$B,"="&amp;A38,DB!$E:$E)</f>
        <v>0</v>
      </c>
      <c r="E38" s="1"/>
      <c r="F38" s="648" t="str">
        <f>'集計表(1～3月) '!E38</f>
        <v>中城　裕子</v>
      </c>
      <c r="G38" s="403">
        <f>'集計表(1～3月) '!F38</f>
        <v>0</v>
      </c>
      <c r="H38" s="640">
        <f>SUMIF(DB!$B:$B,"="&amp;F38,DB!$D:$D)</f>
        <v>0</v>
      </c>
      <c r="I38" s="142">
        <f>SUMIF(DB!$B:$B,"="&amp;F38,DB!$E:$E)</f>
        <v>0</v>
      </c>
      <c r="K38" s="649" t="str">
        <f>'集計表(1～3月) '!I38</f>
        <v>古町　朋子</v>
      </c>
      <c r="L38" s="415">
        <f>'集計表(1～3月) '!J38</f>
        <v>0</v>
      </c>
      <c r="M38" s="640">
        <f>SUMIF(DB!$B:$B,"="&amp;K38,DB!$D:$D)</f>
        <v>0</v>
      </c>
      <c r="N38" s="142">
        <f>SUMIF(DB!$B:$B,"="&amp;K38,DB!$E:$E)</f>
        <v>0</v>
      </c>
      <c r="P38" s="371" t="str">
        <f>'集計表(1～3月) '!M38</f>
        <v>高橋　公司</v>
      </c>
      <c r="Q38" s="403">
        <f>'集計表(1～3月) '!N38</f>
        <v>0</v>
      </c>
      <c r="R38" s="503">
        <f>SUMIF(DB!$B:$B,"="&amp;P38,DB!$D:$D)</f>
        <v>0</v>
      </c>
      <c r="S38" s="504">
        <f>SUMIF(DB!$B:$B,"="&amp;P38,DB!$E:$E)</f>
        <v>0</v>
      </c>
      <c r="W38" s="138"/>
    </row>
    <row r="39" spans="1:23" ht="15" customHeight="1">
      <c r="A39" s="371" t="str">
        <f>'集計表(1～3月) '!A39</f>
        <v>山口　美幸</v>
      </c>
      <c r="B39" s="403" t="str">
        <f>'集計表(1～3月) '!B39</f>
        <v>●</v>
      </c>
      <c r="C39" s="641">
        <f>SUMIF(DB!$B:$B,"="&amp;A39,DB!$D:$D)</f>
        <v>2</v>
      </c>
      <c r="D39" s="354">
        <f>SUMIF(DB!$B:$B,"="&amp;A39,DB!$E:$E)</f>
        <v>4</v>
      </c>
      <c r="E39" s="1"/>
      <c r="F39" s="648" t="str">
        <f>'集計表(1～3月) '!E39</f>
        <v>古舘　美香</v>
      </c>
      <c r="G39" s="403">
        <f>'集計表(1～3月) '!F39</f>
        <v>0</v>
      </c>
      <c r="H39" s="640">
        <f>SUMIF(DB!$B:$B,"="&amp;F39,DB!$D:$D)</f>
        <v>0</v>
      </c>
      <c r="I39" s="142">
        <f>SUMIF(DB!$B:$B,"="&amp;F39,DB!$E:$E)</f>
        <v>0</v>
      </c>
      <c r="K39" s="648" t="str">
        <f>'集計表(1～3月) '!I39</f>
        <v>古谷　裕美</v>
      </c>
      <c r="L39" s="403" t="str">
        <f>'集計表(1～3月) '!J39</f>
        <v>●</v>
      </c>
      <c r="M39" s="640">
        <f>SUMIF(DB!$B:$B,"="&amp;K39,DB!$D:$D)</f>
        <v>0</v>
      </c>
      <c r="N39" s="142">
        <f>SUMIF(DB!$B:$B,"="&amp;K39,DB!$E:$E)</f>
        <v>0</v>
      </c>
      <c r="P39" s="371" t="str">
        <f>'集計表(1～3月) '!M39</f>
        <v>中村　ゆかり</v>
      </c>
      <c r="Q39" s="403">
        <f>'集計表(1～3月) '!N39</f>
        <v>0</v>
      </c>
      <c r="R39" s="503">
        <f>SUMIF(DB!$B:$B,"="&amp;P39,DB!$D:$D)</f>
        <v>0</v>
      </c>
      <c r="S39" s="504">
        <f>SUMIF(DB!$B:$B,"="&amp;P39,DB!$E:$E)</f>
        <v>0</v>
      </c>
      <c r="W39" s="138"/>
    </row>
    <row r="40" spans="1:23" ht="15" customHeight="1" thickBot="1">
      <c r="A40" s="381" t="str">
        <f>'集計表(1～3月) '!A40</f>
        <v>山田　隆広</v>
      </c>
      <c r="B40" s="405">
        <f>'集計表(1～3月) '!B40</f>
        <v>0</v>
      </c>
      <c r="C40" s="219">
        <f>SUMIF(DB!$B:$B,"="&amp;A40,DB!$D:$D)</f>
        <v>0</v>
      </c>
      <c r="D40" s="355">
        <f>SUMIF(DB!$B:$B,"="&amp;A40,DB!$E:$E)</f>
        <v>0</v>
      </c>
      <c r="F40" s="380" t="str">
        <f>'集計表(1～3月) '!E40</f>
        <v>八木田　那幸</v>
      </c>
      <c r="G40" s="405">
        <f>'集計表(1～3月) '!F40</f>
        <v>0</v>
      </c>
      <c r="H40" s="199">
        <f>SUMIF(DB!$B:$B,"="&amp;F40,DB!$D:$D)</f>
        <v>0</v>
      </c>
      <c r="I40" s="351">
        <f>SUMIF(DB!$B:$B,"="&amp;F40,DB!$E:$E)</f>
        <v>0</v>
      </c>
      <c r="K40" s="644" t="str">
        <f>'集計表(1～3月) '!I40</f>
        <v>八重畑　美里</v>
      </c>
      <c r="L40" s="413">
        <f>'集計表(1～3月) '!J40</f>
        <v>0</v>
      </c>
      <c r="M40" s="645">
        <f>SUMIF(DB!$B:$B,"="&amp;K40,DB!$D:$D)</f>
        <v>0</v>
      </c>
      <c r="N40" s="646">
        <f>SUMIF(DB!$B:$B,"="&amp;K40,DB!$E:$E)</f>
        <v>0</v>
      </c>
      <c r="P40" s="371" t="str">
        <f>'集計表(1～3月) '!M40</f>
        <v>松坂　百華</v>
      </c>
      <c r="Q40" s="403">
        <f>'集計表(1～3月) '!N40</f>
        <v>0</v>
      </c>
      <c r="R40" s="503">
        <f>SUMIF(DB!$B:$B,"="&amp;P40,DB!$D:$D)</f>
        <v>0</v>
      </c>
      <c r="S40" s="504">
        <f>SUMIF(DB!$B:$B,"="&amp;P40,DB!$E:$E)</f>
        <v>0</v>
      </c>
      <c r="W40" s="138"/>
    </row>
    <row r="41" spans="1:23" ht="15" customHeight="1" thickBot="1">
      <c r="A41" s="2">
        <f>'集計表(1～3月) '!A41</f>
        <v>0</v>
      </c>
      <c r="B41" s="2">
        <f>'集計表(1～3月) '!B41</f>
        <v>0</v>
      </c>
      <c r="C41" s="1">
        <f>VLOOKUP(A41,'3月'!$B$4:$BQ$406,67,FALSE)</f>
        <v>0</v>
      </c>
      <c r="D41" s="1">
        <f>VLOOKUP(A41,'3月'!$B$4:$BQ$406,68,FALSE)</f>
        <v>0</v>
      </c>
      <c r="E41" s="1"/>
      <c r="F41" s="2">
        <f>'集計表(1～3月) '!E41</f>
        <v>0</v>
      </c>
      <c r="G41" s="2">
        <f>'集計表(1～3月) '!F41</f>
        <v>0</v>
      </c>
      <c r="H41" s="2">
        <f>VLOOKUP(F41,'3月'!$B$4:$BQ$406,67,FALSE)</f>
        <v>0</v>
      </c>
      <c r="I41" s="2">
        <f>VLOOKUP(F41,'3月'!$B$4:$BQ$406,68,FALSE)</f>
        <v>0</v>
      </c>
      <c r="K41" s="380" t="str">
        <f>'集計表(1～3月) '!I41</f>
        <v>工藤　虹都</v>
      </c>
      <c r="L41" s="405">
        <f>'集計表(1～3月) '!J41</f>
        <v>0</v>
      </c>
      <c r="M41" s="199">
        <f>SUMIF(DB!$B:$B,"="&amp;K41,DB!$D:$D)</f>
        <v>0</v>
      </c>
      <c r="N41" s="351">
        <f>SUMIF(DB!$B:$B,"="&amp;K41,DB!$E:$E)</f>
        <v>0</v>
      </c>
      <c r="P41" s="381" t="str">
        <f>'集計表(1～3月) '!M41</f>
        <v>武藤　雅子</v>
      </c>
      <c r="Q41" s="405">
        <f>'集計表(1～3月) '!N41</f>
        <v>0</v>
      </c>
      <c r="R41" s="652">
        <f>SUMIF(DB!$B:$B,"="&amp;P41,DB!$D:$D)</f>
        <v>0</v>
      </c>
      <c r="S41" s="506">
        <f>SUMIF(DB!$B:$B,"="&amp;P41,DB!$E:$E)</f>
        <v>0</v>
      </c>
      <c r="W41" s="138"/>
    </row>
    <row r="42" spans="1:23" ht="15" customHeight="1">
      <c r="B42" s="407"/>
      <c r="F42" s="139">
        <f>'集計表(1～3月) '!E42</f>
        <v>0</v>
      </c>
      <c r="G42" s="139">
        <f>'集計表(1～3月) '!F42</f>
        <v>0</v>
      </c>
      <c r="H42" s="138"/>
      <c r="I42" s="138"/>
      <c r="J42" s="357"/>
      <c r="R42" s="650"/>
      <c r="S42" s="651"/>
      <c r="W42" s="138"/>
    </row>
    <row r="43" spans="1:23" ht="15" customHeight="1">
      <c r="A43" s="2">
        <f>'集計表(1～3月) '!A43</f>
        <v>0</v>
      </c>
      <c r="B43" s="407">
        <f>'集計表(1～3月) '!B43</f>
        <v>0</v>
      </c>
      <c r="F43" s="139">
        <f>'集計表(1～3月) '!E43</f>
        <v>0</v>
      </c>
      <c r="G43" s="139">
        <f>'集計表(1～3月) '!F43</f>
        <v>0</v>
      </c>
      <c r="H43" s="138"/>
      <c r="I43" s="138"/>
      <c r="J43" s="357"/>
      <c r="K43" s="444"/>
      <c r="P43" s="2">
        <f>'集計表(1～3月) '!M43</f>
        <v>0</v>
      </c>
      <c r="Q43" s="2">
        <f>'集計表(1～3月) '!N43</f>
        <v>0</v>
      </c>
      <c r="W43" s="138"/>
    </row>
    <row r="44" spans="1:23" ht="15" customHeight="1" thickBot="1">
      <c r="C44" s="138" t="s">
        <v>253</v>
      </c>
      <c r="D44" s="357" t="s">
        <v>254</v>
      </c>
      <c r="E44" s="357"/>
      <c r="H44" s="138" t="s">
        <v>253</v>
      </c>
      <c r="I44" s="357" t="s">
        <v>254</v>
      </c>
      <c r="K44" s="75" t="s">
        <v>210</v>
      </c>
      <c r="L44" s="75"/>
      <c r="M44" s="138" t="s">
        <v>253</v>
      </c>
      <c r="N44" s="357" t="s">
        <v>254</v>
      </c>
      <c r="P44" s="722" t="str">
        <f ca="1">TEXT(IF(TODAY()&lt;DATE(2025,3,31),TODAY(),DATE(2025,3,31)),"yyyy/m/dd")</f>
        <v>2025/1/16</v>
      </c>
      <c r="Q44" s="722"/>
      <c r="R44" s="722"/>
      <c r="W44" s="138"/>
    </row>
    <row r="45" spans="1:23" ht="15" customHeight="1" thickBot="1">
      <c r="A45" s="307" t="str">
        <f>CONCATENATE("グループM  ",_xlfn.VALUETOTEXT(COUNTA(A46:A56)*3+COUNTIF(B46:B56,"=●")*3),"件")</f>
        <v>グループM  36件</v>
      </c>
      <c r="B45" s="308"/>
      <c r="C45" s="220">
        <f>SUM(C46:C56)</f>
        <v>5</v>
      </c>
      <c r="D45" s="141">
        <f>SUM(D46:D56)</f>
        <v>7</v>
      </c>
      <c r="F45" s="309" t="str">
        <f>CONCATENATE("グループN  ",_xlfn.VALUETOTEXT(COUNTA(F46:F54)*3+COUNTIF(G46:G54,"=●")*3),"件")</f>
        <v>グループN  33件</v>
      </c>
      <c r="G45" s="310"/>
      <c r="H45" s="220">
        <f>SUM(H46:H54)</f>
        <v>3</v>
      </c>
      <c r="I45" s="141">
        <f>SUM(I46:I54)</f>
        <v>4</v>
      </c>
      <c r="K45" s="274" t="s">
        <v>250</v>
      </c>
      <c r="L45" s="281"/>
      <c r="M45" s="220">
        <f>SUM(M46:M54)</f>
        <v>8</v>
      </c>
      <c r="N45" s="141">
        <f>SUM(N46:N54)</f>
        <v>9</v>
      </c>
      <c r="P45" s="722"/>
      <c r="Q45" s="722"/>
      <c r="R45" s="722"/>
    </row>
    <row r="46" spans="1:23" ht="15" customHeight="1" thickTop="1">
      <c r="A46" s="364" t="str">
        <f>'集計表(1～3月) '!A46</f>
        <v>伊藤　秀智</v>
      </c>
      <c r="B46" s="402">
        <f>'集計表(1～3月) '!B46</f>
        <v>0</v>
      </c>
      <c r="C46" s="109">
        <f>SUMIF(DB!$B:$B,"="&amp;A46,DB!$D:$D)</f>
        <v>2</v>
      </c>
      <c r="D46" s="356">
        <f>SUMIF(DB!$B:$B,"="&amp;A46,DB!$E:$E)</f>
        <v>4</v>
      </c>
      <c r="E46" s="1"/>
      <c r="F46" s="365" t="str">
        <f>'集計表(1～3月) '!E46</f>
        <v>田名部　昌義</v>
      </c>
      <c r="G46" s="412" t="str">
        <f>'集計表(1～3月) '!F46</f>
        <v>●</v>
      </c>
      <c r="H46" s="109">
        <f>SUMIF(DB!$B:$B,"="&amp;F46,DB!$D:$D)</f>
        <v>1</v>
      </c>
      <c r="I46" s="356">
        <f>SUMIF(DB!$B:$B,"="&amp;F46,DB!$E:$E)</f>
        <v>2</v>
      </c>
      <c r="K46" s="387" t="str">
        <f>'集計表(1～3月) '!I46</f>
        <v>八田　守立</v>
      </c>
      <c r="L46" s="388"/>
      <c r="M46" s="109">
        <f>SUMIF(DB!$B:$B,"="&amp;K46,DB!$D:$D)</f>
        <v>2</v>
      </c>
      <c r="N46" s="356">
        <f>SUMIF(DB!$B:$B,"="&amp;K46,DB!$E:$E)</f>
        <v>3</v>
      </c>
      <c r="P46" s="725" t="s">
        <v>325</v>
      </c>
      <c r="Q46" s="725"/>
      <c r="R46" s="725"/>
    </row>
    <row r="47" spans="1:23" ht="15" customHeight="1">
      <c r="A47" s="369" t="str">
        <f>'集計表(1～3月) '!A47</f>
        <v>岡本　良一</v>
      </c>
      <c r="B47" s="373" t="str">
        <f>'集計表(1～3月) '!B47</f>
        <v>●</v>
      </c>
      <c r="C47" s="218">
        <f>SUMIF(DB!$B:$B,"="&amp;A47,DB!$D:$D)</f>
        <v>2</v>
      </c>
      <c r="D47" s="354">
        <f>SUMIF(DB!$B:$B,"="&amp;A47,DB!$E:$E)</f>
        <v>2</v>
      </c>
      <c r="E47" s="1"/>
      <c r="F47" s="315" t="str">
        <f>'集計表(1～3月) '!E47</f>
        <v>工藤　翔平</v>
      </c>
      <c r="G47" s="403" t="str">
        <f>'集計表(1～3月) '!F47</f>
        <v>●</v>
      </c>
      <c r="H47" s="198">
        <f>SUMIF(DB!$B:$B,"="&amp;F47,DB!$D:$D)</f>
        <v>2</v>
      </c>
      <c r="I47" s="142">
        <f>SUMIF(DB!$B:$B,"="&amp;F47,DB!$E:$E)</f>
        <v>2</v>
      </c>
      <c r="K47" s="648" t="str">
        <f>'集計表(1～3月) '!I47</f>
        <v>中村　充穂</v>
      </c>
      <c r="L47" s="643"/>
      <c r="M47" s="640">
        <f>SUMIF(DB!$B:$B,"="&amp;K47,DB!$D:$D)</f>
        <v>0</v>
      </c>
      <c r="N47" s="142">
        <f>SUMIF(DB!$B:$B,"="&amp;K47,DB!$E:$E)</f>
        <v>0</v>
      </c>
      <c r="P47" s="725"/>
      <c r="Q47" s="725"/>
      <c r="R47" s="725"/>
    </row>
    <row r="48" spans="1:23" ht="15" customHeight="1">
      <c r="A48" s="371" t="str">
        <f>'集計表(1～3月) '!A48</f>
        <v>赤坂　友輔</v>
      </c>
      <c r="B48" s="373">
        <f>'集計表(1～3月) '!B48</f>
        <v>0</v>
      </c>
      <c r="C48" s="218">
        <f>SUMIF(DB!$B:$B,"="&amp;A48,DB!$D:$D)</f>
        <v>0</v>
      </c>
      <c r="D48" s="354">
        <f>SUMIF(DB!$B:$B,"="&amp;A48,DB!$E:$E)</f>
        <v>0</v>
      </c>
      <c r="E48" s="1"/>
      <c r="F48" s="389" t="str">
        <f>'集計表(1～3月) '!E48</f>
        <v>石井　智帆</v>
      </c>
      <c r="G48" s="403">
        <f>'集計表(1～3月) '!F48</f>
        <v>0</v>
      </c>
      <c r="H48" s="198">
        <f>SUMIF(DB!$B:$B,"="&amp;F48,DB!$D:$D)</f>
        <v>0</v>
      </c>
      <c r="I48" s="142">
        <f>SUMIF(DB!$B:$B,"="&amp;F48,DB!$E:$E)</f>
        <v>0</v>
      </c>
      <c r="K48" s="3" t="str">
        <f>'集計表(1～3月) '!I48</f>
        <v>八田　香菜子</v>
      </c>
      <c r="L48" s="139"/>
      <c r="M48" s="200">
        <f>SUMIF(DB!$B:$B,"="&amp;K48,DB!$D:$D)</f>
        <v>5</v>
      </c>
      <c r="N48" s="142">
        <f>SUMIF(DB!$B:$B,"="&amp;K48,DB!$E:$E)</f>
        <v>5</v>
      </c>
      <c r="P48" s="722" t="s">
        <v>200</v>
      </c>
      <c r="Q48" s="722"/>
      <c r="R48" s="722"/>
    </row>
    <row r="49" spans="1:28" ht="15" customHeight="1" thickBot="1">
      <c r="A49" s="371" t="str">
        <f>'集計表(1～3月) '!A49</f>
        <v>大久保　理恵</v>
      </c>
      <c r="B49" s="373">
        <f>'集計表(1～3月) '!B49</f>
        <v>0</v>
      </c>
      <c r="C49" s="218">
        <f>SUMIF(DB!$B:$B,"="&amp;A49,DB!$D:$D)</f>
        <v>0</v>
      </c>
      <c r="D49" s="354">
        <f>SUMIF(DB!$B:$B,"="&amp;A49,DB!$E:$E)</f>
        <v>0</v>
      </c>
      <c r="E49" s="1"/>
      <c r="F49" s="372" t="str">
        <f>'集計表(1～3月) '!E49</f>
        <v>貝守　竜哉</v>
      </c>
      <c r="G49" s="403">
        <f>'集計表(1～3月) '!F49</f>
        <v>0</v>
      </c>
      <c r="H49" s="198">
        <f>SUMIF(DB!$B:$B,"="&amp;F49,DB!$D:$D)</f>
        <v>0</v>
      </c>
      <c r="I49" s="142">
        <f>SUMIF(DB!$B:$B,"="&amp;F49,DB!$E:$E)</f>
        <v>0</v>
      </c>
      <c r="K49" s="648" t="str">
        <f>'集計表(1～3月) '!I49</f>
        <v>八田　雄太</v>
      </c>
      <c r="L49" s="643"/>
      <c r="M49" s="640">
        <f>SUMIF(DB!$B:$B,"="&amp;K49,DB!$D:$D)</f>
        <v>0</v>
      </c>
      <c r="N49" s="142">
        <f>SUMIF(DB!$B:$B,"="&amp;K49,DB!$E:$E)</f>
        <v>0</v>
      </c>
      <c r="O49" s="227"/>
      <c r="P49" s="726"/>
      <c r="Q49" s="726"/>
      <c r="R49" s="726"/>
    </row>
    <row r="50" spans="1:28" ht="15" customHeight="1">
      <c r="A50" s="371" t="str">
        <f>'集計表(1～3月) '!A50</f>
        <v>熊野　実佳</v>
      </c>
      <c r="B50" s="373">
        <f>'集計表(1～3月) '!B50</f>
        <v>0</v>
      </c>
      <c r="C50" s="218">
        <f>SUMIF(DB!$B:$B,"="&amp;A50,DB!$D:$D)</f>
        <v>0</v>
      </c>
      <c r="D50" s="354">
        <f>SUMIF(DB!$B:$B,"="&amp;A50,DB!$E:$E)</f>
        <v>0</v>
      </c>
      <c r="E50" s="1"/>
      <c r="F50" s="372" t="str">
        <f>'集計表(1～3月) '!E50</f>
        <v>坂ノ上　愛莉</v>
      </c>
      <c r="G50" s="403">
        <f>'集計表(1～3月) '!F50</f>
        <v>0</v>
      </c>
      <c r="H50" s="198">
        <f>SUMIF(DB!$B:$B,"="&amp;F50,DB!$D:$D)</f>
        <v>0</v>
      </c>
      <c r="I50" s="142">
        <f>SUMIF(DB!$B:$B,"="&amp;F50,DB!$E:$E)</f>
        <v>0</v>
      </c>
      <c r="K50" s="3" t="str">
        <f>'集計表(1～3月) '!I50</f>
        <v>八田　安啓</v>
      </c>
      <c r="M50" s="200">
        <f>SUMIF(DB!$B:$B,"="&amp;K50,DB!$D:$D)</f>
        <v>0</v>
      </c>
      <c r="N50" s="142">
        <f>SUMIF(DB!$B:$B,"="&amp;K50,DB!$E:$E)</f>
        <v>0</v>
      </c>
      <c r="O50" s="231"/>
      <c r="P50" s="727">
        <f>IF(SUM(DB!D:D) = SUM(C2,H2,M2,R2,R16,M16,H16,C16,C30,H30,M30,R30,M45,H45,C45,C66,H66,H73,H78,H79,M66,C82),SUM(DB!D:D),0)</f>
        <v>0</v>
      </c>
      <c r="Q50" s="728"/>
      <c r="R50" s="731" t="s">
        <v>120</v>
      </c>
    </row>
    <row r="51" spans="1:28" ht="15" customHeight="1" thickBot="1">
      <c r="A51" s="371" t="str">
        <f>'集計表(1～3月) '!A51</f>
        <v>倉島　清子</v>
      </c>
      <c r="B51" s="373">
        <f>'集計表(1～3月) '!B51</f>
        <v>0</v>
      </c>
      <c r="C51" s="218">
        <f>SUMIF(DB!$B:$B,"="&amp;A51,DB!$D:$D)</f>
        <v>0</v>
      </c>
      <c r="D51" s="354">
        <f>SUMIF(DB!$B:$B,"="&amp;A51,DB!$E:$E)</f>
        <v>0</v>
      </c>
      <c r="E51" s="1"/>
      <c r="F51" s="372" t="str">
        <f>'集計表(1～3月) '!E51</f>
        <v>関川　哲一</v>
      </c>
      <c r="G51" s="403">
        <f>'集計表(1～3月) '!F51</f>
        <v>0</v>
      </c>
      <c r="H51" s="198">
        <f>SUMIF(DB!$B:$B,"="&amp;F51,DB!$D:$D)</f>
        <v>0</v>
      </c>
      <c r="I51" s="142">
        <f>SUMIF(DB!$B:$B,"="&amp;F51,DB!$E:$E)</f>
        <v>0</v>
      </c>
      <c r="K51" s="648" t="str">
        <f>'集計表(1～3月) '!I51</f>
        <v>桜庭　雅寛</v>
      </c>
      <c r="L51" s="643"/>
      <c r="M51" s="640">
        <f>SUMIF(DB!$B:$B,"="&amp;K51,DB!$D:$D)</f>
        <v>1</v>
      </c>
      <c r="N51" s="142">
        <f>SUMIF(DB!$B:$B,"="&amp;K51,DB!$E:$E)</f>
        <v>1</v>
      </c>
      <c r="O51" s="231"/>
      <c r="P51" s="729"/>
      <c r="Q51" s="730"/>
      <c r="R51" s="732"/>
    </row>
    <row r="52" spans="1:28" ht="15" customHeight="1">
      <c r="A52" s="371" t="str">
        <f>'集計表(1～3月) '!A52</f>
        <v>清水　ミチ子</v>
      </c>
      <c r="B52" s="373">
        <f>'集計表(1～3月) '!B52</f>
        <v>0</v>
      </c>
      <c r="C52" s="218">
        <f>SUMIF(DB!$B:$B,"="&amp;A52,DB!$D:$D)</f>
        <v>1</v>
      </c>
      <c r="D52" s="354">
        <f>SUMIF(DB!$B:$B,"="&amp;A52,DB!$E:$E)</f>
        <v>1</v>
      </c>
      <c r="E52" s="1"/>
      <c r="F52" s="372" t="str">
        <f>'集計表(1～3月) '!E52</f>
        <v>髙橋　桐子</v>
      </c>
      <c r="G52" s="403">
        <f>'集計表(1～3月) '!F52</f>
        <v>0</v>
      </c>
      <c r="H52" s="198">
        <f>SUMIF(DB!$B:$B,"="&amp;F52,DB!$D:$D)</f>
        <v>0</v>
      </c>
      <c r="I52" s="142">
        <f>SUMIF(DB!$B:$B,"="&amp;F52,DB!$E:$E)</f>
        <v>0</v>
      </c>
      <c r="K52" s="3" t="str">
        <f>'集計表(1～3月) '!I52</f>
        <v>鷹幸　弘尚</v>
      </c>
      <c r="M52" s="200">
        <f>SUMIF(DB!$B:$B,"="&amp;K52,DB!$D:$D)</f>
        <v>0</v>
      </c>
      <c r="N52" s="142">
        <f>SUMIF(DB!$B:$B,"="&amp;K52,DB!$E:$E)</f>
        <v>0</v>
      </c>
      <c r="O52" s="231"/>
      <c r="P52" s="733">
        <f>IF(SUM(DB!E:E) = SUM(D2,I2,N2,S2,S16,N16,I16,D16,D30,I30,N30,S30,N45,I45,D45,D66,I66,I73,I78,I79,N66,D82),SUM(DB!E:E),0)</f>
        <v>0</v>
      </c>
      <c r="Q52" s="734"/>
      <c r="R52" s="719" t="s">
        <v>194</v>
      </c>
      <c r="S52" s="114"/>
    </row>
    <row r="53" spans="1:28" ht="15" customHeight="1" thickBot="1">
      <c r="A53" s="371" t="str">
        <f>'集計表(1～3月) '!A53</f>
        <v>西村　裕美</v>
      </c>
      <c r="B53" s="403">
        <f>'集計表(1～3月) '!B53</f>
        <v>0</v>
      </c>
      <c r="C53" s="218">
        <f>SUMIF(DB!$B:$B,"="&amp;A53,DB!$D:$D)</f>
        <v>0</v>
      </c>
      <c r="D53" s="354">
        <f>SUMIF(DB!$B:$B,"="&amp;A53,DB!$E:$E)</f>
        <v>0</v>
      </c>
      <c r="E53" s="1"/>
      <c r="F53" s="372" t="str">
        <f>'集計表(1～3月) '!E53</f>
        <v>松橋　明日香</v>
      </c>
      <c r="G53" s="403">
        <f>'集計表(1～3月) '!F53</f>
        <v>0</v>
      </c>
      <c r="H53" s="198">
        <f>SUMIF(DB!$B:$B,"="&amp;F53,DB!$D:$D)</f>
        <v>0</v>
      </c>
      <c r="I53" s="142">
        <f>SUMIF(DB!$B:$B,"="&amp;F53,DB!$E:$E)</f>
        <v>0</v>
      </c>
      <c r="K53" s="648" t="str">
        <f>'集計表(1～3月) '!I53</f>
        <v>細越　利章</v>
      </c>
      <c r="L53" s="643"/>
      <c r="M53" s="640">
        <f>SUMIF(DB!$B:$B,"="&amp;K53,DB!$D:$D)</f>
        <v>0</v>
      </c>
      <c r="N53" s="142">
        <f>SUMIF(DB!$B:$B,"="&amp;K53,DB!$E:$E)</f>
        <v>0</v>
      </c>
      <c r="O53" s="231"/>
      <c r="P53" s="735"/>
      <c r="Q53" s="736"/>
      <c r="R53" s="720"/>
      <c r="S53" s="114"/>
    </row>
    <row r="54" spans="1:28" ht="15" customHeight="1">
      <c r="A54" s="371" t="str">
        <f>'集計表(1～3月) '!A54</f>
        <v>沼田　久子</v>
      </c>
      <c r="B54" s="403">
        <f>'集計表(1～3月) '!B54</f>
        <v>0</v>
      </c>
      <c r="C54" s="218">
        <f>SUMIF(DB!$B:$B,"="&amp;A54,DB!$D:$D)</f>
        <v>0</v>
      </c>
      <c r="D54" s="354">
        <f>SUMIF(DB!$B:$B,"="&amp;A54,DB!$E:$E)</f>
        <v>0</v>
      </c>
      <c r="E54" s="1"/>
      <c r="F54" s="644" t="str">
        <f>'集計表(1～3月) '!E54</f>
        <v>安ヶ平　真由美</v>
      </c>
      <c r="G54" s="413">
        <f>'集計表(1～3月) '!F54</f>
        <v>0</v>
      </c>
      <c r="H54" s="645">
        <f>SUMIF(DB!$B:$B,"="&amp;F54,DB!$D:$D)</f>
        <v>0</v>
      </c>
      <c r="I54" s="646">
        <f>SUMIF(DB!$B:$B,"="&amp;F54,DB!$E:$E)</f>
        <v>0</v>
      </c>
      <c r="K54" s="574" t="str">
        <f>'集計表(1～3月) '!I54</f>
        <v>中村　英満</v>
      </c>
      <c r="L54" s="1"/>
      <c r="M54" s="200">
        <f>SUMIF(DB!$B:$B,"="&amp;K54,DB!$D:$D)</f>
        <v>0</v>
      </c>
      <c r="N54" s="646">
        <f>SUMIF(DB!$B:$B,"="&amp;K54,DB!$E:$E)</f>
        <v>0</v>
      </c>
    </row>
    <row r="55" spans="1:28" ht="15" customHeight="1" thickBot="1">
      <c r="A55" s="371" t="str">
        <f>'集計表(1～3月) '!A55</f>
        <v>母良田　幸子</v>
      </c>
      <c r="B55" s="408">
        <f>'集計表(1～3月) '!B55</f>
        <v>0</v>
      </c>
      <c r="C55" s="198">
        <f>SUMIF(DB!$B:$B,"="&amp;A55,DB!$D:$D)</f>
        <v>0</v>
      </c>
      <c r="D55" s="142">
        <f>SUMIF(DB!$B:$B,"="&amp;A55,DB!$E:$E)</f>
        <v>0</v>
      </c>
      <c r="F55" s="380" t="str">
        <f>'集計表(1～3月) '!E55</f>
        <v>山下　三鶴</v>
      </c>
      <c r="G55" s="405">
        <f>'集計表(1～3月) '!F55</f>
        <v>0</v>
      </c>
      <c r="H55" s="199">
        <f>SUMIF(DB!$B:$B,"="&amp;F55,DB!$D:$D)</f>
        <v>0</v>
      </c>
      <c r="I55" s="351">
        <f>SUMIF(DB!$B:$B,"="&amp;F55,DB!$E:$E)</f>
        <v>0</v>
      </c>
      <c r="K55" s="380" t="str">
        <f>'集計表(1～3月) '!I55</f>
        <v>佐野　俊彦</v>
      </c>
      <c r="L55" s="624"/>
      <c r="M55" s="199">
        <f>SUMIF(DB!$B:$B,"="&amp;K55,DB!$D:$D)</f>
        <v>1</v>
      </c>
      <c r="N55" s="351">
        <f>SUMIF(DB!$B:$B,"="&amp;K55,DB!$E:$E)</f>
        <v>1</v>
      </c>
      <c r="W55" s="390"/>
      <c r="X55" s="138"/>
      <c r="Y55" s="138"/>
      <c r="Z55" s="138"/>
      <c r="AA55" s="138"/>
      <c r="AB55" s="357"/>
    </row>
    <row r="56" spans="1:28" ht="14.25" thickBot="1">
      <c r="A56" s="381" t="str">
        <f>'集計表(1～3月) '!A56</f>
        <v>松原　英利</v>
      </c>
      <c r="B56" s="405">
        <f>'集計表(1～3月) '!B56</f>
        <v>0</v>
      </c>
      <c r="C56" s="219">
        <f>SUMIF(DB!$B:$B,"="&amp;A56,DB!$D:$D)</f>
        <v>0</v>
      </c>
      <c r="D56" s="355">
        <f>SUMIF(DB!$B:$B,"="&amp;A56,DB!$E:$E)</f>
        <v>0</v>
      </c>
      <c r="E56" s="1"/>
      <c r="F56" s="2">
        <f>'集計表(1～3月) '!E56</f>
        <v>0</v>
      </c>
      <c r="G56" s="139">
        <f>'集計表(1～3月) '!F56</f>
        <v>0</v>
      </c>
      <c r="W56" s="272"/>
      <c r="X56" s="284" t="s">
        <v>128</v>
      </c>
      <c r="Y56" s="276" t="s">
        <v>127</v>
      </c>
      <c r="Z56" s="438" t="s">
        <v>134</v>
      </c>
      <c r="AA56" s="437" t="s">
        <v>481</v>
      </c>
      <c r="AB56" s="316" t="s">
        <v>156</v>
      </c>
    </row>
    <row r="57" spans="1:28" ht="14.25" customHeight="1">
      <c r="F57" s="1"/>
      <c r="G57" s="357"/>
      <c r="J57" s="357"/>
      <c r="W57" s="361" t="s">
        <v>258</v>
      </c>
      <c r="X57" s="283">
        <f>COUNTA(F67:F70)</f>
        <v>4</v>
      </c>
      <c r="Y57" s="140">
        <f>COUNTIF(H67:H70,"&gt;=1")</f>
        <v>1</v>
      </c>
      <c r="Z57" s="140">
        <f>H66</f>
        <v>2</v>
      </c>
      <c r="AA57" s="140">
        <f>I66</f>
        <v>4</v>
      </c>
      <c r="AB57" s="359">
        <v>30</v>
      </c>
    </row>
    <row r="58" spans="1:28" ht="14.25" customHeight="1">
      <c r="F58" s="357"/>
      <c r="G58" s="357"/>
      <c r="H58" s="357"/>
      <c r="I58" s="357"/>
      <c r="J58" s="357"/>
      <c r="W58" s="362" t="s">
        <v>259</v>
      </c>
      <c r="X58" s="286">
        <f>COUNTA(K67:K85)</f>
        <v>19</v>
      </c>
      <c r="Y58" s="140">
        <f>COUNTIF(M67:M85,"&gt;=1")</f>
        <v>4</v>
      </c>
      <c r="Z58" s="140">
        <f>M66</f>
        <v>6</v>
      </c>
      <c r="AA58" s="140">
        <f>N66</f>
        <v>11</v>
      </c>
      <c r="AB58" s="359">
        <v>100</v>
      </c>
    </row>
    <row r="59" spans="1:28" ht="14.25" customHeight="1">
      <c r="A59" s="721" t="s">
        <v>323</v>
      </c>
      <c r="B59" s="721"/>
      <c r="C59" s="721"/>
      <c r="D59" s="357"/>
      <c r="E59" s="357"/>
      <c r="F59" s="138"/>
      <c r="G59" s="138"/>
      <c r="H59" s="138"/>
      <c r="I59" s="138"/>
      <c r="J59" s="138"/>
      <c r="W59" s="361" t="s">
        <v>260</v>
      </c>
      <c r="X59" s="283">
        <f>COUNTA(A67:A74)</f>
        <v>8</v>
      </c>
      <c r="Y59" s="140">
        <f>COUNTIF(C67:C74,"&gt;=1")</f>
        <v>1</v>
      </c>
      <c r="Z59" s="140">
        <f>C66</f>
        <v>3</v>
      </c>
      <c r="AA59" s="140">
        <f>D66</f>
        <v>5</v>
      </c>
      <c r="AB59" s="359">
        <v>40</v>
      </c>
    </row>
    <row r="60" spans="1:28" ht="14.25" customHeight="1" thickBot="1">
      <c r="A60" s="721" t="s">
        <v>324</v>
      </c>
      <c r="B60" s="721"/>
      <c r="C60" s="721"/>
      <c r="D60" s="357"/>
      <c r="E60" s="357"/>
      <c r="F60" s="357"/>
      <c r="G60" s="357"/>
      <c r="H60" s="357"/>
      <c r="I60" s="357"/>
      <c r="J60" s="357"/>
      <c r="W60" s="363" t="s">
        <v>317</v>
      </c>
      <c r="X60" s="314"/>
      <c r="Y60" s="435"/>
      <c r="Z60" s="298">
        <f>H73+H78+H79</f>
        <v>3</v>
      </c>
      <c r="AA60" s="298">
        <f>I73+I78+I79</f>
        <v>4</v>
      </c>
      <c r="AB60" s="360"/>
    </row>
    <row r="61" spans="1:28">
      <c r="A61" s="1"/>
      <c r="B61" s="1"/>
      <c r="F61" s="103"/>
      <c r="G61" s="103"/>
      <c r="H61" s="103"/>
      <c r="I61" s="103"/>
      <c r="J61" s="103"/>
      <c r="W61" s="390"/>
      <c r="X61" s="138"/>
      <c r="Y61" s="138"/>
      <c r="Z61" s="138"/>
      <c r="AA61" s="138"/>
      <c r="AB61" s="357"/>
    </row>
    <row r="62" spans="1:28">
      <c r="C62" s="227"/>
      <c r="D62" s="227"/>
      <c r="E62" s="227"/>
      <c r="F62" s="103"/>
      <c r="G62" s="103"/>
      <c r="H62" s="103"/>
      <c r="I62" s="103"/>
      <c r="J62" s="103"/>
    </row>
    <row r="63" spans="1:28">
      <c r="F63" s="103"/>
      <c r="G63" s="103"/>
      <c r="H63" s="103"/>
      <c r="I63" s="103"/>
      <c r="J63" s="103"/>
    </row>
    <row r="64" spans="1:28">
      <c r="F64" s="103"/>
      <c r="G64" s="103"/>
      <c r="H64" s="103"/>
      <c r="I64" s="103"/>
      <c r="J64" s="103"/>
    </row>
    <row r="65" spans="1:15" ht="14.25" thickBot="1">
      <c r="C65" s="138" t="s">
        <v>253</v>
      </c>
      <c r="D65" s="357" t="s">
        <v>73</v>
      </c>
      <c r="E65" s="357"/>
      <c r="F65" s="103"/>
      <c r="G65" s="103"/>
      <c r="H65" s="138" t="s">
        <v>253</v>
      </c>
      <c r="I65" s="357" t="s">
        <v>73</v>
      </c>
      <c r="J65" s="357"/>
      <c r="K65" s="138"/>
      <c r="L65" s="138"/>
      <c r="M65" s="138" t="s">
        <v>253</v>
      </c>
      <c r="N65" s="357" t="s">
        <v>73</v>
      </c>
      <c r="O65" s="138"/>
    </row>
    <row r="66" spans="1:15" ht="14.25" thickBot="1">
      <c r="A66" s="137" t="s">
        <v>49</v>
      </c>
      <c r="B66" s="409"/>
      <c r="C66" s="220">
        <f>SUM(C67:C77)</f>
        <v>3</v>
      </c>
      <c r="D66" s="141">
        <f>SUM(D67:D77)</f>
        <v>5</v>
      </c>
      <c r="F66" s="715" t="s">
        <v>54</v>
      </c>
      <c r="G66" s="716"/>
      <c r="H66" s="220">
        <f>SUM(H67:H71)</f>
        <v>2</v>
      </c>
      <c r="I66" s="141">
        <f>SUM(I67:I71)</f>
        <v>4</v>
      </c>
      <c r="K66" s="715" t="s">
        <v>69</v>
      </c>
      <c r="L66" s="716"/>
      <c r="M66" s="220">
        <f>SUM(M67:M91)</f>
        <v>6</v>
      </c>
      <c r="N66" s="476">
        <f>SUM(N67:N91)</f>
        <v>11</v>
      </c>
    </row>
    <row r="67" spans="1:15" ht="14.25" thickTop="1">
      <c r="A67" s="391" t="str">
        <f>'集計表(1～3月) '!A67</f>
        <v>石橋　優子</v>
      </c>
      <c r="B67" s="410"/>
      <c r="C67" s="109">
        <f>SUMIF(DB!$B:$B,"="&amp;A67,DB!$D:$D)</f>
        <v>0</v>
      </c>
      <c r="D67" s="356">
        <f>SUMIF(DB!$B:$B,"="&amp;A67,DB!$E:$E)</f>
        <v>0</v>
      </c>
      <c r="F67" s="372" t="str">
        <f>'集計表(1～3月) '!E67</f>
        <v>林　覚弘</v>
      </c>
      <c r="G67" s="392"/>
      <c r="H67" s="109">
        <f>SUMIF(DB!$B:$B,"="&amp;F67,DB!$D:$D)</f>
        <v>0</v>
      </c>
      <c r="I67" s="356">
        <f>SUMIF(DB!$B:$B,"="&amp;F67,DB!$E:$E)</f>
        <v>0</v>
      </c>
      <c r="K67" s="391" t="str">
        <f>'集計表(1～3月) '!I67</f>
        <v>赤坂　和子</v>
      </c>
      <c r="L67" s="393"/>
      <c r="M67" s="109">
        <f>SUMIF(DB!$B:$B,"="&amp;K67,DB!$D:$D)</f>
        <v>0</v>
      </c>
      <c r="N67" s="356">
        <f>SUMIF(DB!$B:$B,"="&amp;K67,DB!$E:$E)</f>
        <v>0</v>
      </c>
    </row>
    <row r="68" spans="1:15">
      <c r="A68" s="374" t="str">
        <f>'集計表(1～3月) '!A68</f>
        <v>上田　敏子</v>
      </c>
      <c r="B68" s="394"/>
      <c r="C68" s="223">
        <f>SUMIF(DB!$B:$B,"="&amp;A68,DB!$D:$D)</f>
        <v>3</v>
      </c>
      <c r="D68" s="142">
        <f>SUMIF(DB!$B:$B,"="&amp;A68,DB!$E:$E)</f>
        <v>5</v>
      </c>
      <c r="F68" s="372" t="str">
        <f>'集計表(1～3月) '!E68</f>
        <v>松橋　誠</v>
      </c>
      <c r="G68" s="392"/>
      <c r="H68" s="198">
        <f>SUMIF(DB!$B:$B,"="&amp;F68,DB!$D:$D)</f>
        <v>2</v>
      </c>
      <c r="I68" s="142">
        <f>SUMIF(DB!$B:$B,"="&amp;F68,DB!$E:$E)</f>
        <v>4</v>
      </c>
      <c r="K68" s="374" t="str">
        <f>'集計表(1～3月) '!I68</f>
        <v>赤坂　純子</v>
      </c>
      <c r="L68" s="394"/>
      <c r="M68" s="198">
        <f>SUMIF(DB!$B:$B,"="&amp;K68,DB!$D:$D)</f>
        <v>0</v>
      </c>
      <c r="N68" s="142">
        <f>SUMIF(DB!$B:$B,"="&amp;K68,DB!$E:$E)</f>
        <v>0</v>
      </c>
    </row>
    <row r="69" spans="1:15">
      <c r="A69" s="374" t="str">
        <f>'集計表(1～3月) '!A69</f>
        <v>齋藤　小百合</v>
      </c>
      <c r="B69" s="394"/>
      <c r="C69" s="223">
        <f>SUMIF(DB!$B:$B,"="&amp;A69,DB!$D:$D)</f>
        <v>0</v>
      </c>
      <c r="D69" s="142">
        <f>SUMIF(DB!$B:$B,"="&amp;A69,DB!$E:$E)</f>
        <v>0</v>
      </c>
      <c r="F69" s="372" t="str">
        <f>'集計表(1～3月) '!E69</f>
        <v>三田　亮</v>
      </c>
      <c r="G69" s="392"/>
      <c r="H69" s="198">
        <f>SUMIF(DB!$B:$B,"="&amp;F69,DB!$D:$D)</f>
        <v>0</v>
      </c>
      <c r="I69" s="142">
        <f>SUMIF(DB!$B:$B,"="&amp;F69,DB!$E:$E)</f>
        <v>0</v>
      </c>
      <c r="K69" s="395" t="str">
        <f>'集計表(1～3月) '!I69</f>
        <v>榎本　明美</v>
      </c>
      <c r="L69" s="396"/>
      <c r="M69" s="198">
        <f>SUMIF(DB!$B:$B,"="&amp;K69,DB!$D:$D)</f>
        <v>1</v>
      </c>
      <c r="N69" s="142">
        <f>SUMIF(DB!$B:$B,"="&amp;K69,DB!$E:$E)</f>
        <v>2</v>
      </c>
    </row>
    <row r="70" spans="1:15">
      <c r="A70" s="374" t="str">
        <f>'集計表(1～3月) '!A70</f>
        <v>鹿内　美海</v>
      </c>
      <c r="B70" s="394"/>
      <c r="C70" s="223">
        <f>SUMIF(DB!$B:$B,"="&amp;A70,DB!$D:$D)</f>
        <v>0</v>
      </c>
      <c r="D70" s="142">
        <f>SUMIF(DB!$B:$B,"="&amp;A70,DB!$E:$E)</f>
        <v>0</v>
      </c>
      <c r="F70" s="372" t="str">
        <f>'集計表(1～3月) '!E70</f>
        <v>橋本　収史</v>
      </c>
      <c r="G70" s="392"/>
      <c r="H70" s="198">
        <f>SUMIF(DB!$B:$B,"="&amp;F70,DB!$D:$D)</f>
        <v>0</v>
      </c>
      <c r="I70" s="142">
        <f>SUMIF(DB!$B:$B,"="&amp;F70,DB!$E:$E)</f>
        <v>0</v>
      </c>
      <c r="K70" s="374" t="str">
        <f>'集計表(1～3月) '!I70</f>
        <v>大前　順子</v>
      </c>
      <c r="L70" s="394"/>
      <c r="M70" s="198">
        <f>SUMIF(DB!$B:$B,"="&amp;K70,DB!$D:$D)</f>
        <v>0</v>
      </c>
      <c r="N70" s="142">
        <f>SUMIF(DB!$B:$B,"="&amp;K70,DB!$E:$E)</f>
        <v>0</v>
      </c>
    </row>
    <row r="71" spans="1:15" ht="14.25" thickBot="1">
      <c r="A71" s="374" t="str">
        <f>'集計表(1～3月) '!A71</f>
        <v>田中　良子</v>
      </c>
      <c r="B71" s="394"/>
      <c r="C71" s="223">
        <f>SUMIF(DB!$B:$B,"="&amp;A71,DB!$D:$D)</f>
        <v>0</v>
      </c>
      <c r="D71" s="142">
        <f>SUMIF(DB!$B:$B,"="&amp;A71,DB!$E:$E)</f>
        <v>0</v>
      </c>
      <c r="F71" s="380">
        <f>'集計表(1～3月) '!E71</f>
        <v>0</v>
      </c>
      <c r="G71" s="397"/>
      <c r="H71" s="199"/>
      <c r="I71" s="351"/>
      <c r="K71" s="374" t="str">
        <f>'集計表(1～3月) '!I71</f>
        <v>小笠原　桂子</v>
      </c>
      <c r="L71" s="394"/>
      <c r="M71" s="198">
        <f>SUMIF(DB!$B:$B,"="&amp;K71,DB!$D:$D)</f>
        <v>0</v>
      </c>
      <c r="N71" s="142">
        <f>SUMIF(DB!$B:$B,"="&amp;K71,DB!$E:$E)</f>
        <v>0</v>
      </c>
    </row>
    <row r="72" spans="1:15" ht="14.25" thickBot="1">
      <c r="A72" s="374" t="str">
        <f>'集計表(1～3月) '!A72</f>
        <v>中村　章子</v>
      </c>
      <c r="B72" s="394"/>
      <c r="C72" s="223">
        <f>SUMIF(DB!$B:$B,"="&amp;A72,DB!$D:$D)</f>
        <v>0</v>
      </c>
      <c r="D72" s="142">
        <f>SUMIF(DB!$B:$B,"="&amp;A72,DB!$E:$E)</f>
        <v>0</v>
      </c>
      <c r="I72" s="657" t="s">
        <v>73</v>
      </c>
      <c r="K72" s="374" t="str">
        <f>'集計表(1～3月) '!I72</f>
        <v>小笠原　幹子</v>
      </c>
      <c r="L72" s="394"/>
      <c r="M72" s="198">
        <f>SUMIF(DB!$B:$B,"="&amp;K72,DB!$D:$D)</f>
        <v>2</v>
      </c>
      <c r="N72" s="142">
        <f>SUMIF(DB!$B:$B,"="&amp;K72,DB!$E:$E)</f>
        <v>3</v>
      </c>
    </row>
    <row r="73" spans="1:15" ht="14.25" thickBot="1">
      <c r="A73" s="398" t="str">
        <f>'集計表(1～3月) '!A73</f>
        <v>林　京子</v>
      </c>
      <c r="B73" s="411"/>
      <c r="C73" s="223">
        <f>SUMIF(DB!$B:$B,"="&amp;A73,DB!$D:$D)</f>
        <v>0</v>
      </c>
      <c r="D73" s="142">
        <f>SUMIF(DB!$B:$B,"="&amp;A73,DB!$E:$E)</f>
        <v>0</v>
      </c>
      <c r="F73" s="715" t="s">
        <v>58</v>
      </c>
      <c r="G73" s="716"/>
      <c r="H73" s="220">
        <f>SUM(H74:H76)</f>
        <v>1</v>
      </c>
      <c r="I73" s="469">
        <f>SUM(I74:I76)</f>
        <v>2</v>
      </c>
      <c r="K73" s="374" t="str">
        <f>'集計表(1～3月) '!I73</f>
        <v>貝守　美奈子</v>
      </c>
      <c r="L73" s="394"/>
      <c r="M73" s="198">
        <f>SUMIF(DB!$B:$B,"="&amp;K73,DB!$D:$D)</f>
        <v>0</v>
      </c>
      <c r="N73" s="142">
        <f>SUMIF(DB!$B:$B,"="&amp;K73,DB!$E:$E)</f>
        <v>0</v>
      </c>
    </row>
    <row r="74" spans="1:15" ht="14.25" thickTop="1">
      <c r="A74" s="398" t="str">
        <f>'集計表(1～3月) '!A74</f>
        <v>三上　紗津</v>
      </c>
      <c r="B74" s="411"/>
      <c r="C74" s="223">
        <f>SUMIF(DB!$B:$B,"="&amp;A74,DB!$D:$D)</f>
        <v>0</v>
      </c>
      <c r="D74" s="142">
        <f>SUMIF(DB!$B:$B,"="&amp;A74,DB!$E:$E)</f>
        <v>0</v>
      </c>
      <c r="F74" s="798" t="str">
        <f>'集計表(1～3月) '!E74</f>
        <v>サポーター・他</v>
      </c>
      <c r="G74" s="799"/>
      <c r="H74" s="640">
        <f>SUMIF(DB!$A:$A,"=サポーター",DB!$D:$D)</f>
        <v>1</v>
      </c>
      <c r="I74" s="142">
        <f>SUMIF(DB!$A:$A,"=サポーター",DB!$E:$E)</f>
        <v>2</v>
      </c>
      <c r="K74" s="374" t="str">
        <f>'集計表(1～3月) '!I74</f>
        <v>川守田　潤子</v>
      </c>
      <c r="L74" s="394"/>
      <c r="M74" s="198">
        <f>SUMIF(DB!$B:$B,"="&amp;K74,DB!$D:$D)</f>
        <v>1</v>
      </c>
      <c r="N74" s="142">
        <f>SUMIF(DB!$B:$B,"="&amp;K74,DB!$E:$E)</f>
        <v>2</v>
      </c>
    </row>
    <row r="75" spans="1:15">
      <c r="A75" s="398">
        <f>'集計表(1～3月) '!A75</f>
        <v>0</v>
      </c>
      <c r="B75" s="411"/>
      <c r="C75" s="223"/>
      <c r="D75" s="142"/>
      <c r="F75" s="800" t="str">
        <f>'集計表(1～3月) '!E75</f>
        <v>取引先業者</v>
      </c>
      <c r="G75" s="801"/>
      <c r="H75" s="640">
        <f>SUMIF(DB!$A:$A,"=取引先業者",DB!$D:$D)</f>
        <v>0</v>
      </c>
      <c r="I75" s="142">
        <f>SUMIF(DB!$A:$A,"=取引先業者",DB!$E:$E)</f>
        <v>0</v>
      </c>
      <c r="K75" s="374" t="str">
        <f>'集計表(1～3月) '!I75</f>
        <v>木村　かつ</v>
      </c>
      <c r="L75" s="394"/>
      <c r="M75" s="198">
        <f>SUMIF(DB!$B:$B,"="&amp;K75,DB!$D:$D)</f>
        <v>0</v>
      </c>
      <c r="N75" s="142">
        <f>SUMIF(DB!$B:$B,"="&amp;K75,DB!$E:$E)</f>
        <v>0</v>
      </c>
    </row>
    <row r="76" spans="1:15" ht="14.25" thickBot="1">
      <c r="A76" s="398">
        <f>'集計表(1～3月) '!A76</f>
        <v>0</v>
      </c>
      <c r="B76" s="411"/>
      <c r="C76" s="223"/>
      <c r="D76" s="142"/>
      <c r="F76" s="802"/>
      <c r="G76" s="803"/>
      <c r="H76" s="199"/>
      <c r="I76" s="351"/>
      <c r="K76" s="374" t="str">
        <f>'集計表(1～3月) '!I76</f>
        <v>木村　紀子</v>
      </c>
      <c r="L76" s="394"/>
      <c r="M76" s="198">
        <f>SUMIF(DB!$B:$B,"="&amp;K76,DB!$D:$D)</f>
        <v>0</v>
      </c>
      <c r="N76" s="142">
        <f>SUMIF(DB!$B:$B,"="&amp;K76,DB!$E:$E)</f>
        <v>0</v>
      </c>
    </row>
    <row r="77" spans="1:15" ht="14.25" thickBot="1">
      <c r="A77" s="399">
        <f>'集計表(1～3月) '!A77</f>
        <v>0</v>
      </c>
      <c r="B77" s="400"/>
      <c r="C77" s="349"/>
      <c r="D77" s="348"/>
      <c r="I77" s="357" t="s">
        <v>73</v>
      </c>
      <c r="K77" s="374" t="str">
        <f>'集計表(1～3月) '!I77</f>
        <v>斉藤　尚子</v>
      </c>
      <c r="L77" s="394"/>
      <c r="M77" s="198">
        <f>SUMIF(DB!$B:$B,"="&amp;K77,DB!$D:$D)</f>
        <v>2</v>
      </c>
      <c r="N77" s="142">
        <f>SUMIF(DB!$B:$B,"="&amp;K77,DB!$E:$E)</f>
        <v>4</v>
      </c>
    </row>
    <row r="78" spans="1:15">
      <c r="F78" s="804" t="str">
        <f>'集計表(1～3月) '!E78</f>
        <v>互助会本部</v>
      </c>
      <c r="G78" s="805"/>
      <c r="H78" s="352">
        <f>SUMIF(DB!$B:$B,"=本部",DB!$D:$D)</f>
        <v>2</v>
      </c>
      <c r="I78" s="353">
        <f>SUMIF(DB!$B:$B,"=本部",DB!$E:$E)</f>
        <v>2</v>
      </c>
      <c r="K78" s="374" t="str">
        <f>'集計表(1～3月) '!I78</f>
        <v>坂　美穂子</v>
      </c>
      <c r="L78" s="394"/>
      <c r="M78" s="198">
        <f>SUMIF(DB!$B:$B,"="&amp;K78,DB!$D:$D)</f>
        <v>0</v>
      </c>
      <c r="N78" s="142">
        <f>SUMIF(DB!$B:$B,"="&amp;K78,DB!$E:$E)</f>
        <v>0</v>
      </c>
    </row>
    <row r="79" spans="1:15" ht="14.25" thickBot="1">
      <c r="F79" s="802" t="str">
        <f>'集計表(1～3月) '!E79</f>
        <v>受籍</v>
      </c>
      <c r="G79" s="803"/>
      <c r="H79" s="199">
        <f>SUMIF(DB!$B:$B,"=受籍",DB!$D:$D)</f>
        <v>0</v>
      </c>
      <c r="I79" s="351">
        <f>SUMIF(DB!$B:$B,"=受籍",DB!$E:$E)</f>
        <v>0</v>
      </c>
      <c r="K79" s="374" t="str">
        <f>'集計表(1～3月) '!I79</f>
        <v>坂ノ上　由紀</v>
      </c>
      <c r="L79" s="394"/>
      <c r="M79" s="198">
        <f>SUMIF(DB!$B:$B,"="&amp;K79,DB!$D:$D)</f>
        <v>0</v>
      </c>
      <c r="N79" s="142">
        <f>SUMIF(DB!$B:$B,"="&amp;K79,DB!$E:$E)</f>
        <v>0</v>
      </c>
    </row>
    <row r="80" spans="1:15">
      <c r="F80" s="139"/>
      <c r="G80" s="139"/>
      <c r="K80" s="374" t="str">
        <f>'集計表(1～3月) '!I80</f>
        <v>白石　華奈子</v>
      </c>
      <c r="L80" s="394"/>
      <c r="M80" s="198">
        <f>SUMIF(DB!$B:$B,"="&amp;K80,DB!$D:$D)</f>
        <v>0</v>
      </c>
      <c r="N80" s="142">
        <f>SUMIF(DB!$B:$B,"="&amp;K80,DB!$E:$E)</f>
        <v>0</v>
      </c>
    </row>
    <row r="81" spans="1:14" ht="14.25" thickBot="1">
      <c r="K81" s="374" t="str">
        <f>'集計表(1～3月) '!I81</f>
        <v>清野　由貴子</v>
      </c>
      <c r="L81" s="394"/>
      <c r="M81" s="198">
        <f>SUMIF(DB!$B:$B,"="&amp;K81,DB!$D:$D)</f>
        <v>0</v>
      </c>
      <c r="N81" s="142">
        <f>SUMIF(DB!$B:$B,"="&amp;K81,DB!$E:$E)</f>
        <v>0</v>
      </c>
    </row>
    <row r="82" spans="1:14">
      <c r="C82" s="445">
        <f>SUM(C83:C89)</f>
        <v>0</v>
      </c>
      <c r="D82" s="445">
        <f>SUM(D83:D89)</f>
        <v>0</v>
      </c>
      <c r="K82" s="374" t="str">
        <f>'集計表(1～3月) '!I82</f>
        <v>玉川　妙子</v>
      </c>
      <c r="L82" s="394"/>
      <c r="M82" s="198">
        <f>SUMIF(DB!$B:$B,"="&amp;K82,DB!$D:$D)</f>
        <v>0</v>
      </c>
      <c r="N82" s="142">
        <f>SUMIF(DB!$B:$B,"="&amp;K82,DB!$E:$E)</f>
        <v>0</v>
      </c>
    </row>
    <row r="83" spans="1:14">
      <c r="A83" s="443" t="s">
        <v>519</v>
      </c>
      <c r="B83" s="508"/>
      <c r="C83" s="685">
        <f>SUMIF(DB!$B:$B,"="&amp;A83,DB!$D:$D)</f>
        <v>0</v>
      </c>
      <c r="D83" s="142">
        <f>SUMIF(DB!$B:$B,"="&amp;A83,DB!$E:$E)</f>
        <v>0</v>
      </c>
      <c r="K83" s="374" t="str">
        <f>'集計表(1～3月) '!I83</f>
        <v>林下　恵</v>
      </c>
      <c r="L83" s="394"/>
      <c r="M83" s="198">
        <f>SUMIF(DB!$B:$B,"="&amp;K83,DB!$D:$D)</f>
        <v>0</v>
      </c>
      <c r="N83" s="142">
        <f>SUMIF(DB!$B:$B,"="&amp;K83,DB!$E:$E)</f>
        <v>0</v>
      </c>
    </row>
    <row r="84" spans="1:14">
      <c r="A84" s="441" t="s">
        <v>520</v>
      </c>
      <c r="B84" s="198"/>
      <c r="C84" s="655">
        <f>SUMIF(DB!$B:$B,"="&amp;A84,DB!$D:$D)</f>
        <v>0</v>
      </c>
      <c r="D84" s="142">
        <f>SUMIF(DB!$B:$B,"="&amp;A84,DB!$E:$E)</f>
        <v>0</v>
      </c>
      <c r="K84" s="374" t="str">
        <f>'集計表(1～3月) '!I84</f>
        <v>山村　恭代</v>
      </c>
      <c r="L84" s="394"/>
      <c r="M84" s="198">
        <f>SUMIF(DB!$B:$B,"="&amp;K84,DB!$D:$D)</f>
        <v>0</v>
      </c>
      <c r="N84" s="142">
        <f>SUMIF(DB!$B:$B,"="&amp;K84,DB!$E:$E)</f>
        <v>0</v>
      </c>
    </row>
    <row r="85" spans="1:14">
      <c r="A85" s="507" t="s">
        <v>521</v>
      </c>
      <c r="B85" s="198"/>
      <c r="C85" s="655">
        <f>SUMIF(DB!$B:$B,"="&amp;A85,DB!$D:$D)</f>
        <v>0</v>
      </c>
      <c r="D85" s="142">
        <f>SUMIF(DB!$B:$B,"="&amp;A85,DB!$E:$E)</f>
        <v>0</v>
      </c>
      <c r="K85" s="374" t="str">
        <f>'集計表(1～3月) '!I85</f>
        <v>山本　えり子</v>
      </c>
      <c r="L85" s="394"/>
      <c r="M85" s="198">
        <f>SUMIF(DB!$B:$B,"="&amp;K85,DB!$D:$D)</f>
        <v>0</v>
      </c>
      <c r="N85" s="142">
        <f>SUMIF(DB!$B:$B,"="&amp;K85,DB!$E:$E)</f>
        <v>0</v>
      </c>
    </row>
    <row r="86" spans="1:14">
      <c r="A86" s="507"/>
      <c r="B86" s="198"/>
      <c r="C86" s="655"/>
      <c r="D86" s="142"/>
      <c r="K86" s="374">
        <f>'集計表(1～3月) '!I86</f>
        <v>0</v>
      </c>
      <c r="L86" s="394"/>
      <c r="M86" s="198"/>
      <c r="N86" s="142"/>
    </row>
    <row r="87" spans="1:14">
      <c r="A87" s="403"/>
      <c r="B87" s="198"/>
      <c r="C87" s="655"/>
      <c r="D87" s="142"/>
      <c r="K87" s="374">
        <f>'集計表(1～3月) '!I87</f>
        <v>0</v>
      </c>
      <c r="L87" s="394"/>
      <c r="M87" s="198"/>
      <c r="N87" s="142"/>
    </row>
    <row r="88" spans="1:14">
      <c r="A88" s="507"/>
      <c r="B88" s="198"/>
      <c r="C88" s="655"/>
      <c r="D88" s="142"/>
      <c r="K88" s="374">
        <f>'集計表(1～3月) '!I88</f>
        <v>0</v>
      </c>
      <c r="L88" s="394"/>
      <c r="M88" s="198"/>
      <c r="N88" s="142"/>
    </row>
    <row r="89" spans="1:14" ht="14.25" thickBot="1">
      <c r="A89" s="403"/>
      <c r="B89" s="198"/>
      <c r="C89" s="143"/>
      <c r="D89" s="351"/>
      <c r="K89" s="374">
        <f>'集計表(1～3月) '!I89</f>
        <v>0</v>
      </c>
      <c r="L89" s="394"/>
      <c r="M89" s="198"/>
      <c r="N89" s="142"/>
    </row>
    <row r="90" spans="1:14">
      <c r="K90" s="374">
        <f>'集計表(1～3月) '!I90</f>
        <v>0</v>
      </c>
      <c r="L90" s="394"/>
      <c r="M90" s="198"/>
      <c r="N90" s="142"/>
    </row>
    <row r="91" spans="1:14" ht="14.25" thickBot="1">
      <c r="K91" s="399">
        <f>'集計表(1～3月) '!I91</f>
        <v>0</v>
      </c>
      <c r="L91" s="400"/>
      <c r="M91" s="224"/>
      <c r="N91" s="143"/>
    </row>
    <row r="94" spans="1:14">
      <c r="A94" s="139"/>
    </row>
    <row r="95" spans="1:14">
      <c r="A95" s="139"/>
    </row>
    <row r="96" spans="1:14">
      <c r="A96" s="139"/>
    </row>
    <row r="97" spans="1:1">
      <c r="A97" s="139"/>
    </row>
    <row r="98" spans="1:1">
      <c r="A98" s="139"/>
    </row>
    <row r="99" spans="1:1">
      <c r="A99" s="139"/>
    </row>
    <row r="100" spans="1:1">
      <c r="A100" s="139"/>
    </row>
    <row r="101" spans="1:1">
      <c r="A101" s="139"/>
    </row>
    <row r="102" spans="1:1">
      <c r="A102" s="139"/>
    </row>
    <row r="103" spans="1:1">
      <c r="A103" s="139"/>
    </row>
    <row r="104" spans="1:1">
      <c r="A104" s="139"/>
    </row>
    <row r="105" spans="1:1">
      <c r="A105" s="139"/>
    </row>
    <row r="106" spans="1:1">
      <c r="A106" s="139"/>
    </row>
    <row r="107" spans="1:1">
      <c r="A107" s="139"/>
    </row>
    <row r="108" spans="1:1">
      <c r="A108" s="139"/>
    </row>
    <row r="109" spans="1:1">
      <c r="A109" s="139"/>
    </row>
    <row r="110" spans="1:1">
      <c r="A110" s="139"/>
    </row>
    <row r="111" spans="1:1">
      <c r="A111" s="139"/>
    </row>
    <row r="112" spans="1:1">
      <c r="A112" s="139"/>
    </row>
    <row r="113" spans="1:1">
      <c r="A113" s="139"/>
    </row>
    <row r="114" spans="1:1">
      <c r="A114" s="139"/>
    </row>
    <row r="115" spans="1:1">
      <c r="A115" s="139"/>
    </row>
    <row r="116" spans="1:1">
      <c r="A116" s="139"/>
    </row>
    <row r="117" spans="1:1">
      <c r="A117" s="139"/>
    </row>
    <row r="118" spans="1:1">
      <c r="A118" s="139"/>
    </row>
    <row r="119" spans="1:1">
      <c r="A119" s="139"/>
    </row>
    <row r="120" spans="1:1">
      <c r="A120" s="139"/>
    </row>
    <row r="121" spans="1:1">
      <c r="A121" s="139"/>
    </row>
    <row r="122" spans="1:1">
      <c r="A122" s="139"/>
    </row>
    <row r="123" spans="1:1">
      <c r="A123" s="139"/>
    </row>
    <row r="124" spans="1:1">
      <c r="A124" s="139"/>
    </row>
    <row r="125" spans="1:1">
      <c r="A125" s="139"/>
    </row>
    <row r="126" spans="1:1">
      <c r="A126" s="139"/>
    </row>
    <row r="127" spans="1:1">
      <c r="A127" s="139"/>
    </row>
    <row r="128" spans="1:1">
      <c r="A128" s="139"/>
    </row>
    <row r="129" spans="1:37">
      <c r="A129" s="139"/>
    </row>
    <row r="130" spans="1:37">
      <c r="A130" s="139"/>
      <c r="C130" s="2">
        <f>COUNTIF(B133:B142,"*")</f>
        <v>0</v>
      </c>
    </row>
    <row r="131" spans="1:37">
      <c r="A131" s="139"/>
    </row>
    <row r="132" spans="1:37">
      <c r="A132" s="139"/>
    </row>
    <row r="133" spans="1:37" ht="45" customHeight="1">
      <c r="A133" s="139"/>
      <c r="B133" s="668"/>
    </row>
    <row r="134" spans="1:37">
      <c r="A134" s="653"/>
    </row>
    <row r="135" spans="1:37">
      <c r="A135" s="654"/>
    </row>
    <row r="136" spans="1:37">
      <c r="A136" s="139"/>
    </row>
    <row r="137" spans="1:37">
      <c r="A137" s="139"/>
    </row>
    <row r="138" spans="1:37">
      <c r="A138" s="139"/>
    </row>
    <row r="139" spans="1:37">
      <c r="A139" s="654"/>
    </row>
    <row r="140" spans="1:37">
      <c r="A140" s="654"/>
    </row>
    <row r="141" spans="1:37">
      <c r="A141" s="654"/>
    </row>
    <row r="142" spans="1:37">
      <c r="A142" s="654"/>
    </row>
    <row r="143" spans="1:37">
      <c r="A143" s="654"/>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s="2">
        <f t="shared" si="0"/>
        <v>0</v>
      </c>
      <c r="Q143" s="2">
        <f t="shared" si="0"/>
        <v>0</v>
      </c>
      <c r="R143" s="2">
        <f t="shared" si="0"/>
        <v>0</v>
      </c>
      <c r="S143" s="1">
        <f t="shared" si="0"/>
        <v>0</v>
      </c>
      <c r="T143" s="1">
        <f t="shared" si="0"/>
        <v>0</v>
      </c>
      <c r="U143" s="1">
        <f t="shared" si="0"/>
        <v>0</v>
      </c>
      <c r="V143" s="1">
        <f t="shared" si="0"/>
        <v>0</v>
      </c>
      <c r="W143" s="1">
        <f t="shared" si="0"/>
        <v>0</v>
      </c>
      <c r="X143" s="1">
        <f t="shared" si="0"/>
        <v>0</v>
      </c>
      <c r="Y143" s="1">
        <f t="shared" si="0"/>
        <v>0</v>
      </c>
      <c r="Z143" s="1">
        <f t="shared" si="0"/>
        <v>0</v>
      </c>
      <c r="AA143" s="1">
        <f t="shared" si="0"/>
        <v>0</v>
      </c>
      <c r="AB143" s="1">
        <f t="shared" si="0"/>
        <v>0</v>
      </c>
      <c r="AC143" s="1">
        <f t="shared" si="0"/>
        <v>0</v>
      </c>
      <c r="AD143" s="1">
        <f t="shared" si="0"/>
        <v>0</v>
      </c>
      <c r="AE143" s="1">
        <f t="shared" si="0"/>
        <v>0</v>
      </c>
      <c r="AF143" s="1">
        <f t="shared" si="0"/>
        <v>0</v>
      </c>
      <c r="AG143" s="1">
        <f t="shared" si="0"/>
        <v>0</v>
      </c>
      <c r="AH143" s="1">
        <f t="shared" si="0"/>
        <v>0</v>
      </c>
      <c r="AI143" s="1">
        <f t="shared" si="0"/>
        <v>0</v>
      </c>
      <c r="AJ143" s="1">
        <f t="shared" si="0"/>
        <v>0</v>
      </c>
      <c r="AK143" s="1">
        <f t="shared" si="0"/>
        <v>0</v>
      </c>
    </row>
    <row r="144" spans="1:37">
      <c r="A144" s="654"/>
    </row>
    <row r="145" spans="1:1">
      <c r="A145" s="654"/>
    </row>
    <row r="146" spans="1:1">
      <c r="A146" s="654"/>
    </row>
    <row r="147" spans="1:1">
      <c r="A147" s="654"/>
    </row>
    <row r="148" spans="1:1">
      <c r="A148" s="654"/>
    </row>
    <row r="149" spans="1:1">
      <c r="A149" s="654"/>
    </row>
    <row r="150" spans="1:1">
      <c r="A150" s="654"/>
    </row>
    <row r="151" spans="1:1">
      <c r="A151" s="654"/>
    </row>
    <row r="152" spans="1:1">
      <c r="A152" s="139"/>
    </row>
    <row r="153" spans="1:1">
      <c r="A153" s="139"/>
    </row>
    <row r="154" spans="1:1">
      <c r="A154" s="139"/>
    </row>
    <row r="155" spans="1:1">
      <c r="A155" s="139"/>
    </row>
    <row r="156" spans="1:1">
      <c r="A156" s="139"/>
    </row>
    <row r="157" spans="1:1">
      <c r="A157" s="139"/>
    </row>
    <row r="158" spans="1:1">
      <c r="A158" s="139"/>
    </row>
    <row r="159" spans="1:1">
      <c r="A159" s="139"/>
    </row>
    <row r="160" spans="1:1">
      <c r="A160" s="139"/>
    </row>
    <row r="161" spans="1:1">
      <c r="A161" s="139"/>
    </row>
    <row r="162" spans="1:1">
      <c r="A162" s="139"/>
    </row>
    <row r="163" spans="1:1">
      <c r="A163" s="139"/>
    </row>
    <row r="164" spans="1:1">
      <c r="A164" s="139"/>
    </row>
    <row r="165" spans="1:1">
      <c r="A165" s="139"/>
    </row>
    <row r="166" spans="1:1">
      <c r="A166" s="139"/>
    </row>
    <row r="167" spans="1:1">
      <c r="A167" s="139"/>
    </row>
    <row r="168" spans="1:1">
      <c r="A168" s="654"/>
    </row>
    <row r="169" spans="1:1">
      <c r="A169" s="654"/>
    </row>
    <row r="170" spans="1:1">
      <c r="A170" s="654"/>
    </row>
    <row r="171" spans="1:1">
      <c r="A171" s="654"/>
    </row>
    <row r="172" spans="1:1">
      <c r="A172" s="654"/>
    </row>
    <row r="173" spans="1:1">
      <c r="A173" s="654"/>
    </row>
    <row r="174" spans="1:1">
      <c r="A174" s="654"/>
    </row>
    <row r="175" spans="1:1">
      <c r="A175" s="654"/>
    </row>
    <row r="176" spans="1:1">
      <c r="A176" s="654"/>
    </row>
    <row r="177" spans="1:1">
      <c r="A177" s="654"/>
    </row>
    <row r="178" spans="1:1">
      <c r="A178" s="654"/>
    </row>
    <row r="179" spans="1:1">
      <c r="A179" s="654"/>
    </row>
    <row r="180" spans="1:1">
      <c r="A180" s="654"/>
    </row>
    <row r="181" spans="1:1">
      <c r="A181" s="654"/>
    </row>
    <row r="182" spans="1:1">
      <c r="A182" s="654"/>
    </row>
    <row r="183" spans="1:1">
      <c r="A183" s="654"/>
    </row>
    <row r="184" spans="1:1">
      <c r="A184" s="654"/>
    </row>
    <row r="185" spans="1:1">
      <c r="A185" s="654"/>
    </row>
    <row r="186" spans="1:1">
      <c r="A186" s="654"/>
    </row>
    <row r="187" spans="1:1">
      <c r="A187" s="654"/>
    </row>
    <row r="188" spans="1:1">
      <c r="A188" s="654"/>
    </row>
    <row r="189" spans="1:1">
      <c r="A189" s="654"/>
    </row>
    <row r="190" spans="1:1">
      <c r="A190" s="654"/>
    </row>
    <row r="191" spans="1:1">
      <c r="A191" s="654"/>
    </row>
    <row r="192" spans="1:1">
      <c r="A192" s="654"/>
    </row>
    <row r="193" spans="1:1">
      <c r="A193" s="654"/>
    </row>
    <row r="194" spans="1:1">
      <c r="A194" s="654"/>
    </row>
    <row r="195" spans="1:1">
      <c r="A195" s="654"/>
    </row>
    <row r="196" spans="1:1">
      <c r="A196" s="654"/>
    </row>
    <row r="197" spans="1:1">
      <c r="A197" s="654"/>
    </row>
    <row r="198" spans="1:1">
      <c r="A198" s="654"/>
    </row>
    <row r="199" spans="1:1">
      <c r="A199" s="654"/>
    </row>
    <row r="200" spans="1:1">
      <c r="A200" s="654"/>
    </row>
    <row r="201" spans="1:1">
      <c r="A201" s="139"/>
    </row>
    <row r="202" spans="1:1">
      <c r="A202" s="139"/>
    </row>
    <row r="203" spans="1:1">
      <c r="A203" s="139"/>
    </row>
    <row r="204" spans="1:1">
      <c r="A204" s="139"/>
    </row>
    <row r="205" spans="1:1">
      <c r="A205" s="139"/>
    </row>
    <row r="206" spans="1:1">
      <c r="A206" s="139"/>
    </row>
    <row r="207" spans="1:1">
      <c r="A207" s="139"/>
    </row>
    <row r="208" spans="1:1">
      <c r="A208" s="139"/>
    </row>
    <row r="209" spans="1:1">
      <c r="A209" s="139"/>
    </row>
    <row r="210" spans="1:1">
      <c r="A210" s="654"/>
    </row>
    <row r="211" spans="1:1">
      <c r="A211" s="654"/>
    </row>
    <row r="212" spans="1:1">
      <c r="A212" s="654"/>
    </row>
    <row r="213" spans="1:1">
      <c r="A213" s="654"/>
    </row>
    <row r="214" spans="1:1">
      <c r="A214" s="654"/>
    </row>
    <row r="215" spans="1:1">
      <c r="A215" s="654"/>
    </row>
    <row r="216" spans="1:1">
      <c r="A216" s="654"/>
    </row>
    <row r="217" spans="1:1">
      <c r="A217" s="654"/>
    </row>
    <row r="218" spans="1:1">
      <c r="A218" s="654"/>
    </row>
    <row r="219" spans="1:1">
      <c r="A219" s="654"/>
    </row>
    <row r="220" spans="1:1">
      <c r="A220" s="654"/>
    </row>
    <row r="221" spans="1:1">
      <c r="A221" s="654"/>
    </row>
    <row r="222" spans="1:1">
      <c r="A222" s="654"/>
    </row>
    <row r="223" spans="1:1">
      <c r="A223" s="654"/>
    </row>
    <row r="224" spans="1:1">
      <c r="A224" s="654"/>
    </row>
    <row r="225" spans="1:1">
      <c r="A225" s="654"/>
    </row>
    <row r="226" spans="1:1">
      <c r="A226" s="654"/>
    </row>
    <row r="227" spans="1:1">
      <c r="A227" s="654"/>
    </row>
    <row r="228" spans="1:1">
      <c r="A228" s="654"/>
    </row>
    <row r="229" spans="1:1">
      <c r="A229" s="654"/>
    </row>
    <row r="230" spans="1:1">
      <c r="A230" s="654"/>
    </row>
    <row r="231" spans="1:1">
      <c r="A231" s="654"/>
    </row>
    <row r="232" spans="1:1">
      <c r="A232" s="654"/>
    </row>
    <row r="233" spans="1:1">
      <c r="A233" s="654"/>
    </row>
    <row r="234" spans="1:1">
      <c r="A234" s="654"/>
    </row>
    <row r="235" spans="1:1">
      <c r="A235" s="654"/>
    </row>
    <row r="236" spans="1:1">
      <c r="A236" s="654"/>
    </row>
    <row r="237" spans="1:1">
      <c r="A237" s="654"/>
    </row>
    <row r="238" spans="1:1">
      <c r="A238" s="654"/>
    </row>
    <row r="239" spans="1:1">
      <c r="A239" s="654"/>
    </row>
    <row r="240" spans="1:1">
      <c r="A240" s="654"/>
    </row>
    <row r="241" spans="1:1">
      <c r="A241" s="654"/>
    </row>
    <row r="242" spans="1:1">
      <c r="A242" s="654"/>
    </row>
    <row r="243" spans="1:1">
      <c r="A243" s="654"/>
    </row>
    <row r="244" spans="1:1">
      <c r="A244" s="654"/>
    </row>
    <row r="245" spans="1:1">
      <c r="A245" s="654"/>
    </row>
    <row r="246" spans="1:1">
      <c r="A246" s="654"/>
    </row>
    <row r="247" spans="1:1">
      <c r="A247" s="654"/>
    </row>
    <row r="248" spans="1:1">
      <c r="A248" s="654"/>
    </row>
    <row r="249" spans="1:1">
      <c r="A249" s="654"/>
    </row>
    <row r="250" spans="1:1">
      <c r="A250" s="654"/>
    </row>
    <row r="251" spans="1:1">
      <c r="A251" s="654"/>
    </row>
    <row r="252" spans="1:1">
      <c r="A252" s="654"/>
    </row>
    <row r="253" spans="1:1">
      <c r="A253" s="654"/>
    </row>
    <row r="254" spans="1:1">
      <c r="A254" s="654"/>
    </row>
    <row r="255" spans="1:1">
      <c r="A255" s="654"/>
    </row>
    <row r="256" spans="1:1">
      <c r="A256" s="654"/>
    </row>
    <row r="257" spans="1:1">
      <c r="A257" s="654"/>
    </row>
    <row r="258" spans="1:1">
      <c r="A258" s="654"/>
    </row>
    <row r="259" spans="1:1">
      <c r="A259" s="654"/>
    </row>
    <row r="260" spans="1:1">
      <c r="A260" s="654"/>
    </row>
    <row r="261" spans="1:1">
      <c r="A261" s="654"/>
    </row>
    <row r="262" spans="1:1">
      <c r="A262" s="654"/>
    </row>
    <row r="263" spans="1:1">
      <c r="A263" s="654"/>
    </row>
    <row r="264" spans="1:1">
      <c r="A264" s="654"/>
    </row>
    <row r="265" spans="1:1">
      <c r="A265" s="654"/>
    </row>
    <row r="266" spans="1:1">
      <c r="A266" s="654"/>
    </row>
    <row r="267" spans="1:1">
      <c r="A267" s="654"/>
    </row>
    <row r="268" spans="1:1">
      <c r="A268" s="654"/>
    </row>
    <row r="269" spans="1:1">
      <c r="A269" s="654"/>
    </row>
    <row r="270" spans="1:1">
      <c r="A270" s="654"/>
    </row>
    <row r="271" spans="1:1">
      <c r="A271" s="654"/>
    </row>
    <row r="272" spans="1:1">
      <c r="A272" s="654"/>
    </row>
    <row r="273" spans="1:1">
      <c r="A273" s="654"/>
    </row>
    <row r="274" spans="1:1">
      <c r="A274" s="654"/>
    </row>
    <row r="275" spans="1:1">
      <c r="A275" s="654"/>
    </row>
    <row r="276" spans="1:1">
      <c r="A276" s="654"/>
    </row>
    <row r="277" spans="1:1">
      <c r="A277" s="654"/>
    </row>
    <row r="278" spans="1:1">
      <c r="A278" s="654"/>
    </row>
    <row r="279" spans="1:1">
      <c r="A279" s="654"/>
    </row>
    <row r="280" spans="1:1">
      <c r="A280" s="654"/>
    </row>
    <row r="281" spans="1:1">
      <c r="A281" s="654"/>
    </row>
    <row r="282" spans="1:1">
      <c r="A282" s="654"/>
    </row>
    <row r="283" spans="1:1">
      <c r="A283" s="654"/>
    </row>
    <row r="284" spans="1:1">
      <c r="A284" s="654"/>
    </row>
    <row r="285" spans="1:1">
      <c r="A285" s="654"/>
    </row>
    <row r="286" spans="1:1">
      <c r="A286" s="654"/>
    </row>
    <row r="287" spans="1:1">
      <c r="A287" s="654"/>
    </row>
    <row r="288" spans="1:1">
      <c r="A288" s="654"/>
    </row>
    <row r="289" spans="1:1">
      <c r="A289" s="654"/>
    </row>
    <row r="290" spans="1:1">
      <c r="A290" s="654"/>
    </row>
    <row r="291" spans="1:1">
      <c r="A291" s="654"/>
    </row>
    <row r="292" spans="1:1">
      <c r="A292" s="654"/>
    </row>
    <row r="293" spans="1:1">
      <c r="A293" s="654"/>
    </row>
  </sheetData>
  <mergeCells count="17">
    <mergeCell ref="F75:G75"/>
    <mergeCell ref="F76:G76"/>
    <mergeCell ref="F78:G78"/>
    <mergeCell ref="F79:G79"/>
    <mergeCell ref="A59:C59"/>
    <mergeCell ref="A60:C60"/>
    <mergeCell ref="F66:G66"/>
    <mergeCell ref="K66:L66"/>
    <mergeCell ref="F73:G73"/>
    <mergeCell ref="F74:G74"/>
    <mergeCell ref="P44:R45"/>
    <mergeCell ref="P46:R47"/>
    <mergeCell ref="P48:R49"/>
    <mergeCell ref="P50:Q51"/>
    <mergeCell ref="R50:R51"/>
    <mergeCell ref="P52:Q53"/>
    <mergeCell ref="R52:R53"/>
  </mergeCells>
  <phoneticPr fontId="1"/>
  <printOptions horizontalCentered="1"/>
  <pageMargins left="0.31496062992125984" right="0.31496062992125984" top="1.1417322834645669" bottom="0.15748031496062992" header="0.31496062992125984" footer="0.31496062992125984"/>
  <pageSetup paperSize="9" scale="92" fitToWidth="0" fitToHeight="2" orientation="portrait" r:id="rId1"/>
  <headerFooter>
    <oddHeader>&amp;C&amp;"HG丸ｺﾞｼｯｸM-PRO,標準"&amp;36 &amp;22 &amp;14 ２０２４年ワイド増強月間集計表&amp;22
目標３件、●＝５件（100+100+800）</oddHeader>
  </headerFooter>
  <rowBreaks count="1" manualBreakCount="1">
    <brk id="63" max="18"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6C05-99C1-49AD-B75B-A08585210F6A}">
  <sheetPr codeName="Sheet16">
    <pageSetUpPr fitToPage="1"/>
  </sheetPr>
  <dimension ref="A1:CP143"/>
  <sheetViews>
    <sheetView topLeftCell="A25" workbookViewId="0">
      <selection activeCell="E28" sqref="E28"/>
    </sheetView>
  </sheetViews>
  <sheetFormatPr defaultRowHeight="13.5"/>
  <cols>
    <col min="1" max="1" width="11" customWidth="1"/>
    <col min="2" max="93" width="4.625" customWidth="1"/>
  </cols>
  <sheetData>
    <row r="1" spans="1:94" ht="14.25" thickBot="1">
      <c r="A1" s="332" t="s">
        <v>491</v>
      </c>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333"/>
      <c r="AJ1" s="333"/>
      <c r="AK1" s="333"/>
      <c r="AL1" s="333"/>
      <c r="AM1" s="333"/>
      <c r="AN1" s="333"/>
      <c r="AO1" s="333"/>
      <c r="AP1" s="333"/>
      <c r="AQ1" s="333"/>
      <c r="AR1" s="333"/>
      <c r="AS1" s="333"/>
      <c r="AT1" s="333"/>
      <c r="AU1" s="333"/>
      <c r="AV1" s="333"/>
      <c r="AW1" s="333"/>
      <c r="AX1" s="333"/>
      <c r="AY1" s="333"/>
      <c r="AZ1" s="333"/>
      <c r="BA1" s="333"/>
      <c r="BB1" s="333"/>
      <c r="BC1" s="333"/>
      <c r="BD1" s="333"/>
      <c r="BE1" s="333"/>
      <c r="BF1" s="333"/>
      <c r="BG1" s="333"/>
      <c r="BH1" s="333"/>
      <c r="BI1" s="333"/>
      <c r="BJ1" s="334"/>
    </row>
    <row r="2" spans="1:94">
      <c r="B2" s="460" t="s">
        <v>488</v>
      </c>
      <c r="C2" s="449" t="s">
        <v>489</v>
      </c>
      <c r="D2" s="449" t="s">
        <v>488</v>
      </c>
      <c r="E2" s="449" t="s">
        <v>489</v>
      </c>
      <c r="F2" s="449" t="s">
        <v>488</v>
      </c>
      <c r="G2" s="449" t="s">
        <v>489</v>
      </c>
      <c r="H2" s="449" t="s">
        <v>488</v>
      </c>
      <c r="I2" s="449" t="s">
        <v>489</v>
      </c>
      <c r="J2" s="449" t="s">
        <v>488</v>
      </c>
      <c r="K2" s="449" t="s">
        <v>489</v>
      </c>
      <c r="L2" s="449" t="s">
        <v>488</v>
      </c>
      <c r="M2" s="449" t="s">
        <v>489</v>
      </c>
      <c r="N2" s="449" t="s">
        <v>488</v>
      </c>
      <c r="O2" s="449" t="s">
        <v>489</v>
      </c>
      <c r="P2" s="449" t="s">
        <v>488</v>
      </c>
      <c r="Q2" s="449"/>
      <c r="R2" s="449"/>
      <c r="S2" s="449"/>
      <c r="T2" s="449"/>
      <c r="U2" s="449"/>
      <c r="V2" s="449"/>
      <c r="W2" s="449"/>
      <c r="X2" s="449"/>
      <c r="Y2" s="449"/>
      <c r="Z2" s="449"/>
      <c r="AA2" s="449"/>
      <c r="AB2" s="449"/>
      <c r="AC2" s="449"/>
      <c r="AD2" s="449"/>
      <c r="AE2" s="449"/>
      <c r="BK2" s="335"/>
    </row>
    <row r="3" spans="1:94" ht="14.25" thickBot="1">
      <c r="A3" t="s">
        <v>493</v>
      </c>
      <c r="B3" s="461" t="e">
        <f>#REF!</f>
        <v>#REF!</v>
      </c>
      <c r="C3" s="452" t="e">
        <f>#REF!</f>
        <v>#REF!</v>
      </c>
      <c r="D3" s="452" t="e">
        <f>#REF!</f>
        <v>#REF!</v>
      </c>
      <c r="E3" s="452" t="e">
        <f>#REF!</f>
        <v>#REF!</v>
      </c>
      <c r="F3" s="452" t="e">
        <f>#REF!</f>
        <v>#REF!</v>
      </c>
      <c r="G3" s="452" t="e">
        <f>#REF!</f>
        <v>#REF!</v>
      </c>
      <c r="H3" s="452" t="e">
        <f>#REF!</f>
        <v>#REF!</v>
      </c>
      <c r="I3" s="452" t="e">
        <f>#REF!</f>
        <v>#REF!</v>
      </c>
      <c r="J3" s="452" t="e">
        <f>#REF!</f>
        <v>#REF!</v>
      </c>
      <c r="K3" s="452" t="e">
        <f>#REF!</f>
        <v>#REF!</v>
      </c>
      <c r="L3" s="452" t="e">
        <f>#REF!</f>
        <v>#REF!</v>
      </c>
      <c r="M3" s="452" t="e">
        <f>#REF!</f>
        <v>#REF!</v>
      </c>
      <c r="N3" s="452" t="e">
        <f>#REF!</f>
        <v>#REF!</v>
      </c>
      <c r="O3" s="452" t="e">
        <f>#REF!</f>
        <v>#REF!</v>
      </c>
      <c r="P3" s="452" t="e">
        <f>#REF!</f>
        <v>#REF!</v>
      </c>
      <c r="Q3" s="452" t="e">
        <f>#REF!</f>
        <v>#REF!</v>
      </c>
      <c r="R3" s="452" t="e">
        <f>#REF!</f>
        <v>#REF!</v>
      </c>
      <c r="S3" s="452" t="e">
        <f>#REF!</f>
        <v>#REF!</v>
      </c>
      <c r="T3" s="452" t="e">
        <f>#REF!</f>
        <v>#REF!</v>
      </c>
      <c r="U3" s="452" t="e">
        <f>#REF!</f>
        <v>#REF!</v>
      </c>
      <c r="V3" s="452" t="e">
        <f>#REF!</f>
        <v>#REF!</v>
      </c>
      <c r="W3" s="452" t="e">
        <f>#REF!</f>
        <v>#REF!</v>
      </c>
      <c r="X3" s="452" t="e">
        <f>#REF!</f>
        <v>#REF!</v>
      </c>
      <c r="Y3" s="452" t="e">
        <f>#REF!</f>
        <v>#REF!</v>
      </c>
      <c r="Z3" s="452" t="e">
        <f>#REF!</f>
        <v>#REF!</v>
      </c>
      <c r="AA3" s="452" t="e">
        <f>#REF!</f>
        <v>#REF!</v>
      </c>
      <c r="AB3" s="452" t="e">
        <f>#REF!</f>
        <v>#REF!</v>
      </c>
      <c r="AC3" s="452" t="e">
        <f>#REF!</f>
        <v>#REF!</v>
      </c>
      <c r="AD3" s="452" t="e">
        <f>#REF!</f>
        <v>#REF!</v>
      </c>
      <c r="AE3" s="452" t="e">
        <f>#REF!</f>
        <v>#REF!</v>
      </c>
      <c r="AF3" s="455" t="e">
        <f>#REF!</f>
        <v>#REF!</v>
      </c>
      <c r="AG3" s="452" t="e">
        <f>#REF!</f>
        <v>#REF!</v>
      </c>
      <c r="AH3" s="452" t="e">
        <f>#REF!</f>
        <v>#REF!</v>
      </c>
      <c r="AI3" s="452" t="e">
        <f>#REF!</f>
        <v>#REF!</v>
      </c>
      <c r="AJ3" s="452" t="e">
        <f>#REF!</f>
        <v>#REF!</v>
      </c>
      <c r="AK3" s="452" t="e">
        <f>#REF!</f>
        <v>#REF!</v>
      </c>
      <c r="AL3" s="452" t="e">
        <f>#REF!</f>
        <v>#REF!</v>
      </c>
      <c r="AM3" s="452" t="e">
        <f>#REF!</f>
        <v>#REF!</v>
      </c>
      <c r="AN3" s="452" t="e">
        <f>#REF!</f>
        <v>#REF!</v>
      </c>
      <c r="AO3" s="452" t="e">
        <f>#REF!</f>
        <v>#REF!</v>
      </c>
      <c r="AP3" s="452" t="e">
        <f>#REF!</f>
        <v>#REF!</v>
      </c>
      <c r="AQ3" s="452" t="e">
        <f>#REF!</f>
        <v>#REF!</v>
      </c>
      <c r="AR3" s="452" t="e">
        <f>#REF!</f>
        <v>#REF!</v>
      </c>
      <c r="AS3" s="452" t="e">
        <f>#REF!</f>
        <v>#REF!</v>
      </c>
      <c r="AT3" s="452" t="e">
        <f>#REF!</f>
        <v>#REF!</v>
      </c>
      <c r="AU3" s="452" t="e">
        <f>#REF!</f>
        <v>#REF!</v>
      </c>
      <c r="AV3" s="452" t="e">
        <f>#REF!</f>
        <v>#REF!</v>
      </c>
      <c r="AW3" s="452" t="e">
        <f>#REF!</f>
        <v>#REF!</v>
      </c>
      <c r="AX3" s="452" t="e">
        <f>#REF!</f>
        <v>#REF!</v>
      </c>
      <c r="AY3" s="452" t="e">
        <f>#REF!</f>
        <v>#REF!</v>
      </c>
      <c r="AZ3" s="452" t="e">
        <f>#REF!</f>
        <v>#REF!</v>
      </c>
      <c r="BA3" s="452" t="e">
        <f>#REF!</f>
        <v>#REF!</v>
      </c>
      <c r="BB3" s="452" t="e">
        <f>#REF!</f>
        <v>#REF!</v>
      </c>
      <c r="BC3" s="452" t="e">
        <f>#REF!</f>
        <v>#REF!</v>
      </c>
      <c r="BD3" s="452" t="e">
        <f>#REF!</f>
        <v>#REF!</v>
      </c>
      <c r="BE3" s="452" t="e">
        <f>#REF!</f>
        <v>#REF!</v>
      </c>
      <c r="BF3" s="452" t="e">
        <f>#REF!</f>
        <v>#REF!</v>
      </c>
      <c r="BG3" s="452" t="e">
        <f>#REF!</f>
        <v>#REF!</v>
      </c>
      <c r="BH3" s="452" t="e">
        <f>#REF!</f>
        <v>#REF!</v>
      </c>
      <c r="BI3" s="452" t="e">
        <f>#REF!</f>
        <v>#REF!</v>
      </c>
      <c r="BJ3" s="452" t="e">
        <f>#REF!</f>
        <v>#REF!</v>
      </c>
      <c r="BK3" s="453" t="e">
        <f>#REF!</f>
        <v>#REF!</v>
      </c>
      <c r="CP3" s="456"/>
    </row>
    <row r="4" spans="1:94">
      <c r="B4" s="105"/>
      <c r="BK4" s="335"/>
    </row>
    <row r="5" spans="1:94" ht="14.25" thickBot="1">
      <c r="A5" t="s">
        <v>494</v>
      </c>
      <c r="B5" s="461" t="e">
        <f>#REF!</f>
        <v>#REF!</v>
      </c>
      <c r="C5" s="452" t="e">
        <f>#REF!</f>
        <v>#REF!</v>
      </c>
      <c r="D5" s="452" t="e">
        <f>#REF!</f>
        <v>#REF!</v>
      </c>
      <c r="E5" s="452" t="e">
        <f>#REF!</f>
        <v>#REF!</v>
      </c>
      <c r="F5" s="452" t="e">
        <f>#REF!</f>
        <v>#REF!</v>
      </c>
      <c r="G5" s="452" t="e">
        <f>#REF!</f>
        <v>#REF!</v>
      </c>
      <c r="H5" s="452" t="e">
        <f>#REF!</f>
        <v>#REF!</v>
      </c>
      <c r="I5" s="452" t="e">
        <f>#REF!</f>
        <v>#REF!</v>
      </c>
      <c r="J5" s="452" t="e">
        <f>#REF!</f>
        <v>#REF!</v>
      </c>
      <c r="K5" s="452" t="e">
        <f>#REF!</f>
        <v>#REF!</v>
      </c>
      <c r="L5" s="452" t="e">
        <f>#REF!</f>
        <v>#REF!</v>
      </c>
      <c r="M5" s="452" t="e">
        <f>#REF!</f>
        <v>#REF!</v>
      </c>
      <c r="N5" s="452" t="e">
        <f>#REF!</f>
        <v>#REF!</v>
      </c>
      <c r="O5" s="452" t="e">
        <f>#REF!</f>
        <v>#REF!</v>
      </c>
      <c r="P5" s="452" t="e">
        <f>#REF!</f>
        <v>#REF!</v>
      </c>
      <c r="Q5" s="452" t="e">
        <f>#REF!</f>
        <v>#REF!</v>
      </c>
      <c r="R5" s="452" t="e">
        <f>#REF!</f>
        <v>#REF!</v>
      </c>
      <c r="S5" s="452" t="e">
        <f>#REF!</f>
        <v>#REF!</v>
      </c>
      <c r="T5" s="452" t="e">
        <f>#REF!</f>
        <v>#REF!</v>
      </c>
      <c r="U5" s="452" t="e">
        <f>#REF!</f>
        <v>#REF!</v>
      </c>
      <c r="V5" s="452" t="e">
        <f>#REF!</f>
        <v>#REF!</v>
      </c>
      <c r="W5" s="452" t="e">
        <f>#REF!</f>
        <v>#REF!</v>
      </c>
      <c r="X5" s="452" t="e">
        <f>#REF!</f>
        <v>#REF!</v>
      </c>
      <c r="Y5" s="452" t="e">
        <f>#REF!</f>
        <v>#REF!</v>
      </c>
      <c r="Z5" s="452" t="e">
        <f>#REF!</f>
        <v>#REF!</v>
      </c>
      <c r="AA5" s="452" t="e">
        <f>#REF!</f>
        <v>#REF!</v>
      </c>
      <c r="AB5" s="452" t="e">
        <f>#REF!</f>
        <v>#REF!</v>
      </c>
      <c r="AC5" s="452" t="e">
        <f>#REF!</f>
        <v>#REF!</v>
      </c>
      <c r="AD5" s="452" t="e">
        <f>#REF!</f>
        <v>#REF!</v>
      </c>
      <c r="AE5" s="452" t="e">
        <f>#REF!</f>
        <v>#REF!</v>
      </c>
      <c r="AF5" s="455" t="e">
        <f>#REF!</f>
        <v>#REF!</v>
      </c>
      <c r="AG5" s="452" t="e">
        <f>#REF!</f>
        <v>#REF!</v>
      </c>
      <c r="AH5" s="452" t="e">
        <f>#REF!</f>
        <v>#REF!</v>
      </c>
      <c r="AI5" s="452" t="e">
        <f>#REF!</f>
        <v>#REF!</v>
      </c>
      <c r="AJ5" s="452" t="e">
        <f>#REF!</f>
        <v>#REF!</v>
      </c>
      <c r="AK5" s="452" t="e">
        <f>#REF!</f>
        <v>#REF!</v>
      </c>
      <c r="AL5" s="452" t="e">
        <f>#REF!</f>
        <v>#REF!</v>
      </c>
      <c r="AM5" s="452" t="e">
        <f>#REF!</f>
        <v>#REF!</v>
      </c>
      <c r="AN5" s="452" t="e">
        <f>#REF!</f>
        <v>#REF!</v>
      </c>
      <c r="AO5" s="452" t="e">
        <f>#REF!</f>
        <v>#REF!</v>
      </c>
      <c r="AP5" s="452" t="e">
        <f>#REF!</f>
        <v>#REF!</v>
      </c>
      <c r="AQ5" s="452" t="e">
        <f>#REF!</f>
        <v>#REF!</v>
      </c>
      <c r="AR5" s="452" t="e">
        <f>#REF!</f>
        <v>#REF!</v>
      </c>
      <c r="AS5" s="452" t="e">
        <f>#REF!</f>
        <v>#REF!</v>
      </c>
      <c r="AT5" s="452" t="e">
        <f>#REF!</f>
        <v>#REF!</v>
      </c>
      <c r="AU5" s="452" t="e">
        <f>#REF!</f>
        <v>#REF!</v>
      </c>
      <c r="AV5" s="452" t="e">
        <f>#REF!</f>
        <v>#REF!</v>
      </c>
      <c r="AW5" s="452" t="e">
        <f>#REF!</f>
        <v>#REF!</v>
      </c>
      <c r="AX5" s="452" t="e">
        <f>#REF!</f>
        <v>#REF!</v>
      </c>
      <c r="AY5" s="452" t="e">
        <f>#REF!</f>
        <v>#REF!</v>
      </c>
      <c r="AZ5" s="452" t="e">
        <f>#REF!</f>
        <v>#REF!</v>
      </c>
      <c r="BA5" s="452" t="e">
        <f>#REF!</f>
        <v>#REF!</v>
      </c>
      <c r="BB5" s="452" t="e">
        <f>#REF!</f>
        <v>#REF!</v>
      </c>
      <c r="BC5" s="452" t="e">
        <f>#REF!</f>
        <v>#REF!</v>
      </c>
      <c r="BD5" s="452" t="e">
        <f>#REF!</f>
        <v>#REF!</v>
      </c>
      <c r="BE5" s="452" t="e">
        <f>#REF!</f>
        <v>#REF!</v>
      </c>
      <c r="BF5" s="452" t="e">
        <f>#REF!</f>
        <v>#REF!</v>
      </c>
      <c r="BG5" s="452" t="e">
        <f>#REF!</f>
        <v>#REF!</v>
      </c>
      <c r="BH5" s="452"/>
      <c r="BI5" s="452"/>
      <c r="BJ5" s="452"/>
      <c r="BK5" s="453"/>
    </row>
    <row r="6" spans="1:94">
      <c r="B6" s="105"/>
      <c r="BK6" s="335"/>
    </row>
    <row r="7" spans="1:94" ht="14.25" thickBot="1">
      <c r="A7" t="s">
        <v>495</v>
      </c>
      <c r="B7" s="461" t="e">
        <f>#REF!</f>
        <v>#REF!</v>
      </c>
      <c r="C7" s="452" t="e">
        <f>#REF!</f>
        <v>#REF!</v>
      </c>
      <c r="D7" s="452" t="e">
        <f>#REF!</f>
        <v>#REF!</v>
      </c>
      <c r="E7" s="452" t="e">
        <f>#REF!</f>
        <v>#REF!</v>
      </c>
      <c r="F7" s="452" t="e">
        <f>#REF!</f>
        <v>#REF!</v>
      </c>
      <c r="G7" s="452" t="e">
        <f>#REF!</f>
        <v>#REF!</v>
      </c>
      <c r="H7" s="452" t="e">
        <f>#REF!</f>
        <v>#REF!</v>
      </c>
      <c r="I7" s="452" t="e">
        <f>#REF!</f>
        <v>#REF!</v>
      </c>
      <c r="J7" s="452" t="e">
        <f>#REF!</f>
        <v>#REF!</v>
      </c>
      <c r="K7" s="452" t="e">
        <f>#REF!</f>
        <v>#REF!</v>
      </c>
      <c r="L7" s="452" t="e">
        <f>#REF!</f>
        <v>#REF!</v>
      </c>
      <c r="M7" s="452" t="e">
        <f>#REF!</f>
        <v>#REF!</v>
      </c>
      <c r="N7" s="452" t="e">
        <f>#REF!</f>
        <v>#REF!</v>
      </c>
      <c r="O7" s="452" t="e">
        <f>#REF!</f>
        <v>#REF!</v>
      </c>
      <c r="P7" s="452" t="e">
        <f>#REF!</f>
        <v>#REF!</v>
      </c>
      <c r="Q7" s="452" t="e">
        <f>#REF!</f>
        <v>#REF!</v>
      </c>
      <c r="R7" s="452" t="e">
        <f>#REF!</f>
        <v>#REF!</v>
      </c>
      <c r="S7" s="452" t="e">
        <f>#REF!</f>
        <v>#REF!</v>
      </c>
      <c r="T7" s="452" t="e">
        <f>#REF!</f>
        <v>#REF!</v>
      </c>
      <c r="U7" s="452" t="e">
        <f>#REF!</f>
        <v>#REF!</v>
      </c>
      <c r="V7" s="452" t="e">
        <f>#REF!</f>
        <v>#REF!</v>
      </c>
      <c r="W7" s="452" t="e">
        <f>#REF!</f>
        <v>#REF!</v>
      </c>
      <c r="X7" s="452" t="e">
        <f>#REF!</f>
        <v>#REF!</v>
      </c>
      <c r="Y7" s="452" t="e">
        <f>#REF!</f>
        <v>#REF!</v>
      </c>
      <c r="Z7" s="452" t="e">
        <f>#REF!</f>
        <v>#REF!</v>
      </c>
      <c r="AA7" s="452" t="e">
        <f>#REF!</f>
        <v>#REF!</v>
      </c>
      <c r="AB7" s="452" t="e">
        <f>#REF!</f>
        <v>#REF!</v>
      </c>
      <c r="AC7" s="452" t="e">
        <f>#REF!</f>
        <v>#REF!</v>
      </c>
      <c r="AD7" s="452" t="e">
        <f>#REF!</f>
        <v>#REF!</v>
      </c>
      <c r="AE7" s="452" t="e">
        <f>#REF!</f>
        <v>#REF!</v>
      </c>
      <c r="AF7" s="455" t="e">
        <f>#REF!</f>
        <v>#REF!</v>
      </c>
      <c r="AG7" s="452" t="e">
        <f>#REF!</f>
        <v>#REF!</v>
      </c>
      <c r="AH7" s="452" t="e">
        <f>#REF!</f>
        <v>#REF!</v>
      </c>
      <c r="AI7" s="452" t="e">
        <f>#REF!</f>
        <v>#REF!</v>
      </c>
      <c r="AJ7" s="452" t="e">
        <f>#REF!</f>
        <v>#REF!</v>
      </c>
      <c r="AK7" s="452" t="e">
        <f>#REF!</f>
        <v>#REF!</v>
      </c>
      <c r="AL7" s="452" t="e">
        <f>#REF!</f>
        <v>#REF!</v>
      </c>
      <c r="AM7" s="452" t="e">
        <f>#REF!</f>
        <v>#REF!</v>
      </c>
      <c r="AN7" s="452" t="e">
        <f>#REF!</f>
        <v>#REF!</v>
      </c>
      <c r="AO7" s="452" t="e">
        <f>#REF!</f>
        <v>#REF!</v>
      </c>
      <c r="AP7" s="452" t="e">
        <f>#REF!</f>
        <v>#REF!</v>
      </c>
      <c r="AQ7" s="452" t="e">
        <f>#REF!</f>
        <v>#REF!</v>
      </c>
      <c r="AR7" s="452" t="e">
        <f>#REF!</f>
        <v>#REF!</v>
      </c>
      <c r="AS7" s="452" t="e">
        <f>#REF!</f>
        <v>#REF!</v>
      </c>
      <c r="AT7" s="452" t="e">
        <f>#REF!</f>
        <v>#REF!</v>
      </c>
      <c r="AU7" s="452" t="e">
        <f>#REF!</f>
        <v>#REF!</v>
      </c>
      <c r="AV7" s="452" t="e">
        <f>#REF!</f>
        <v>#REF!</v>
      </c>
      <c r="AW7" s="452" t="e">
        <f>#REF!</f>
        <v>#REF!</v>
      </c>
      <c r="AX7" s="452" t="e">
        <f>#REF!</f>
        <v>#REF!</v>
      </c>
      <c r="AY7" s="452" t="e">
        <f>#REF!</f>
        <v>#REF!</v>
      </c>
      <c r="AZ7" s="452" t="e">
        <f>#REF!</f>
        <v>#REF!</v>
      </c>
      <c r="BA7" s="452" t="e">
        <f>#REF!</f>
        <v>#REF!</v>
      </c>
      <c r="BB7" s="452" t="e">
        <f>#REF!</f>
        <v>#REF!</v>
      </c>
      <c r="BC7" s="452" t="e">
        <f>#REF!</f>
        <v>#REF!</v>
      </c>
      <c r="BD7" s="452" t="e">
        <f>#REF!</f>
        <v>#REF!</v>
      </c>
      <c r="BE7" s="452" t="e">
        <f>#REF!</f>
        <v>#REF!</v>
      </c>
      <c r="BF7" s="452" t="e">
        <f>#REF!</f>
        <v>#REF!</v>
      </c>
      <c r="BG7" s="452" t="e">
        <f>#REF!</f>
        <v>#REF!</v>
      </c>
      <c r="BH7" s="452" t="e">
        <f>#REF!</f>
        <v>#REF!</v>
      </c>
      <c r="BI7" s="452" t="e">
        <f>#REF!</f>
        <v>#REF!</v>
      </c>
      <c r="BJ7" s="452" t="e">
        <f>#REF!</f>
        <v>#REF!</v>
      </c>
      <c r="BK7" s="453" t="e">
        <f>#REF!</f>
        <v>#REF!</v>
      </c>
    </row>
    <row r="8" spans="1:94" ht="14.25" thickBot="1"/>
    <row r="9" spans="1:94">
      <c r="A9" s="448" t="s">
        <v>487</v>
      </c>
      <c r="B9" s="454">
        <v>45292</v>
      </c>
      <c r="C9" s="449">
        <v>45293</v>
      </c>
      <c r="D9" s="449">
        <v>45294</v>
      </c>
      <c r="E9" s="449">
        <v>45295</v>
      </c>
      <c r="F9" s="449">
        <v>45296</v>
      </c>
      <c r="G9" s="449">
        <v>45297</v>
      </c>
      <c r="H9" s="449">
        <v>45298</v>
      </c>
      <c r="I9" s="449">
        <v>45299</v>
      </c>
      <c r="J9" s="449">
        <v>45300</v>
      </c>
      <c r="K9" s="449">
        <v>45301</v>
      </c>
      <c r="L9" s="449">
        <v>45302</v>
      </c>
      <c r="M9" s="449">
        <v>45303</v>
      </c>
      <c r="N9" s="449">
        <v>45304</v>
      </c>
      <c r="O9" s="449">
        <v>45305</v>
      </c>
      <c r="P9" s="449">
        <v>45306</v>
      </c>
      <c r="Q9" s="449">
        <v>45307</v>
      </c>
      <c r="R9" s="449">
        <v>45308</v>
      </c>
      <c r="S9" s="449">
        <v>45309</v>
      </c>
      <c r="T9" s="449">
        <v>45310</v>
      </c>
      <c r="U9" s="449">
        <v>45311</v>
      </c>
      <c r="V9" s="449">
        <v>45312</v>
      </c>
      <c r="W9" s="449">
        <v>45313</v>
      </c>
      <c r="X9" s="449">
        <v>45314</v>
      </c>
      <c r="Y9" s="449">
        <v>45315</v>
      </c>
      <c r="Z9" s="449">
        <v>45316</v>
      </c>
      <c r="AA9" s="449">
        <v>45317</v>
      </c>
      <c r="AB9" s="449">
        <v>45318</v>
      </c>
      <c r="AC9" s="449">
        <v>45319</v>
      </c>
      <c r="AD9" s="449">
        <v>45320</v>
      </c>
      <c r="AE9" s="449">
        <v>45321</v>
      </c>
      <c r="AF9" s="449">
        <v>45322</v>
      </c>
      <c r="AG9" s="454">
        <v>45323</v>
      </c>
      <c r="AH9" s="449">
        <v>45324</v>
      </c>
      <c r="AI9" s="449">
        <v>45325</v>
      </c>
      <c r="AJ9" s="449">
        <v>45326</v>
      </c>
      <c r="AK9" s="449">
        <v>45327</v>
      </c>
      <c r="AL9" s="449">
        <v>45328</v>
      </c>
      <c r="AM9" s="449">
        <v>45329</v>
      </c>
      <c r="AN9" s="449">
        <v>45330</v>
      </c>
      <c r="AO9" s="449">
        <v>45331</v>
      </c>
      <c r="AP9" s="449">
        <v>45332</v>
      </c>
      <c r="AQ9" s="449">
        <v>45333</v>
      </c>
      <c r="AR9" s="449">
        <v>45334</v>
      </c>
      <c r="AS9" s="449">
        <v>45335</v>
      </c>
      <c r="AT9" s="449">
        <v>45336</v>
      </c>
      <c r="AU9" s="449">
        <v>45337</v>
      </c>
      <c r="AV9" s="449">
        <v>45338</v>
      </c>
      <c r="AW9" s="449">
        <v>45339</v>
      </c>
      <c r="AX9" s="449">
        <v>45340</v>
      </c>
      <c r="AY9" s="449">
        <v>45341</v>
      </c>
      <c r="AZ9" s="449">
        <v>45342</v>
      </c>
      <c r="BA9" s="449">
        <v>45343</v>
      </c>
      <c r="BB9" s="449">
        <v>45344</v>
      </c>
      <c r="BC9" s="449">
        <v>45345</v>
      </c>
      <c r="BD9" s="449">
        <v>45346</v>
      </c>
      <c r="BE9" s="449">
        <v>45347</v>
      </c>
      <c r="BF9" s="449">
        <v>45348</v>
      </c>
      <c r="BG9" s="449">
        <v>45349</v>
      </c>
      <c r="BH9" s="449">
        <v>45350</v>
      </c>
      <c r="BI9" s="449">
        <v>45351</v>
      </c>
      <c r="BJ9" s="454">
        <v>45352</v>
      </c>
      <c r="BK9" s="449">
        <v>45353</v>
      </c>
      <c r="BL9" s="449">
        <v>45354</v>
      </c>
      <c r="BM9" s="449">
        <v>45355</v>
      </c>
      <c r="BN9" s="449">
        <v>45356</v>
      </c>
      <c r="BO9" s="449">
        <v>45357</v>
      </c>
      <c r="BP9" s="449">
        <v>45358</v>
      </c>
      <c r="BQ9" s="449">
        <v>45359</v>
      </c>
      <c r="BR9" s="449">
        <v>45360</v>
      </c>
      <c r="BS9" s="449">
        <v>45361</v>
      </c>
      <c r="BT9" s="449">
        <v>45362</v>
      </c>
      <c r="BU9" s="449">
        <v>45363</v>
      </c>
      <c r="BV9" s="449">
        <v>45364</v>
      </c>
      <c r="BW9" s="449">
        <v>45365</v>
      </c>
      <c r="BX9" s="449">
        <v>45366</v>
      </c>
      <c r="BY9" s="449">
        <v>45367</v>
      </c>
      <c r="BZ9" s="449">
        <v>45368</v>
      </c>
      <c r="CA9" s="449">
        <v>45369</v>
      </c>
      <c r="CB9" s="449">
        <v>45370</v>
      </c>
      <c r="CC9" s="449">
        <v>45371</v>
      </c>
      <c r="CD9" s="449">
        <v>45372</v>
      </c>
      <c r="CE9" s="449">
        <v>45373</v>
      </c>
      <c r="CF9" s="449">
        <v>45374</v>
      </c>
      <c r="CG9" s="449">
        <v>45375</v>
      </c>
      <c r="CH9" s="449">
        <v>45376</v>
      </c>
      <c r="CI9" s="449">
        <v>45377</v>
      </c>
      <c r="CJ9" s="449">
        <v>45378</v>
      </c>
      <c r="CK9" s="449">
        <v>45379</v>
      </c>
      <c r="CL9" s="449">
        <v>45380</v>
      </c>
      <c r="CM9" s="449">
        <v>45381</v>
      </c>
      <c r="CN9" s="450">
        <v>45382</v>
      </c>
    </row>
    <row r="10" spans="1:94" ht="14.25" thickBot="1">
      <c r="A10" s="451" t="s">
        <v>72</v>
      </c>
      <c r="B10" s="458" t="e" cm="1">
        <f t="array" aca="1" ref="B10" ca="1">INDIRECT(ADDRESS(ROW($B$3),(COLUMN(A3)*2),1))</f>
        <v>#REF!</v>
      </c>
      <c r="C10" s="459" t="e" cm="1">
        <f t="array" aca="1" ref="C10" ca="1">INDIRECT(ADDRESS(ROW($B$3),(COLUMN(B3)*2),1))</f>
        <v>#REF!</v>
      </c>
      <c r="D10" s="459" t="e" cm="1">
        <f t="array" aca="1" ref="D10" ca="1">INDIRECT(ADDRESS(ROW($B$3),(COLUMN(C3)*2),1))</f>
        <v>#REF!</v>
      </c>
      <c r="E10" s="459" t="e" cm="1">
        <f t="array" aca="1" ref="E10" ca="1">INDIRECT(ADDRESS(ROW($B$3),(COLUMN(D3)*2),1))</f>
        <v>#REF!</v>
      </c>
      <c r="F10" s="459" t="e" cm="1">
        <f t="array" aca="1" ref="F10" ca="1">INDIRECT(ADDRESS(ROW($B$3),(COLUMN(E3)*2),1))</f>
        <v>#REF!</v>
      </c>
      <c r="G10" s="459" t="e" cm="1">
        <f t="array" aca="1" ref="G10" ca="1">INDIRECT(ADDRESS(ROW($B$3),(COLUMN(F3)*2),1))</f>
        <v>#REF!</v>
      </c>
      <c r="H10" s="459" t="e" cm="1">
        <f t="array" aca="1" ref="H10" ca="1">INDIRECT(ADDRESS(ROW($B$3),(COLUMN(G3)*2),1))</f>
        <v>#REF!</v>
      </c>
      <c r="I10" s="459" t="e" cm="1">
        <f t="array" aca="1" ref="I10" ca="1">INDIRECT(ADDRESS(ROW($B$3),(COLUMN(H3)*2),1))</f>
        <v>#REF!</v>
      </c>
      <c r="J10" s="459" t="e" cm="1">
        <f t="array" aca="1" ref="J10" ca="1">INDIRECT(ADDRESS(ROW($B$3),(COLUMN(I3)*2),1))</f>
        <v>#REF!</v>
      </c>
      <c r="K10" s="459" t="e" cm="1">
        <f t="array" aca="1" ref="K10" ca="1">INDIRECT(ADDRESS(ROW($B$3),(COLUMN(J3)*2),1))</f>
        <v>#REF!</v>
      </c>
      <c r="L10" s="459" t="e" cm="1">
        <f t="array" aca="1" ref="L10" ca="1">INDIRECT(ADDRESS(ROW($B$3),(COLUMN(K3)*2),1))</f>
        <v>#REF!</v>
      </c>
      <c r="M10" s="459" t="e" cm="1">
        <f t="array" aca="1" ref="M10" ca="1">INDIRECT(ADDRESS(ROW($B$3),(COLUMN(L3)*2),1))</f>
        <v>#REF!</v>
      </c>
      <c r="N10" s="459" t="e" cm="1">
        <f t="array" aca="1" ref="N10" ca="1">INDIRECT(ADDRESS(ROW($B$3),(COLUMN(M3)*2),1))</f>
        <v>#REF!</v>
      </c>
      <c r="O10" s="459" t="e" cm="1">
        <f t="array" aca="1" ref="O10" ca="1">INDIRECT(ADDRESS(ROW($B$3),(COLUMN(N3)*2),1))</f>
        <v>#REF!</v>
      </c>
      <c r="P10" s="459" t="e" cm="1">
        <f t="array" aca="1" ref="P10" ca="1">INDIRECT(ADDRESS(ROW($B$3),(COLUMN(O3)*2),1))</f>
        <v>#REF!</v>
      </c>
      <c r="Q10" s="459" t="e" cm="1">
        <f t="array" aca="1" ref="Q10" ca="1">INDIRECT(ADDRESS(ROW($B$3),(COLUMN(P3)*2),1))</f>
        <v>#REF!</v>
      </c>
      <c r="R10" s="459" t="e" cm="1">
        <f t="array" aca="1" ref="R10" ca="1">INDIRECT(ADDRESS(ROW($B$3),(COLUMN(Q3)*2),1))</f>
        <v>#REF!</v>
      </c>
      <c r="S10" s="459" t="e" cm="1">
        <f t="array" aca="1" ref="S10" ca="1">INDIRECT(ADDRESS(ROW($B$3),(COLUMN(R3)*2),1))</f>
        <v>#REF!</v>
      </c>
      <c r="T10" s="459" t="e" cm="1">
        <f t="array" aca="1" ref="T10" ca="1">INDIRECT(ADDRESS(ROW($B$3),(COLUMN(S3)*2),1))</f>
        <v>#REF!</v>
      </c>
      <c r="U10" s="459" t="e" cm="1">
        <f t="array" aca="1" ref="U10" ca="1">INDIRECT(ADDRESS(ROW($B$3),(COLUMN(T3)*2),1))</f>
        <v>#REF!</v>
      </c>
      <c r="V10" s="459" t="e" cm="1">
        <f t="array" aca="1" ref="V10" ca="1">INDIRECT(ADDRESS(ROW($B$3),(COLUMN(U3)*2),1))</f>
        <v>#REF!</v>
      </c>
      <c r="W10" s="459" t="e" cm="1">
        <f t="array" aca="1" ref="W10" ca="1">INDIRECT(ADDRESS(ROW($B$3),(COLUMN(V3)*2),1))</f>
        <v>#REF!</v>
      </c>
      <c r="X10" s="459" t="e" cm="1">
        <f t="array" aca="1" ref="X10" ca="1">INDIRECT(ADDRESS(ROW($B$3),(COLUMN(W3)*2),1))</f>
        <v>#REF!</v>
      </c>
      <c r="Y10" s="459" t="e" cm="1">
        <f t="array" aca="1" ref="Y10" ca="1">INDIRECT(ADDRESS(ROW($B$3),(COLUMN(X3)*2),1))</f>
        <v>#REF!</v>
      </c>
      <c r="Z10" s="459" t="e" cm="1">
        <f t="array" aca="1" ref="Z10" ca="1">INDIRECT(ADDRESS(ROW($B$3),(COLUMN(Y3)*2),1))</f>
        <v>#REF!</v>
      </c>
      <c r="AA10" s="459" t="e" cm="1">
        <f t="array" aca="1" ref="AA10" ca="1">INDIRECT(ADDRESS(ROW($B$3),(COLUMN(Z3)*2),1))</f>
        <v>#REF!</v>
      </c>
      <c r="AB10" s="459" t="e" cm="1">
        <f t="array" aca="1" ref="AB10" ca="1">INDIRECT(ADDRESS(ROW($B$3),(COLUMN(AA3)*2),1))</f>
        <v>#REF!</v>
      </c>
      <c r="AC10" s="459" t="e" cm="1">
        <f t="array" aca="1" ref="AC10" ca="1">INDIRECT(ADDRESS(ROW($B$3),(COLUMN(AB3)*2),1))</f>
        <v>#REF!</v>
      </c>
      <c r="AD10" s="459" t="e" cm="1">
        <f t="array" aca="1" ref="AD10" ca="1">INDIRECT(ADDRESS(ROW($B$3),(COLUMN(AC3)*2),1))</f>
        <v>#REF!</v>
      </c>
      <c r="AE10" s="459" t="e" cm="1">
        <f t="array" aca="1" ref="AE10" ca="1">INDIRECT(ADDRESS(ROW($B$3),(COLUMN(AD3)*2),1))</f>
        <v>#REF!</v>
      </c>
      <c r="AF10" s="459" t="e" cm="1">
        <f t="array" aca="1" ref="AF10" ca="1">INDIRECT(ADDRESS(ROW($B$3),(COLUMN(AE3)*2),1))</f>
        <v>#REF!</v>
      </c>
      <c r="AG10" s="455" t="e" cm="1">
        <f t="array" aca="1" ref="AG10" ca="1">INDIRECT(ADDRESS(ROW($B$5),(COLUMN(A5)*2),1))</f>
        <v>#REF!</v>
      </c>
      <c r="AH10" s="452" t="e" cm="1">
        <f t="array" aca="1" ref="AH10" ca="1">INDIRECT(ADDRESS(ROW($B$5),(COLUMN(B5)*2),1))</f>
        <v>#REF!</v>
      </c>
      <c r="AI10" s="452" t="e" cm="1">
        <f t="array" aca="1" ref="AI10" ca="1">INDIRECT(ADDRESS(ROW($B$5),(COLUMN(C5)*2),1))</f>
        <v>#REF!</v>
      </c>
      <c r="AJ10" s="452" t="e" cm="1">
        <f t="array" aca="1" ref="AJ10" ca="1">INDIRECT(ADDRESS(ROW($B$5),(COLUMN(D5)*2),1))</f>
        <v>#REF!</v>
      </c>
      <c r="AK10" s="452" t="e" cm="1">
        <f t="array" aca="1" ref="AK10" ca="1">INDIRECT(ADDRESS(ROW($B$5),(COLUMN(E5)*2),1))</f>
        <v>#REF!</v>
      </c>
      <c r="AL10" s="452" t="e" cm="1">
        <f t="array" aca="1" ref="AL10" ca="1">INDIRECT(ADDRESS(ROW($B$5),(COLUMN(F5)*2),1))</f>
        <v>#REF!</v>
      </c>
      <c r="AM10" s="452" t="e" cm="1">
        <f t="array" aca="1" ref="AM10" ca="1">INDIRECT(ADDRESS(ROW($B$5),(COLUMN(G5)*2),1))</f>
        <v>#REF!</v>
      </c>
      <c r="AN10" s="452" t="e" cm="1">
        <f t="array" aca="1" ref="AN10" ca="1">INDIRECT(ADDRESS(ROW($B$5),(COLUMN(H5)*2),1))</f>
        <v>#REF!</v>
      </c>
      <c r="AO10" s="452" t="e" cm="1">
        <f t="array" aca="1" ref="AO10" ca="1">INDIRECT(ADDRESS(ROW($B$5),(COLUMN(I5)*2),1))</f>
        <v>#REF!</v>
      </c>
      <c r="AP10" s="452" t="e" cm="1">
        <f t="array" aca="1" ref="AP10" ca="1">INDIRECT(ADDRESS(ROW($B$5),(COLUMN(J5)*2),1))</f>
        <v>#REF!</v>
      </c>
      <c r="AQ10" s="452" t="e" cm="1">
        <f t="array" aca="1" ref="AQ10" ca="1">INDIRECT(ADDRESS(ROW($B$5),(COLUMN(K5)*2),1))</f>
        <v>#REF!</v>
      </c>
      <c r="AR10" s="452" t="e" cm="1">
        <f t="array" aca="1" ref="AR10" ca="1">INDIRECT(ADDRESS(ROW($B$5),(COLUMN(L5)*2),1))</f>
        <v>#REF!</v>
      </c>
      <c r="AS10" s="452" t="e" cm="1">
        <f t="array" aca="1" ref="AS10" ca="1">INDIRECT(ADDRESS(ROW($B$5),(COLUMN(M5)*2),1))</f>
        <v>#REF!</v>
      </c>
      <c r="AT10" s="452" t="e" cm="1">
        <f t="array" aca="1" ref="AT10" ca="1">INDIRECT(ADDRESS(ROW($B$5),(COLUMN(N5)*2),1))</f>
        <v>#REF!</v>
      </c>
      <c r="AU10" s="452" t="e" cm="1">
        <f t="array" aca="1" ref="AU10" ca="1">INDIRECT(ADDRESS(ROW($B$5),(COLUMN(O5)*2),1))</f>
        <v>#REF!</v>
      </c>
      <c r="AV10" s="452" t="e" cm="1">
        <f t="array" aca="1" ref="AV10" ca="1">INDIRECT(ADDRESS(ROW($B$5),(COLUMN(P5)*2),1))</f>
        <v>#REF!</v>
      </c>
      <c r="AW10" s="452" t="e" cm="1">
        <f t="array" aca="1" ref="AW10" ca="1">INDIRECT(ADDRESS(ROW($B$5),(COLUMN(Q5)*2),1))</f>
        <v>#REF!</v>
      </c>
      <c r="AX10" s="452" t="e" cm="1">
        <f t="array" aca="1" ref="AX10" ca="1">INDIRECT(ADDRESS(ROW($B$5),(COLUMN(R5)*2),1))</f>
        <v>#REF!</v>
      </c>
      <c r="AY10" s="452" t="e" cm="1">
        <f t="array" aca="1" ref="AY10" ca="1">INDIRECT(ADDRESS(ROW($B$5),(COLUMN(S5)*2),1))</f>
        <v>#REF!</v>
      </c>
      <c r="AZ10" s="452" t="e" cm="1">
        <f t="array" aca="1" ref="AZ10" ca="1">INDIRECT(ADDRESS(ROW($B$5),(COLUMN(T5)*2),1))</f>
        <v>#REF!</v>
      </c>
      <c r="BA10" s="452" t="e" cm="1">
        <f t="array" aca="1" ref="BA10" ca="1">INDIRECT(ADDRESS(ROW($B$5),(COLUMN(U5)*2),1))</f>
        <v>#REF!</v>
      </c>
      <c r="BB10" s="452" t="e" cm="1">
        <f t="array" aca="1" ref="BB10" ca="1">INDIRECT(ADDRESS(ROW($B$5),(COLUMN(V5)*2),1))</f>
        <v>#REF!</v>
      </c>
      <c r="BC10" s="452" t="e" cm="1">
        <f t="array" aca="1" ref="BC10" ca="1">INDIRECT(ADDRESS(ROW($B$5),(COLUMN(W5)*2),1))</f>
        <v>#REF!</v>
      </c>
      <c r="BD10" s="452" t="e" cm="1">
        <f t="array" aca="1" ref="BD10" ca="1">INDIRECT(ADDRESS(ROW($B$5),(COLUMN(X5)*2),1))</f>
        <v>#REF!</v>
      </c>
      <c r="BE10" s="452" t="e" cm="1">
        <f t="array" aca="1" ref="BE10" ca="1">INDIRECT(ADDRESS(ROW($B$5),(COLUMN(Y5)*2),1))</f>
        <v>#REF!</v>
      </c>
      <c r="BF10" s="452" t="e" cm="1">
        <f t="array" aca="1" ref="BF10" ca="1">INDIRECT(ADDRESS(ROW($B$5),(COLUMN(Z5)*2),1))</f>
        <v>#REF!</v>
      </c>
      <c r="BG10" s="452" t="e" cm="1">
        <f t="array" aca="1" ref="BG10" ca="1">INDIRECT(ADDRESS(ROW($B$5),(COLUMN(AA5)*2),1))</f>
        <v>#REF!</v>
      </c>
      <c r="BH10" s="452" t="e" cm="1">
        <f t="array" aca="1" ref="BH10" ca="1">INDIRECT(ADDRESS(ROW($B$5),(COLUMN(AB5)*2),1))</f>
        <v>#REF!</v>
      </c>
      <c r="BI10" s="452" t="e" cm="1">
        <f t="array" aca="1" ref="BI10" ca="1">INDIRECT(ADDRESS(ROW($B$5),(COLUMN(AC5)*2),1))</f>
        <v>#REF!</v>
      </c>
      <c r="BJ10" s="455" t="e" cm="1">
        <f t="array" aca="1" ref="BJ10" ca="1">INDIRECT(ADDRESS(ROW($B$7),(COLUMN(A7)*2),1))</f>
        <v>#REF!</v>
      </c>
      <c r="BK10" s="452" t="e" cm="1">
        <f t="array" aca="1" ref="BK10" ca="1">INDIRECT(ADDRESS(ROW($B$7),(COLUMN(B7)*2),1))</f>
        <v>#REF!</v>
      </c>
      <c r="BL10" s="452" t="e" cm="1">
        <f t="array" aca="1" ref="BL10" ca="1">INDIRECT(ADDRESS(ROW($B$7),(COLUMN(C7)*2),1))</f>
        <v>#REF!</v>
      </c>
      <c r="BM10" s="452" t="e" cm="1">
        <f t="array" aca="1" ref="BM10" ca="1">INDIRECT(ADDRESS(ROW($B$7),(COLUMN(D7)*2),1))</f>
        <v>#REF!</v>
      </c>
      <c r="BN10" s="452" t="e" cm="1">
        <f t="array" aca="1" ref="BN10" ca="1">INDIRECT(ADDRESS(ROW($B$7),(COLUMN(E7)*2),1))</f>
        <v>#REF!</v>
      </c>
      <c r="BO10" s="452" t="e" cm="1">
        <f t="array" aca="1" ref="BO10" ca="1">INDIRECT(ADDRESS(ROW($B$7),(COLUMN(F7)*2),1))</f>
        <v>#REF!</v>
      </c>
      <c r="BP10" s="452" t="e" cm="1">
        <f t="array" aca="1" ref="BP10" ca="1">INDIRECT(ADDRESS(ROW($B$7),(COLUMN(G7)*2),1))</f>
        <v>#REF!</v>
      </c>
      <c r="BQ10" s="452" t="e" cm="1">
        <f t="array" aca="1" ref="BQ10" ca="1">INDIRECT(ADDRESS(ROW($B$7),(COLUMN(H7)*2),1))</f>
        <v>#REF!</v>
      </c>
      <c r="BR10" s="452" t="e" cm="1">
        <f t="array" aca="1" ref="BR10" ca="1">INDIRECT(ADDRESS(ROW($B$7),(COLUMN(I7)*2),1))</f>
        <v>#REF!</v>
      </c>
      <c r="BS10" s="452" t="e" cm="1">
        <f t="array" aca="1" ref="BS10" ca="1">INDIRECT(ADDRESS(ROW($B$7),(COLUMN(J7)*2),1))</f>
        <v>#REF!</v>
      </c>
      <c r="BT10" s="452" t="e" cm="1">
        <f t="array" aca="1" ref="BT10" ca="1">INDIRECT(ADDRESS(ROW($B$7),(COLUMN(K7)*2),1))</f>
        <v>#REF!</v>
      </c>
      <c r="BU10" s="452" t="e" cm="1">
        <f t="array" aca="1" ref="BU10" ca="1">INDIRECT(ADDRESS(ROW($B$7),(COLUMN(L7)*2),1))</f>
        <v>#REF!</v>
      </c>
      <c r="BV10" s="452" t="e" cm="1">
        <f t="array" aca="1" ref="BV10" ca="1">INDIRECT(ADDRESS(ROW($B$7),(COLUMN(M7)*2),1))</f>
        <v>#REF!</v>
      </c>
      <c r="BW10" s="452" t="e" cm="1">
        <f t="array" aca="1" ref="BW10" ca="1">INDIRECT(ADDRESS(ROW($B$7),(COLUMN(N7)*2),1))</f>
        <v>#REF!</v>
      </c>
      <c r="BX10" s="452" t="e" cm="1">
        <f t="array" aca="1" ref="BX10" ca="1">INDIRECT(ADDRESS(ROW($B$7),(COLUMN(O7)*2),1))</f>
        <v>#REF!</v>
      </c>
      <c r="BY10" s="452" t="e" cm="1">
        <f t="array" aca="1" ref="BY10" ca="1">INDIRECT(ADDRESS(ROW($B$7),(COLUMN(P7)*2),1))</f>
        <v>#REF!</v>
      </c>
      <c r="BZ10" s="452" t="e" cm="1">
        <f t="array" aca="1" ref="BZ10" ca="1">INDIRECT(ADDRESS(ROW($B$7),(COLUMN(Q7)*2),1))</f>
        <v>#REF!</v>
      </c>
      <c r="CA10" s="452" t="e" cm="1">
        <f t="array" aca="1" ref="CA10" ca="1">INDIRECT(ADDRESS(ROW($B$7),(COLUMN(R7)*2),1))</f>
        <v>#REF!</v>
      </c>
      <c r="CB10" s="452" t="e" cm="1">
        <f t="array" aca="1" ref="CB10" ca="1">INDIRECT(ADDRESS(ROW($B$7),(COLUMN(S7)*2),1))</f>
        <v>#REF!</v>
      </c>
      <c r="CC10" s="452" t="e" cm="1">
        <f t="array" aca="1" ref="CC10" ca="1">INDIRECT(ADDRESS(ROW($B$7),(COLUMN(T7)*2),1))</f>
        <v>#REF!</v>
      </c>
      <c r="CD10" s="452" t="e" cm="1">
        <f t="array" aca="1" ref="CD10" ca="1">INDIRECT(ADDRESS(ROW($B$7),(COLUMN(U7)*2),1))</f>
        <v>#REF!</v>
      </c>
      <c r="CE10" s="452" t="e" cm="1">
        <f t="array" aca="1" ref="CE10" ca="1">INDIRECT(ADDRESS(ROW($B$7),(COLUMN(V7)*2),1))</f>
        <v>#REF!</v>
      </c>
      <c r="CF10" s="452" t="e" cm="1">
        <f t="array" aca="1" ref="CF10" ca="1">INDIRECT(ADDRESS(ROW($B$7),(COLUMN(W7)*2),1))</f>
        <v>#REF!</v>
      </c>
      <c r="CG10" s="452" t="e" cm="1">
        <f t="array" aca="1" ref="CG10" ca="1">INDIRECT(ADDRESS(ROW($B$7),(COLUMN(X7)*2),1))</f>
        <v>#REF!</v>
      </c>
      <c r="CH10" s="452" t="e" cm="1">
        <f t="array" aca="1" ref="CH10" ca="1">INDIRECT(ADDRESS(ROW($B$7),(COLUMN(Y7)*2),1))</f>
        <v>#REF!</v>
      </c>
      <c r="CI10" s="452" t="e" cm="1">
        <f t="array" aca="1" ref="CI10" ca="1">INDIRECT(ADDRESS(ROW($B$7),(COLUMN(Z7)*2),1))</f>
        <v>#REF!</v>
      </c>
      <c r="CJ10" s="452" t="e" cm="1">
        <f t="array" aca="1" ref="CJ10" ca="1">INDIRECT(ADDRESS(ROW($B$7),(COLUMN(AA7)*2),1))</f>
        <v>#REF!</v>
      </c>
      <c r="CK10" s="452" t="e" cm="1">
        <f t="array" aca="1" ref="CK10" ca="1">INDIRECT(ADDRESS(ROW($B$7),(COLUMN(AB7)*2),1))</f>
        <v>#REF!</v>
      </c>
      <c r="CL10" s="452" t="e" cm="1">
        <f t="array" aca="1" ref="CL10" ca="1">INDIRECT(ADDRESS(ROW($B$7),(COLUMN(AC7)*2),1))</f>
        <v>#REF!</v>
      </c>
      <c r="CM10" s="452" t="e" cm="1">
        <f t="array" aca="1" ref="CM10" ca="1">INDIRECT(ADDRESS(ROW($B$7),(COLUMN(AD7)*2),1))</f>
        <v>#REF!</v>
      </c>
      <c r="CN10" s="453" t="e" cm="1">
        <f t="array" aca="1" ref="CN10" ca="1">INDIRECT(ADDRESS(ROW($B$7),(COLUMN(AE7)*2),1))</f>
        <v>#REF!</v>
      </c>
    </row>
    <row r="11" spans="1:94" ht="14.25" thickBot="1">
      <c r="B11" s="457"/>
      <c r="C11" s="457"/>
      <c r="D11" s="457"/>
      <c r="E11" s="457"/>
      <c r="F11" s="457"/>
      <c r="G11" s="457"/>
      <c r="H11" s="457"/>
      <c r="I11" s="457"/>
      <c r="J11" s="457"/>
      <c r="K11" s="457"/>
      <c r="L11" s="457"/>
      <c r="M11" s="457"/>
      <c r="N11" s="457"/>
      <c r="O11" s="457"/>
      <c r="P11" s="457"/>
      <c r="Q11" s="457"/>
      <c r="R11" s="457"/>
      <c r="S11" s="457"/>
      <c r="T11" s="457"/>
      <c r="U11" s="457"/>
      <c r="V11" s="457"/>
      <c r="W11" s="457"/>
      <c r="X11" s="457"/>
      <c r="Y11" s="457"/>
      <c r="Z11" s="457"/>
      <c r="AA11" s="457"/>
      <c r="AB11" s="457"/>
      <c r="AC11" s="457"/>
      <c r="AD11" s="457"/>
      <c r="AE11" s="457"/>
      <c r="AF11" s="457"/>
    </row>
    <row r="12" spans="1:94">
      <c r="A12" s="448" t="s">
        <v>490</v>
      </c>
      <c r="B12" s="454">
        <v>45292</v>
      </c>
      <c r="C12" s="449">
        <v>45293</v>
      </c>
      <c r="D12" s="449">
        <v>45294</v>
      </c>
      <c r="E12" s="449">
        <v>45295</v>
      </c>
      <c r="F12" s="449">
        <v>45296</v>
      </c>
      <c r="G12" s="449">
        <v>45297</v>
      </c>
      <c r="H12" s="449">
        <v>45298</v>
      </c>
      <c r="I12" s="449">
        <v>45299</v>
      </c>
      <c r="J12" s="449">
        <v>45300</v>
      </c>
      <c r="K12" s="449">
        <v>45301</v>
      </c>
      <c r="L12" s="449">
        <v>45302</v>
      </c>
      <c r="M12" s="449">
        <v>45303</v>
      </c>
      <c r="N12" s="449">
        <v>45304</v>
      </c>
      <c r="O12" s="449">
        <v>45305</v>
      </c>
      <c r="P12" s="449">
        <v>45306</v>
      </c>
      <c r="Q12" s="449">
        <v>45307</v>
      </c>
      <c r="R12" s="449">
        <v>45308</v>
      </c>
      <c r="S12" s="449">
        <v>45309</v>
      </c>
      <c r="T12" s="449">
        <v>45310</v>
      </c>
      <c r="U12" s="449">
        <v>45311</v>
      </c>
      <c r="V12" s="449">
        <v>45312</v>
      </c>
      <c r="W12" s="449">
        <v>45313</v>
      </c>
      <c r="X12" s="449">
        <v>45314</v>
      </c>
      <c r="Y12" s="449">
        <v>45315</v>
      </c>
      <c r="Z12" s="449">
        <v>45316</v>
      </c>
      <c r="AA12" s="449">
        <v>45317</v>
      </c>
      <c r="AB12" s="449">
        <v>45318</v>
      </c>
      <c r="AC12" s="449">
        <v>45319</v>
      </c>
      <c r="AD12" s="449">
        <v>45320</v>
      </c>
      <c r="AE12" s="449">
        <v>45321</v>
      </c>
      <c r="AF12" s="449">
        <v>45322</v>
      </c>
      <c r="AG12" s="454">
        <v>45323</v>
      </c>
      <c r="AH12" s="449">
        <v>45324</v>
      </c>
      <c r="AI12" s="449">
        <v>45325</v>
      </c>
      <c r="AJ12" s="449">
        <v>45326</v>
      </c>
      <c r="AK12" s="449">
        <v>45327</v>
      </c>
      <c r="AL12" s="449">
        <v>45328</v>
      </c>
      <c r="AM12" s="449">
        <v>45329</v>
      </c>
      <c r="AN12" s="449">
        <v>45330</v>
      </c>
      <c r="AO12" s="449">
        <v>45331</v>
      </c>
      <c r="AP12" s="449">
        <v>45332</v>
      </c>
      <c r="AQ12" s="449">
        <v>45333</v>
      </c>
      <c r="AR12" s="449">
        <v>45334</v>
      </c>
      <c r="AS12" s="449">
        <v>45335</v>
      </c>
      <c r="AT12" s="449">
        <v>45336</v>
      </c>
      <c r="AU12" s="449">
        <v>45337</v>
      </c>
      <c r="AV12" s="449">
        <v>45338</v>
      </c>
      <c r="AW12" s="449">
        <v>45339</v>
      </c>
      <c r="AX12" s="449">
        <v>45340</v>
      </c>
      <c r="AY12" s="449">
        <v>45341</v>
      </c>
      <c r="AZ12" s="449">
        <v>45342</v>
      </c>
      <c r="BA12" s="449">
        <v>45343</v>
      </c>
      <c r="BB12" s="449">
        <v>45344</v>
      </c>
      <c r="BC12" s="449">
        <v>45345</v>
      </c>
      <c r="BD12" s="449">
        <v>45346</v>
      </c>
      <c r="BE12" s="449">
        <v>45347</v>
      </c>
      <c r="BF12" s="449">
        <v>45348</v>
      </c>
      <c r="BG12" s="449">
        <v>45349</v>
      </c>
      <c r="BH12" s="449">
        <v>45350</v>
      </c>
      <c r="BI12" s="449">
        <v>45351</v>
      </c>
      <c r="BJ12" s="454">
        <v>45352</v>
      </c>
      <c r="BK12" s="449">
        <v>45353</v>
      </c>
      <c r="BL12" s="449">
        <v>45354</v>
      </c>
      <c r="BM12" s="449">
        <v>45355</v>
      </c>
      <c r="BN12" s="449">
        <v>45356</v>
      </c>
      <c r="BO12" s="449">
        <v>45357</v>
      </c>
      <c r="BP12" s="449">
        <v>45358</v>
      </c>
      <c r="BQ12" s="449">
        <v>45359</v>
      </c>
      <c r="BR12" s="449">
        <v>45360</v>
      </c>
      <c r="BS12" s="449">
        <v>45361</v>
      </c>
      <c r="BT12" s="449">
        <v>45362</v>
      </c>
      <c r="BU12" s="449">
        <v>45363</v>
      </c>
      <c r="BV12" s="449">
        <v>45364</v>
      </c>
      <c r="BW12" s="449">
        <v>45365</v>
      </c>
      <c r="BX12" s="449">
        <v>45366</v>
      </c>
      <c r="BY12" s="449">
        <v>45367</v>
      </c>
      <c r="BZ12" s="449">
        <v>45368</v>
      </c>
      <c r="CA12" s="449">
        <v>45369</v>
      </c>
      <c r="CB12" s="449">
        <v>45370</v>
      </c>
      <c r="CC12" s="449">
        <v>45371</v>
      </c>
      <c r="CD12" s="449">
        <v>45372</v>
      </c>
      <c r="CE12" s="449">
        <v>45373</v>
      </c>
      <c r="CF12" s="449">
        <v>45374</v>
      </c>
      <c r="CG12" s="449">
        <v>45375</v>
      </c>
      <c r="CH12" s="449">
        <v>45376</v>
      </c>
      <c r="CI12" s="449">
        <v>45377</v>
      </c>
      <c r="CJ12" s="449">
        <v>45378</v>
      </c>
      <c r="CK12" s="449">
        <v>45379</v>
      </c>
      <c r="CL12" s="449">
        <v>45380</v>
      </c>
      <c r="CM12" s="449">
        <v>45381</v>
      </c>
      <c r="CN12" s="450">
        <v>45382</v>
      </c>
    </row>
    <row r="13" spans="1:94" ht="14.25" thickBot="1">
      <c r="A13" s="451" t="s">
        <v>489</v>
      </c>
      <c r="B13" s="458" t="e" cm="1">
        <f t="array" aca="1" ref="B13" ca="1">INDIRECT(ADDRESS(ROW($B$3),(COLUMN(A3)*2+1),1))</f>
        <v>#REF!</v>
      </c>
      <c r="C13" s="459" t="e" cm="1">
        <f t="array" aca="1" ref="C13" ca="1">INDIRECT(ADDRESS(ROW($B$3),(COLUMN(B3)*2+1),1))</f>
        <v>#REF!</v>
      </c>
      <c r="D13" s="459" t="e" cm="1">
        <f t="array" aca="1" ref="D13" ca="1">INDIRECT(ADDRESS(ROW($B$3),(COLUMN(C3)*2+1),1))</f>
        <v>#REF!</v>
      </c>
      <c r="E13" s="459" t="e" cm="1">
        <f t="array" aca="1" ref="E13" ca="1">INDIRECT(ADDRESS(ROW($B$3),(COLUMN(D3)*2+1),1))</f>
        <v>#REF!</v>
      </c>
      <c r="F13" s="459" t="e" cm="1">
        <f t="array" aca="1" ref="F13" ca="1">INDIRECT(ADDRESS(ROW($B$3),(COLUMN(E3)*2+1),1))</f>
        <v>#REF!</v>
      </c>
      <c r="G13" s="459" t="e" cm="1">
        <f t="array" aca="1" ref="G13" ca="1">INDIRECT(ADDRESS(ROW($B$3),(COLUMN(F3)*2+1),1))</f>
        <v>#REF!</v>
      </c>
      <c r="H13" s="459" t="e" cm="1">
        <f t="array" aca="1" ref="H13" ca="1">INDIRECT(ADDRESS(ROW($B$3),(COLUMN(G3)*2+1),1))</f>
        <v>#REF!</v>
      </c>
      <c r="I13" s="459" t="e" cm="1">
        <f t="array" aca="1" ref="I13" ca="1">INDIRECT(ADDRESS(ROW($B$3),(COLUMN(H3)*2+1),1))</f>
        <v>#REF!</v>
      </c>
      <c r="J13" s="459" t="e" cm="1">
        <f t="array" aca="1" ref="J13" ca="1">INDIRECT(ADDRESS(ROW($B$3),(COLUMN(I3)*2+1),1))</f>
        <v>#REF!</v>
      </c>
      <c r="K13" s="459" t="e" cm="1">
        <f t="array" aca="1" ref="K13" ca="1">INDIRECT(ADDRESS(ROW($B$3),(COLUMN(J3)*2+1),1))</f>
        <v>#REF!</v>
      </c>
      <c r="L13" s="459" t="e" cm="1">
        <f t="array" aca="1" ref="L13" ca="1">INDIRECT(ADDRESS(ROW($B$3),(COLUMN(K3)*2+1),1))</f>
        <v>#REF!</v>
      </c>
      <c r="M13" s="459" t="e" cm="1">
        <f t="array" aca="1" ref="M13" ca="1">INDIRECT(ADDRESS(ROW($B$3),(COLUMN(L3)*2+1),1))</f>
        <v>#REF!</v>
      </c>
      <c r="N13" s="459" t="e" cm="1">
        <f t="array" aca="1" ref="N13" ca="1">INDIRECT(ADDRESS(ROW($B$3),(COLUMN(M3)*2+1),1))</f>
        <v>#REF!</v>
      </c>
      <c r="O13" s="459" t="e" cm="1">
        <f t="array" aca="1" ref="O13" ca="1">INDIRECT(ADDRESS(ROW($B$3),(COLUMN(N3)*2+1),1))</f>
        <v>#REF!</v>
      </c>
      <c r="P13" s="459" t="e" cm="1">
        <f t="array" aca="1" ref="P13" ca="1">INDIRECT(ADDRESS(ROW($B$3),(COLUMN(O3)*2+1),1))</f>
        <v>#REF!</v>
      </c>
      <c r="Q13" s="459" t="e" cm="1">
        <f t="array" aca="1" ref="Q13" ca="1">INDIRECT(ADDRESS(ROW($B$3),(COLUMN(P3)*2+1),1))</f>
        <v>#REF!</v>
      </c>
      <c r="R13" s="459" t="e" cm="1">
        <f t="array" aca="1" ref="R13" ca="1">INDIRECT(ADDRESS(ROW($B$3),(COLUMN(Q3)*2+1),1))</f>
        <v>#REF!</v>
      </c>
      <c r="S13" s="459" t="e" cm="1">
        <f t="array" aca="1" ref="S13" ca="1">INDIRECT(ADDRESS(ROW($B$3),(COLUMN(R3)*2+1),1))</f>
        <v>#REF!</v>
      </c>
      <c r="T13" s="459" t="e" cm="1">
        <f t="array" aca="1" ref="T13" ca="1">INDIRECT(ADDRESS(ROW($B$3),(COLUMN(S3)*2+1),1))</f>
        <v>#REF!</v>
      </c>
      <c r="U13" s="459" t="e" cm="1">
        <f t="array" aca="1" ref="U13" ca="1">INDIRECT(ADDRESS(ROW($B$3),(COLUMN(T3)*2+1),1))</f>
        <v>#REF!</v>
      </c>
      <c r="V13" s="459" t="e" cm="1">
        <f t="array" aca="1" ref="V13" ca="1">INDIRECT(ADDRESS(ROW($B$3),(COLUMN(U3)*2+1),1))</f>
        <v>#REF!</v>
      </c>
      <c r="W13" s="459" t="e" cm="1">
        <f t="array" aca="1" ref="W13" ca="1">INDIRECT(ADDRESS(ROW($B$3),(COLUMN(V3)*2+1),1))</f>
        <v>#REF!</v>
      </c>
      <c r="X13" s="459" t="e" cm="1">
        <f t="array" aca="1" ref="X13" ca="1">INDIRECT(ADDRESS(ROW($B$3),(COLUMN(W3)*2+1),1))</f>
        <v>#REF!</v>
      </c>
      <c r="Y13" s="459" t="e" cm="1">
        <f t="array" aca="1" ref="Y13" ca="1">INDIRECT(ADDRESS(ROW($B$3),(COLUMN(X3)*2+1),1))</f>
        <v>#REF!</v>
      </c>
      <c r="Z13" s="459" t="e" cm="1">
        <f t="array" aca="1" ref="Z13" ca="1">INDIRECT(ADDRESS(ROW($B$3),(COLUMN(Y3)*2+1),1))</f>
        <v>#REF!</v>
      </c>
      <c r="AA13" s="459" t="e" cm="1">
        <f t="array" aca="1" ref="AA13" ca="1">INDIRECT(ADDRESS(ROW($B$3),(COLUMN(Z3)*2+1),1))</f>
        <v>#REF!</v>
      </c>
      <c r="AB13" s="459" t="e" cm="1">
        <f t="array" aca="1" ref="AB13" ca="1">INDIRECT(ADDRESS(ROW($B$3),(COLUMN(AA3)*2+1),1))</f>
        <v>#REF!</v>
      </c>
      <c r="AC13" s="459" t="e" cm="1">
        <f t="array" aca="1" ref="AC13" ca="1">INDIRECT(ADDRESS(ROW($B$3),(COLUMN(AB3)*2+1),1))</f>
        <v>#REF!</v>
      </c>
      <c r="AD13" s="459" t="e" cm="1">
        <f t="array" aca="1" ref="AD13" ca="1">INDIRECT(ADDRESS(ROW($B$3),(COLUMN(AC3)*2+1),1))</f>
        <v>#REF!</v>
      </c>
      <c r="AE13" s="459" t="e" cm="1">
        <f t="array" aca="1" ref="AE13" ca="1">INDIRECT(ADDRESS(ROW($B$3),(COLUMN(AD3)*2+1),1))</f>
        <v>#REF!</v>
      </c>
      <c r="AF13" s="459" t="e" cm="1">
        <f t="array" aca="1" ref="AF13" ca="1">INDIRECT(ADDRESS(ROW($B$3),(COLUMN(AE3)*2+1),1))</f>
        <v>#REF!</v>
      </c>
      <c r="AG13" s="455" t="e" cm="1">
        <f t="array" aca="1" ref="AG13" ca="1">INDIRECT(ADDRESS(ROW($B$5),(COLUMN(A5)*2+1),1))</f>
        <v>#REF!</v>
      </c>
      <c r="AH13" s="452" t="e" cm="1">
        <f t="array" aca="1" ref="AH13" ca="1">INDIRECT(ADDRESS(ROW($B$5),(COLUMN(B5)*2+1),1))</f>
        <v>#REF!</v>
      </c>
      <c r="AI13" s="452" t="e" cm="1">
        <f t="array" aca="1" ref="AI13" ca="1">INDIRECT(ADDRESS(ROW($B$5),(COLUMN(C5)*2+1),1))</f>
        <v>#REF!</v>
      </c>
      <c r="AJ13" s="452" t="e" cm="1">
        <f t="array" aca="1" ref="AJ13" ca="1">INDIRECT(ADDRESS(ROW($B$5),(COLUMN(D5)*2+1),1))</f>
        <v>#REF!</v>
      </c>
      <c r="AK13" s="452" t="e" cm="1">
        <f t="array" aca="1" ref="AK13" ca="1">INDIRECT(ADDRESS(ROW($B$5),(COLUMN(E5)*2+1),1))</f>
        <v>#REF!</v>
      </c>
      <c r="AL13" s="452" t="e" cm="1">
        <f t="array" aca="1" ref="AL13" ca="1">INDIRECT(ADDRESS(ROW($B$5),(COLUMN(F5)*2+1),1))</f>
        <v>#REF!</v>
      </c>
      <c r="AM13" s="452" t="e" cm="1">
        <f t="array" aca="1" ref="AM13" ca="1">INDIRECT(ADDRESS(ROW($B$5),(COLUMN(G5)*2+1),1))</f>
        <v>#REF!</v>
      </c>
      <c r="AN13" s="452" t="e" cm="1">
        <f t="array" aca="1" ref="AN13" ca="1">INDIRECT(ADDRESS(ROW($B$5),(COLUMN(H5)*2+1),1))</f>
        <v>#REF!</v>
      </c>
      <c r="AO13" s="452" t="e" cm="1">
        <f t="array" aca="1" ref="AO13" ca="1">INDIRECT(ADDRESS(ROW($B$5),(COLUMN(I5)*2+1),1))</f>
        <v>#REF!</v>
      </c>
      <c r="AP13" s="452" t="e" cm="1">
        <f t="array" aca="1" ref="AP13" ca="1">INDIRECT(ADDRESS(ROW($B$5),(COLUMN(J5)*2+1),1))</f>
        <v>#REF!</v>
      </c>
      <c r="AQ13" s="452" t="e" cm="1">
        <f t="array" aca="1" ref="AQ13" ca="1">INDIRECT(ADDRESS(ROW($B$5),(COLUMN(K5)*2+1),1))</f>
        <v>#REF!</v>
      </c>
      <c r="AR13" s="452" t="e" cm="1">
        <f t="array" aca="1" ref="AR13" ca="1">INDIRECT(ADDRESS(ROW($B$5),(COLUMN(L5)*2+1),1))</f>
        <v>#REF!</v>
      </c>
      <c r="AS13" s="452" t="e" cm="1">
        <f t="array" aca="1" ref="AS13" ca="1">INDIRECT(ADDRESS(ROW($B$5),(COLUMN(M5)*2+1),1))</f>
        <v>#REF!</v>
      </c>
      <c r="AT13" s="452" t="e" cm="1">
        <f t="array" aca="1" ref="AT13" ca="1">INDIRECT(ADDRESS(ROW($B$5),(COLUMN(N5)*2+1),1))</f>
        <v>#REF!</v>
      </c>
      <c r="AU13" s="452" t="e" cm="1">
        <f t="array" aca="1" ref="AU13" ca="1">INDIRECT(ADDRESS(ROW($B$5),(COLUMN(O5)*2+1),1))</f>
        <v>#REF!</v>
      </c>
      <c r="AV13" s="452" t="e" cm="1">
        <f t="array" aca="1" ref="AV13" ca="1">INDIRECT(ADDRESS(ROW($B$5),(COLUMN(P5)*2+1),1))</f>
        <v>#REF!</v>
      </c>
      <c r="AW13" s="452" t="e" cm="1">
        <f t="array" aca="1" ref="AW13" ca="1">INDIRECT(ADDRESS(ROW($B$5),(COLUMN(Q5)*2+1),1))</f>
        <v>#REF!</v>
      </c>
      <c r="AX13" s="452" t="e" cm="1">
        <f t="array" aca="1" ref="AX13" ca="1">INDIRECT(ADDRESS(ROW($B$5),(COLUMN(R5)*2+1),1))</f>
        <v>#REF!</v>
      </c>
      <c r="AY13" s="452" t="e" cm="1">
        <f t="array" aca="1" ref="AY13" ca="1">INDIRECT(ADDRESS(ROW($B$5),(COLUMN(S5)*2+1),1))</f>
        <v>#REF!</v>
      </c>
      <c r="AZ13" s="452" t="e" cm="1">
        <f t="array" aca="1" ref="AZ13" ca="1">INDIRECT(ADDRESS(ROW($B$5),(COLUMN(T5)*2+1),1))</f>
        <v>#REF!</v>
      </c>
      <c r="BA13" s="452" t="e" cm="1">
        <f t="array" aca="1" ref="BA13" ca="1">INDIRECT(ADDRESS(ROW($B$5),(COLUMN(U5)*2+1),1))</f>
        <v>#REF!</v>
      </c>
      <c r="BB13" s="452" t="e" cm="1">
        <f t="array" aca="1" ref="BB13" ca="1">INDIRECT(ADDRESS(ROW($B$5),(COLUMN(V5)*2+1),1))</f>
        <v>#REF!</v>
      </c>
      <c r="BC13" s="452" t="e" cm="1">
        <f t="array" aca="1" ref="BC13" ca="1">INDIRECT(ADDRESS(ROW($B$5),(COLUMN(W5)*2+1),1))</f>
        <v>#REF!</v>
      </c>
      <c r="BD13" s="452" t="e" cm="1">
        <f t="array" aca="1" ref="BD13" ca="1">INDIRECT(ADDRESS(ROW($B$5),(COLUMN(X5)*2+1),1))</f>
        <v>#REF!</v>
      </c>
      <c r="BE13" s="452" t="e" cm="1">
        <f t="array" aca="1" ref="BE13" ca="1">INDIRECT(ADDRESS(ROW($B$5),(COLUMN(Y5)*2+1),1))</f>
        <v>#REF!</v>
      </c>
      <c r="BF13" s="452" t="e" cm="1">
        <f t="array" aca="1" ref="BF13" ca="1">INDIRECT(ADDRESS(ROW($B$5),(COLUMN(Z5)*2+1),1))</f>
        <v>#REF!</v>
      </c>
      <c r="BG13" s="452" t="e" cm="1">
        <f t="array" aca="1" ref="BG13" ca="1">INDIRECT(ADDRESS(ROW($B$5),(COLUMN(AA5)*2+1),1))</f>
        <v>#REF!</v>
      </c>
      <c r="BH13" s="452" t="e" cm="1">
        <f t="array" aca="1" ref="BH13" ca="1">INDIRECT(ADDRESS(ROW($B$5),(COLUMN(AB5)*2+1),1))</f>
        <v>#REF!</v>
      </c>
      <c r="BI13" s="452" t="e" cm="1">
        <f t="array" aca="1" ref="BI13" ca="1">INDIRECT(ADDRESS(ROW($B$5),(COLUMN(AC5)*2+1),1))</f>
        <v>#REF!</v>
      </c>
      <c r="BJ13" s="455" t="e" cm="1">
        <f t="array" aca="1" ref="BJ13" ca="1">INDIRECT(ADDRESS(ROW($B$7),(COLUMN(A7)*2+1),1))</f>
        <v>#REF!</v>
      </c>
      <c r="BK13" s="452" t="e" cm="1">
        <f t="array" aca="1" ref="BK13" ca="1">INDIRECT(ADDRESS(ROW($B$7),(COLUMN(B7)*2+1),1))</f>
        <v>#REF!</v>
      </c>
      <c r="BL13" s="452" t="e" cm="1">
        <f t="array" aca="1" ref="BL13" ca="1">INDIRECT(ADDRESS(ROW($B$7),(COLUMN(C7)*2+1),1))</f>
        <v>#REF!</v>
      </c>
      <c r="BM13" s="452" t="e" cm="1">
        <f t="array" aca="1" ref="BM13" ca="1">INDIRECT(ADDRESS(ROW($B$7),(COLUMN(D7)*2+1),1))</f>
        <v>#REF!</v>
      </c>
      <c r="BN13" s="452" t="e" cm="1">
        <f t="array" aca="1" ref="BN13" ca="1">INDIRECT(ADDRESS(ROW($B$7),(COLUMN(E7)*2+1),1))</f>
        <v>#REF!</v>
      </c>
      <c r="BO13" s="452" t="e" cm="1">
        <f t="array" aca="1" ref="BO13" ca="1">INDIRECT(ADDRESS(ROW($B$7),(COLUMN(F7)*2+1),1))</f>
        <v>#REF!</v>
      </c>
      <c r="BP13" s="452" t="e" cm="1">
        <f t="array" aca="1" ref="BP13" ca="1">INDIRECT(ADDRESS(ROW($B$7),(COLUMN(G7)*2+1),1))</f>
        <v>#REF!</v>
      </c>
      <c r="BQ13" s="452" t="e" cm="1">
        <f t="array" aca="1" ref="BQ13" ca="1">INDIRECT(ADDRESS(ROW($B$7),(COLUMN(H7)*2+1),1))</f>
        <v>#REF!</v>
      </c>
      <c r="BR13" s="452" t="e" cm="1">
        <f t="array" aca="1" ref="BR13" ca="1">INDIRECT(ADDRESS(ROW($B$7),(COLUMN(I7)*2+1),1))</f>
        <v>#REF!</v>
      </c>
      <c r="BS13" s="452" t="e" cm="1">
        <f t="array" aca="1" ref="BS13" ca="1">INDIRECT(ADDRESS(ROW($B$7),(COLUMN(J7)*2+1),1))</f>
        <v>#REF!</v>
      </c>
      <c r="BT13" s="452" t="e" cm="1">
        <f t="array" aca="1" ref="BT13" ca="1">INDIRECT(ADDRESS(ROW($B$7),(COLUMN(K7)*2+1),1))</f>
        <v>#REF!</v>
      </c>
      <c r="BU13" s="452" t="e" cm="1">
        <f t="array" aca="1" ref="BU13" ca="1">INDIRECT(ADDRESS(ROW($B$7),(COLUMN(L7)*2+1),1))</f>
        <v>#REF!</v>
      </c>
      <c r="BV13" s="452" t="e" cm="1">
        <f t="array" aca="1" ref="BV13" ca="1">INDIRECT(ADDRESS(ROW($B$7),(COLUMN(M7)*2+1),1))</f>
        <v>#REF!</v>
      </c>
      <c r="BW13" s="452" t="e" cm="1">
        <f t="array" aca="1" ref="BW13" ca="1">INDIRECT(ADDRESS(ROW($B$7),(COLUMN(N7)*2+1),1))</f>
        <v>#REF!</v>
      </c>
      <c r="BX13" s="452" t="e" cm="1">
        <f t="array" aca="1" ref="BX13" ca="1">INDIRECT(ADDRESS(ROW($B$7),(COLUMN(O7)*2+1),1))</f>
        <v>#REF!</v>
      </c>
      <c r="BY13" s="452" t="e" cm="1">
        <f t="array" aca="1" ref="BY13" ca="1">INDIRECT(ADDRESS(ROW($B$7),(COLUMN(P7)*2+1),1))</f>
        <v>#REF!</v>
      </c>
      <c r="BZ13" s="452" t="e" cm="1">
        <f t="array" aca="1" ref="BZ13" ca="1">INDIRECT(ADDRESS(ROW($B$7),(COLUMN(Q7)*2+1),1))</f>
        <v>#REF!</v>
      </c>
      <c r="CA13" s="452" t="e" cm="1">
        <f t="array" aca="1" ref="CA13" ca="1">INDIRECT(ADDRESS(ROW($B$7),(COLUMN(R7)*2+1),1))</f>
        <v>#REF!</v>
      </c>
      <c r="CB13" s="452" t="e" cm="1">
        <f t="array" aca="1" ref="CB13" ca="1">INDIRECT(ADDRESS(ROW($B$7),(COLUMN(S7)*2+1),1))</f>
        <v>#REF!</v>
      </c>
      <c r="CC13" s="452" t="e" cm="1">
        <f t="array" aca="1" ref="CC13" ca="1">INDIRECT(ADDRESS(ROW($B$7),(COLUMN(T7)*2+1),1))</f>
        <v>#REF!</v>
      </c>
      <c r="CD13" s="452" t="e" cm="1">
        <f t="array" aca="1" ref="CD13" ca="1">INDIRECT(ADDRESS(ROW($B$7),(COLUMN(U7)*2+1),1))</f>
        <v>#REF!</v>
      </c>
      <c r="CE13" s="452" t="e" cm="1">
        <f t="array" aca="1" ref="CE13" ca="1">INDIRECT(ADDRESS(ROW($B$7),(COLUMN(V7)*2+1),1))</f>
        <v>#REF!</v>
      </c>
      <c r="CF13" s="452" t="e" cm="1">
        <f t="array" aca="1" ref="CF13" ca="1">INDIRECT(ADDRESS(ROW($B$7),(COLUMN(W7)*2+1),1))</f>
        <v>#REF!</v>
      </c>
      <c r="CG13" s="452" t="e" cm="1">
        <f t="array" aca="1" ref="CG13" ca="1">INDIRECT(ADDRESS(ROW($B$7),(COLUMN(X7)*2+1),1))</f>
        <v>#REF!</v>
      </c>
      <c r="CH13" s="452" t="e" cm="1">
        <f t="array" aca="1" ref="CH13" ca="1">INDIRECT(ADDRESS(ROW($B$7),(COLUMN(Y7)*2+1),1))</f>
        <v>#REF!</v>
      </c>
      <c r="CI13" s="452" t="e" cm="1">
        <f t="array" aca="1" ref="CI13" ca="1">INDIRECT(ADDRESS(ROW($B$7),(COLUMN(Z7)*2+1),1))</f>
        <v>#REF!</v>
      </c>
      <c r="CJ13" s="452" t="e" cm="1">
        <f t="array" aca="1" ref="CJ13" ca="1">INDIRECT(ADDRESS(ROW($B$7),(COLUMN(AA7)*2+1),1))</f>
        <v>#REF!</v>
      </c>
      <c r="CK13" s="452" t="e" cm="1">
        <f t="array" aca="1" ref="CK13" ca="1">INDIRECT(ADDRESS(ROW($B$7),(COLUMN(AB7)*2+1),1))</f>
        <v>#REF!</v>
      </c>
      <c r="CL13" s="452" t="e" cm="1">
        <f t="array" aca="1" ref="CL13" ca="1">INDIRECT(ADDRESS(ROW($B$7),(COLUMN(AC7)*2+1),1))</f>
        <v>#REF!</v>
      </c>
      <c r="CM13" s="452" t="e" cm="1">
        <f t="array" aca="1" ref="CM13" ca="1">INDIRECT(ADDRESS(ROW($B$7),(COLUMN(AD7)*2+1),1))</f>
        <v>#REF!</v>
      </c>
      <c r="CN13" s="453" t="e" cm="1">
        <f t="array" aca="1" ref="CN13" ca="1">INDIRECT(ADDRESS(ROW($B$7),(COLUMN(AE7)*2+1),1))</f>
        <v>#REF!</v>
      </c>
    </row>
    <row r="14" spans="1:94">
      <c r="B14" s="457"/>
      <c r="C14" s="457"/>
      <c r="D14" s="457"/>
      <c r="E14" s="457"/>
      <c r="F14" s="457"/>
      <c r="G14" s="457"/>
      <c r="H14" s="457"/>
      <c r="I14" s="457"/>
      <c r="J14" s="457"/>
      <c r="K14" s="457"/>
      <c r="L14" s="457"/>
      <c r="M14" s="457"/>
      <c r="N14" s="457"/>
      <c r="O14" s="457"/>
      <c r="P14" s="457"/>
      <c r="Q14" s="457"/>
      <c r="R14" s="457"/>
      <c r="S14" s="457"/>
      <c r="T14" s="457"/>
      <c r="U14" s="457"/>
      <c r="V14" s="457"/>
      <c r="W14" s="457"/>
      <c r="X14" s="457"/>
      <c r="Y14" s="457"/>
      <c r="Z14" s="457"/>
      <c r="AA14" s="457"/>
      <c r="AB14" s="457"/>
      <c r="AC14" s="457"/>
      <c r="AD14" s="457"/>
      <c r="AE14" s="457"/>
      <c r="AF14" s="457"/>
    </row>
    <row r="15" spans="1:94" ht="14.25" thickBot="1">
      <c r="A15" t="s">
        <v>492</v>
      </c>
      <c r="B15" s="462" t="s">
        <v>499</v>
      </c>
      <c r="C15" s="457"/>
      <c r="D15" s="457"/>
      <c r="E15" s="457"/>
      <c r="F15" s="457"/>
      <c r="G15" s="457"/>
      <c r="H15" s="457"/>
      <c r="I15" s="457"/>
      <c r="J15" s="457"/>
      <c r="K15" s="457"/>
      <c r="L15" s="457"/>
      <c r="M15" s="457"/>
      <c r="N15" s="457"/>
      <c r="O15" s="457"/>
      <c r="P15" s="457"/>
      <c r="Q15" s="457"/>
      <c r="R15" s="457"/>
      <c r="S15" s="457"/>
      <c r="T15" s="457"/>
      <c r="U15" s="457"/>
      <c r="V15" s="457"/>
      <c r="W15" s="457"/>
      <c r="X15" s="457"/>
      <c r="Y15" s="457"/>
      <c r="Z15" s="457"/>
      <c r="AA15" s="457"/>
      <c r="AB15" s="457"/>
      <c r="AC15" s="457"/>
      <c r="AD15" s="457"/>
      <c r="AE15" s="457"/>
      <c r="AF15" s="457"/>
    </row>
    <row r="16" spans="1:94">
      <c r="B16" s="460" t="s">
        <v>488</v>
      </c>
      <c r="C16" s="449" t="s">
        <v>489</v>
      </c>
      <c r="D16" s="449" t="s">
        <v>488</v>
      </c>
      <c r="E16" s="449" t="s">
        <v>489</v>
      </c>
      <c r="F16" s="449" t="s">
        <v>488</v>
      </c>
      <c r="G16" s="449" t="s">
        <v>489</v>
      </c>
      <c r="H16" s="449" t="s">
        <v>488</v>
      </c>
      <c r="I16" s="449" t="s">
        <v>489</v>
      </c>
      <c r="J16" s="449" t="s">
        <v>488</v>
      </c>
      <c r="K16" s="449" t="s">
        <v>489</v>
      </c>
      <c r="L16" s="449" t="s">
        <v>488</v>
      </c>
      <c r="M16" s="449" t="s">
        <v>489</v>
      </c>
      <c r="N16" s="449" t="s">
        <v>488</v>
      </c>
      <c r="O16" s="449" t="s">
        <v>489</v>
      </c>
      <c r="P16" s="449" t="s">
        <v>488</v>
      </c>
      <c r="Q16" s="449"/>
      <c r="R16" s="449"/>
      <c r="S16" s="449"/>
      <c r="T16" s="449"/>
      <c r="U16" s="449"/>
      <c r="V16" s="449"/>
      <c r="W16" s="449"/>
      <c r="X16" s="449"/>
      <c r="Y16" s="449"/>
      <c r="Z16" s="449"/>
      <c r="AA16" s="449"/>
      <c r="AB16" s="449"/>
      <c r="AC16" s="449"/>
      <c r="AD16" s="449"/>
      <c r="AE16" s="449"/>
      <c r="BK16" s="335"/>
    </row>
    <row r="17" spans="1:93" ht="14.25" thickBot="1">
      <c r="A17" t="s">
        <v>496</v>
      </c>
      <c r="B17" s="461">
        <f>'1月'!D405</f>
        <v>0</v>
      </c>
      <c r="C17" s="452">
        <f>'1月'!E405</f>
        <v>0</v>
      </c>
      <c r="D17" s="452">
        <f>'1月'!F405</f>
        <v>0</v>
      </c>
      <c r="E17" s="452">
        <f>'1月'!G405</f>
        <v>0</v>
      </c>
      <c r="F17" s="452">
        <f>'1月'!H405</f>
        <v>17</v>
      </c>
      <c r="G17" s="452">
        <f>'1月'!I405</f>
        <v>28</v>
      </c>
      <c r="H17" s="452">
        <f>'1月'!J405</f>
        <v>2</v>
      </c>
      <c r="I17" s="452">
        <f>'1月'!K405</f>
        <v>3</v>
      </c>
      <c r="J17" s="452">
        <f>'1月'!L405</f>
        <v>0</v>
      </c>
      <c r="K17" s="452">
        <f>'1月'!M405</f>
        <v>0</v>
      </c>
      <c r="L17" s="452">
        <f>'1月'!N405</f>
        <v>4</v>
      </c>
      <c r="M17" s="452">
        <f>'1月'!O405</f>
        <v>7</v>
      </c>
      <c r="N17" s="452">
        <f>'1月'!P405</f>
        <v>1</v>
      </c>
      <c r="O17" s="452">
        <f>'1月'!Q405</f>
        <v>1</v>
      </c>
      <c r="P17" s="452">
        <f>'1月'!R405</f>
        <v>8</v>
      </c>
      <c r="Q17" s="452">
        <f>'1月'!S405</f>
        <v>13</v>
      </c>
      <c r="R17" s="452">
        <f>'1月'!T405</f>
        <v>7</v>
      </c>
      <c r="S17" s="452">
        <f>'1月'!U405</f>
        <v>10</v>
      </c>
      <c r="T17" s="452">
        <f>'1月'!V405</f>
        <v>7</v>
      </c>
      <c r="U17" s="452">
        <f>'1月'!W405</f>
        <v>9</v>
      </c>
      <c r="V17" s="452">
        <f>'1月'!X405</f>
        <v>6</v>
      </c>
      <c r="W17" s="452">
        <f>'1月'!Y405</f>
        <v>10</v>
      </c>
      <c r="X17" s="452">
        <f>'1月'!Z405</f>
        <v>0</v>
      </c>
      <c r="Y17" s="452">
        <f>'1月'!AA405</f>
        <v>0</v>
      </c>
      <c r="Z17" s="452">
        <f>'1月'!AB405</f>
        <v>0</v>
      </c>
      <c r="AA17" s="452">
        <f>'1月'!AC405</f>
        <v>0</v>
      </c>
      <c r="AB17" s="452">
        <f>'1月'!AD405</f>
        <v>19</v>
      </c>
      <c r="AC17" s="452">
        <f>'1月'!AE405</f>
        <v>23</v>
      </c>
      <c r="AD17" s="452">
        <f>'1月'!AF405</f>
        <v>7</v>
      </c>
      <c r="AE17" s="452">
        <f>'1月'!AG405</f>
        <v>8</v>
      </c>
      <c r="AF17" s="455" t="e">
        <f>#REF!</f>
        <v>#REF!</v>
      </c>
      <c r="AG17" s="452" t="e">
        <f>#REF!</f>
        <v>#REF!</v>
      </c>
      <c r="AH17" s="452" t="e">
        <f>#REF!</f>
        <v>#REF!</v>
      </c>
      <c r="AI17" s="452" t="e">
        <f>#REF!</f>
        <v>#REF!</v>
      </c>
      <c r="AJ17" s="452" t="e">
        <f>#REF!</f>
        <v>#REF!</v>
      </c>
      <c r="AK17" s="452" t="e">
        <f>#REF!</f>
        <v>#REF!</v>
      </c>
      <c r="AL17" s="452" t="e">
        <f>#REF!</f>
        <v>#REF!</v>
      </c>
      <c r="AM17" s="452" t="e">
        <f>#REF!</f>
        <v>#REF!</v>
      </c>
      <c r="AN17" s="452" t="e">
        <f>#REF!</f>
        <v>#REF!</v>
      </c>
      <c r="AO17" s="452" t="e">
        <f>#REF!</f>
        <v>#REF!</v>
      </c>
      <c r="AP17" s="452" t="e">
        <f>#REF!</f>
        <v>#REF!</v>
      </c>
      <c r="AQ17" s="452" t="e">
        <f>#REF!</f>
        <v>#REF!</v>
      </c>
      <c r="AR17" s="452" t="e">
        <f>#REF!</f>
        <v>#REF!</v>
      </c>
      <c r="AS17" s="452" t="e">
        <f>#REF!</f>
        <v>#REF!</v>
      </c>
      <c r="AT17" s="452" t="e">
        <f>#REF!</f>
        <v>#REF!</v>
      </c>
      <c r="AU17" s="452" t="e">
        <f>#REF!</f>
        <v>#REF!</v>
      </c>
      <c r="AV17" s="452" t="e">
        <f>#REF!</f>
        <v>#REF!</v>
      </c>
      <c r="AW17" s="452" t="e">
        <f>#REF!</f>
        <v>#REF!</v>
      </c>
      <c r="AX17" s="452" t="e">
        <f>#REF!</f>
        <v>#REF!</v>
      </c>
      <c r="AY17" s="452" t="e">
        <f>#REF!</f>
        <v>#REF!</v>
      </c>
      <c r="AZ17" s="452" t="e">
        <f>#REF!</f>
        <v>#REF!</v>
      </c>
      <c r="BA17" s="452" t="e">
        <f>#REF!</f>
        <v>#REF!</v>
      </c>
      <c r="BB17" s="452" t="e">
        <f>#REF!</f>
        <v>#REF!</v>
      </c>
      <c r="BC17" s="452" t="e">
        <f>#REF!</f>
        <v>#REF!</v>
      </c>
      <c r="BD17" s="452" t="e">
        <f>#REF!</f>
        <v>#REF!</v>
      </c>
      <c r="BE17" s="452" t="e">
        <f>#REF!</f>
        <v>#REF!</v>
      </c>
      <c r="BF17" s="452" t="e">
        <f>#REF!</f>
        <v>#REF!</v>
      </c>
      <c r="BG17" s="452" t="e">
        <f>#REF!</f>
        <v>#REF!</v>
      </c>
      <c r="BH17" s="452" t="e">
        <f>#REF!</f>
        <v>#REF!</v>
      </c>
      <c r="BI17" s="452" t="e">
        <f>#REF!</f>
        <v>#REF!</v>
      </c>
      <c r="BJ17" s="452" t="e">
        <f>#REF!</f>
        <v>#REF!</v>
      </c>
      <c r="BK17" s="453" t="e">
        <f>#REF!</f>
        <v>#REF!</v>
      </c>
    </row>
    <row r="18" spans="1:93">
      <c r="C18" s="457"/>
      <c r="D18" s="457"/>
      <c r="E18" s="457"/>
      <c r="F18" s="457"/>
      <c r="G18" s="457"/>
      <c r="H18" s="457"/>
      <c r="I18" s="457"/>
      <c r="J18" s="457"/>
      <c r="K18" s="457"/>
      <c r="L18" s="457"/>
      <c r="M18" s="457"/>
      <c r="N18" s="457"/>
      <c r="O18" s="457"/>
      <c r="P18" s="457"/>
      <c r="Q18" s="457"/>
      <c r="R18" s="457"/>
      <c r="S18" s="457"/>
      <c r="T18" s="457"/>
      <c r="U18" s="457"/>
      <c r="V18" s="457"/>
      <c r="W18" s="457"/>
      <c r="X18" s="457"/>
      <c r="Y18" s="457"/>
      <c r="Z18" s="457"/>
      <c r="AA18" s="457"/>
      <c r="AB18" s="457"/>
      <c r="AC18" s="457"/>
      <c r="AD18" s="457"/>
      <c r="AE18" s="457"/>
      <c r="AF18" s="457"/>
      <c r="AG18" s="457"/>
    </row>
    <row r="19" spans="1:93" ht="14.25" thickBot="1">
      <c r="A19" t="s">
        <v>497</v>
      </c>
      <c r="B19" s="461">
        <f>'2月'!D405</f>
        <v>0</v>
      </c>
      <c r="C19" s="452">
        <f>'2月'!E405</f>
        <v>0</v>
      </c>
      <c r="D19" s="452">
        <f>'2月'!F405</f>
        <v>0</v>
      </c>
      <c r="E19" s="452">
        <f>'2月'!G405</f>
        <v>0</v>
      </c>
      <c r="F19" s="452">
        <f>'2月'!H405</f>
        <v>0</v>
      </c>
      <c r="G19" s="452">
        <f>'2月'!I405</f>
        <v>0</v>
      </c>
      <c r="H19" s="452">
        <f>'2月'!J405</f>
        <v>0</v>
      </c>
      <c r="I19" s="452">
        <f>'2月'!K405</f>
        <v>0</v>
      </c>
      <c r="J19" s="452">
        <f>'2月'!L405</f>
        <v>0</v>
      </c>
      <c r="K19" s="452">
        <f>'2月'!M405</f>
        <v>0</v>
      </c>
      <c r="L19" s="452">
        <f>'2月'!N405</f>
        <v>0</v>
      </c>
      <c r="M19" s="452">
        <f>'2月'!O405</f>
        <v>0</v>
      </c>
      <c r="N19" s="452">
        <f>'2月'!P405</f>
        <v>0</v>
      </c>
      <c r="O19" s="452">
        <f>'2月'!Q405</f>
        <v>0</v>
      </c>
      <c r="P19" s="452">
        <f>'2月'!R405</f>
        <v>0</v>
      </c>
      <c r="Q19" s="452">
        <f>'2月'!S405</f>
        <v>0</v>
      </c>
      <c r="R19" s="452">
        <f>'2月'!T405</f>
        <v>0</v>
      </c>
      <c r="S19" s="452">
        <f>'2月'!U405</f>
        <v>0</v>
      </c>
      <c r="T19" s="452">
        <f>'2月'!V405</f>
        <v>0</v>
      </c>
      <c r="U19" s="452">
        <f>'2月'!W405</f>
        <v>0</v>
      </c>
      <c r="V19" s="452">
        <f>'2月'!X405</f>
        <v>0</v>
      </c>
      <c r="W19" s="452">
        <f>'2月'!Y405</f>
        <v>0</v>
      </c>
      <c r="X19" s="452">
        <f>'2月'!Z405</f>
        <v>0</v>
      </c>
      <c r="Y19" s="452">
        <f>'2月'!AA405</f>
        <v>0</v>
      </c>
      <c r="Z19" s="452">
        <f>'2月'!AB405</f>
        <v>0</v>
      </c>
      <c r="AA19" s="452">
        <f>'2月'!AC405</f>
        <v>0</v>
      </c>
      <c r="AB19" s="452">
        <f>'2月'!AD405</f>
        <v>0</v>
      </c>
      <c r="AC19" s="452">
        <f>'2月'!AE405</f>
        <v>0</v>
      </c>
      <c r="AD19" s="452">
        <f>'2月'!AF405</f>
        <v>0</v>
      </c>
      <c r="AE19" s="452">
        <f>'2月'!AG405</f>
        <v>0</v>
      </c>
      <c r="AF19" s="455" t="e">
        <f>#REF!</f>
        <v>#REF!</v>
      </c>
      <c r="AG19" s="452" t="e">
        <f>#REF!</f>
        <v>#REF!</v>
      </c>
      <c r="AH19" s="452" t="e">
        <f>#REF!</f>
        <v>#REF!</v>
      </c>
      <c r="AI19" s="452" t="e">
        <f>#REF!</f>
        <v>#REF!</v>
      </c>
      <c r="AJ19" s="452" t="e">
        <f>#REF!</f>
        <v>#REF!</v>
      </c>
      <c r="AK19" s="452" t="e">
        <f>#REF!</f>
        <v>#REF!</v>
      </c>
      <c r="AL19" s="452" t="e">
        <f>#REF!</f>
        <v>#REF!</v>
      </c>
      <c r="AM19" s="452" t="e">
        <f>#REF!</f>
        <v>#REF!</v>
      </c>
      <c r="AN19" s="452" t="e">
        <f>#REF!</f>
        <v>#REF!</v>
      </c>
      <c r="AO19" s="452" t="e">
        <f>#REF!</f>
        <v>#REF!</v>
      </c>
      <c r="AP19" s="452" t="e">
        <f>#REF!</f>
        <v>#REF!</v>
      </c>
      <c r="AQ19" s="452" t="e">
        <f>#REF!</f>
        <v>#REF!</v>
      </c>
      <c r="AR19" s="452" t="e">
        <f>#REF!</f>
        <v>#REF!</v>
      </c>
      <c r="AS19" s="452" t="e">
        <f>#REF!</f>
        <v>#REF!</v>
      </c>
      <c r="AT19" s="452" t="e">
        <f>#REF!</f>
        <v>#REF!</v>
      </c>
      <c r="AU19" s="452" t="e">
        <f>#REF!</f>
        <v>#REF!</v>
      </c>
      <c r="AV19" s="452" t="e">
        <f>#REF!</f>
        <v>#REF!</v>
      </c>
      <c r="AW19" s="452" t="e">
        <f>#REF!</f>
        <v>#REF!</v>
      </c>
      <c r="AX19" s="452" t="e">
        <f>#REF!</f>
        <v>#REF!</v>
      </c>
      <c r="AY19" s="452" t="e">
        <f>#REF!</f>
        <v>#REF!</v>
      </c>
      <c r="AZ19" s="452" t="e">
        <f>#REF!</f>
        <v>#REF!</v>
      </c>
      <c r="BA19" s="452" t="e">
        <f>#REF!</f>
        <v>#REF!</v>
      </c>
      <c r="BB19" s="452" t="e">
        <f>#REF!</f>
        <v>#REF!</v>
      </c>
      <c r="BC19" s="452" t="e">
        <f>#REF!</f>
        <v>#REF!</v>
      </c>
      <c r="BD19" s="452" t="e">
        <f>#REF!</f>
        <v>#REF!</v>
      </c>
      <c r="BE19" s="452" t="e">
        <f>#REF!</f>
        <v>#REF!</v>
      </c>
      <c r="BF19" s="452" t="e">
        <f>#REF!</f>
        <v>#REF!</v>
      </c>
      <c r="BG19" s="452" t="e">
        <f>#REF!</f>
        <v>#REF!</v>
      </c>
      <c r="BH19" s="452" t="e">
        <f>#REF!</f>
        <v>#REF!</v>
      </c>
      <c r="BI19" s="452" t="e">
        <f>#REF!</f>
        <v>#REF!</v>
      </c>
      <c r="BJ19" s="452" t="e">
        <f>#REF!</f>
        <v>#REF!</v>
      </c>
      <c r="BK19" s="453" t="e">
        <f>#REF!</f>
        <v>#REF!</v>
      </c>
    </row>
    <row r="20" spans="1:93">
      <c r="B20" s="105"/>
      <c r="BK20" s="335"/>
    </row>
    <row r="21" spans="1:93" ht="14.25" thickBot="1">
      <c r="A21" t="s">
        <v>498</v>
      </c>
      <c r="B21" s="461">
        <f>'3月'!D405</f>
        <v>0</v>
      </c>
      <c r="C21" s="452">
        <f>'3月'!E405</f>
        <v>0</v>
      </c>
      <c r="D21" s="452">
        <f>'3月'!F405</f>
        <v>0</v>
      </c>
      <c r="E21" s="452">
        <f>'3月'!G405</f>
        <v>0</v>
      </c>
      <c r="F21" s="452">
        <f>'3月'!H405</f>
        <v>0</v>
      </c>
      <c r="G21" s="452">
        <f>'3月'!I405</f>
        <v>0</v>
      </c>
      <c r="H21" s="452">
        <f>'3月'!J405</f>
        <v>0</v>
      </c>
      <c r="I21" s="452">
        <f>'3月'!K405</f>
        <v>0</v>
      </c>
      <c r="J21" s="452">
        <f>'3月'!L405</f>
        <v>0</v>
      </c>
      <c r="K21" s="452">
        <f>'3月'!M405</f>
        <v>0</v>
      </c>
      <c r="L21" s="452">
        <f>'3月'!N405</f>
        <v>0</v>
      </c>
      <c r="M21" s="452">
        <f>'3月'!O405</f>
        <v>0</v>
      </c>
      <c r="N21" s="452">
        <f>'3月'!P405</f>
        <v>0</v>
      </c>
      <c r="O21" s="452">
        <f>'3月'!Q405</f>
        <v>0</v>
      </c>
      <c r="P21" s="452">
        <f>'3月'!R405</f>
        <v>0</v>
      </c>
      <c r="Q21" s="452">
        <f>'3月'!S405</f>
        <v>0</v>
      </c>
      <c r="R21" s="452">
        <f>'3月'!T405</f>
        <v>0</v>
      </c>
      <c r="S21" s="452">
        <f>'3月'!U405</f>
        <v>0</v>
      </c>
      <c r="T21" s="452">
        <f>'3月'!V405</f>
        <v>0</v>
      </c>
      <c r="U21" s="452">
        <f>'3月'!W405</f>
        <v>0</v>
      </c>
      <c r="V21" s="452">
        <f>'3月'!X405</f>
        <v>0</v>
      </c>
      <c r="W21" s="452">
        <f>'3月'!Y405</f>
        <v>0</v>
      </c>
      <c r="X21" s="452">
        <f>'3月'!Z405</f>
        <v>0</v>
      </c>
      <c r="Y21" s="452">
        <f>'3月'!AA405</f>
        <v>0</v>
      </c>
      <c r="Z21" s="452">
        <f>'3月'!AB405</f>
        <v>0</v>
      </c>
      <c r="AA21" s="452">
        <f>'3月'!AC405</f>
        <v>0</v>
      </c>
      <c r="AB21" s="452">
        <f>'3月'!AD405</f>
        <v>0</v>
      </c>
      <c r="AC21" s="452">
        <f>'3月'!AE405</f>
        <v>0</v>
      </c>
      <c r="AD21" s="452">
        <f>'3月'!AF405</f>
        <v>0</v>
      </c>
      <c r="AE21" s="452">
        <f>'3月'!AG405</f>
        <v>0</v>
      </c>
      <c r="AF21" s="455" t="e">
        <f>#REF!</f>
        <v>#REF!</v>
      </c>
      <c r="AG21" s="452" t="e">
        <f>#REF!</f>
        <v>#REF!</v>
      </c>
      <c r="AH21" s="452" t="e">
        <f>#REF!</f>
        <v>#REF!</v>
      </c>
      <c r="AI21" s="452" t="e">
        <f>#REF!</f>
        <v>#REF!</v>
      </c>
      <c r="AJ21" s="452" t="e">
        <f>#REF!</f>
        <v>#REF!</v>
      </c>
      <c r="AK21" s="452" t="e">
        <f>#REF!</f>
        <v>#REF!</v>
      </c>
      <c r="AL21" s="452" t="e">
        <f>#REF!</f>
        <v>#REF!</v>
      </c>
      <c r="AM21" s="452" t="e">
        <f>#REF!</f>
        <v>#REF!</v>
      </c>
      <c r="AN21" s="452" t="e">
        <f>#REF!</f>
        <v>#REF!</v>
      </c>
      <c r="AO21" s="452" t="e">
        <f>#REF!</f>
        <v>#REF!</v>
      </c>
      <c r="AP21" s="452" t="e">
        <f>#REF!</f>
        <v>#REF!</v>
      </c>
      <c r="AQ21" s="452" t="e">
        <f>#REF!</f>
        <v>#REF!</v>
      </c>
      <c r="AR21" s="452" t="e">
        <f>#REF!</f>
        <v>#REF!</v>
      </c>
      <c r="AS21" s="452" t="e">
        <f>#REF!</f>
        <v>#REF!</v>
      </c>
      <c r="AT21" s="452" t="e">
        <f>#REF!</f>
        <v>#REF!</v>
      </c>
      <c r="AU21" s="452" t="e">
        <f>#REF!</f>
        <v>#REF!</v>
      </c>
      <c r="AV21" s="452" t="e">
        <f>#REF!</f>
        <v>#REF!</v>
      </c>
      <c r="AW21" s="452" t="e">
        <f>#REF!</f>
        <v>#REF!</v>
      </c>
      <c r="AX21" s="452" t="e">
        <f>#REF!</f>
        <v>#REF!</v>
      </c>
      <c r="AY21" s="452" t="e">
        <f>#REF!</f>
        <v>#REF!</v>
      </c>
      <c r="AZ21" s="452" t="e">
        <f>#REF!</f>
        <v>#REF!</v>
      </c>
      <c r="BA21" s="452" t="e">
        <f>#REF!</f>
        <v>#REF!</v>
      </c>
      <c r="BB21" s="452" t="e">
        <f>#REF!</f>
        <v>#REF!</v>
      </c>
      <c r="BC21" s="452" t="e">
        <f>#REF!</f>
        <v>#REF!</v>
      </c>
      <c r="BD21" s="452" t="e">
        <f>#REF!</f>
        <v>#REF!</v>
      </c>
      <c r="BE21" s="452" t="e">
        <f>#REF!</f>
        <v>#REF!</v>
      </c>
      <c r="BF21" s="452" t="e">
        <f>#REF!</f>
        <v>#REF!</v>
      </c>
      <c r="BG21" s="452" t="e">
        <f>#REF!</f>
        <v>#REF!</v>
      </c>
      <c r="BH21" s="452" t="e">
        <f>#REF!</f>
        <v>#REF!</v>
      </c>
      <c r="BI21" s="452" t="e">
        <f>#REF!</f>
        <v>#REF!</v>
      </c>
      <c r="BJ21" s="452" t="e">
        <f>#REF!</f>
        <v>#REF!</v>
      </c>
      <c r="BK21" s="453" t="e">
        <f>#REF!</f>
        <v>#REF!</v>
      </c>
    </row>
    <row r="22" spans="1:93" ht="14.25" thickBot="1">
      <c r="B22" s="457"/>
      <c r="C22" s="457"/>
      <c r="D22" s="457"/>
      <c r="E22" s="457"/>
      <c r="F22" s="457"/>
      <c r="G22" s="457"/>
      <c r="H22" s="457"/>
      <c r="I22" s="457"/>
      <c r="J22" s="457"/>
      <c r="K22" s="457"/>
      <c r="L22" s="457"/>
      <c r="M22" s="457"/>
      <c r="N22" s="457"/>
      <c r="O22" s="457"/>
      <c r="P22" s="457"/>
      <c r="Q22" s="457"/>
      <c r="R22" s="457"/>
      <c r="S22" s="457"/>
      <c r="T22" s="457"/>
      <c r="U22" s="457"/>
      <c r="V22" s="457"/>
      <c r="W22" s="457"/>
      <c r="X22" s="457"/>
      <c r="Y22" s="457"/>
      <c r="Z22" s="457"/>
      <c r="AA22" s="457"/>
      <c r="AB22" s="457"/>
      <c r="AC22" s="457"/>
      <c r="AD22" s="457"/>
      <c r="AE22" s="457"/>
      <c r="AF22" s="457"/>
    </row>
    <row r="23" spans="1:93">
      <c r="A23" s="448" t="s">
        <v>486</v>
      </c>
      <c r="B23" s="454">
        <v>45474</v>
      </c>
      <c r="C23" s="449">
        <v>45475</v>
      </c>
      <c r="D23" s="449">
        <v>45476</v>
      </c>
      <c r="E23" s="449">
        <v>45477</v>
      </c>
      <c r="F23" s="449">
        <v>45478</v>
      </c>
      <c r="G23" s="449">
        <v>45479</v>
      </c>
      <c r="H23" s="449">
        <v>45480</v>
      </c>
      <c r="I23" s="449">
        <v>45481</v>
      </c>
      <c r="J23" s="449">
        <v>45482</v>
      </c>
      <c r="K23" s="449">
        <v>45483</v>
      </c>
      <c r="L23" s="449">
        <v>45484</v>
      </c>
      <c r="M23" s="449">
        <v>45485</v>
      </c>
      <c r="N23" s="449">
        <v>45486</v>
      </c>
      <c r="O23" s="449">
        <v>45487</v>
      </c>
      <c r="P23" s="449">
        <v>45488</v>
      </c>
      <c r="Q23" s="449">
        <v>45489</v>
      </c>
      <c r="R23" s="449">
        <v>45490</v>
      </c>
      <c r="S23" s="449">
        <v>45491</v>
      </c>
      <c r="T23" s="449">
        <v>45492</v>
      </c>
      <c r="U23" s="449">
        <v>45493</v>
      </c>
      <c r="V23" s="449">
        <v>45494</v>
      </c>
      <c r="W23" s="449">
        <v>45495</v>
      </c>
      <c r="X23" s="449">
        <v>45496</v>
      </c>
      <c r="Y23" s="449">
        <v>45497</v>
      </c>
      <c r="Z23" s="449">
        <v>45498</v>
      </c>
      <c r="AA23" s="449">
        <v>45499</v>
      </c>
      <c r="AB23" s="449">
        <v>45500</v>
      </c>
      <c r="AC23" s="449">
        <v>45501</v>
      </c>
      <c r="AD23" s="449">
        <v>45502</v>
      </c>
      <c r="AE23" s="449">
        <v>45503</v>
      </c>
      <c r="AF23" s="449">
        <v>45504</v>
      </c>
      <c r="AG23" s="454">
        <v>45505</v>
      </c>
      <c r="AH23" s="449">
        <v>45506</v>
      </c>
      <c r="AI23" s="449">
        <v>45507</v>
      </c>
      <c r="AJ23" s="449">
        <v>45508</v>
      </c>
      <c r="AK23" s="449">
        <v>45509</v>
      </c>
      <c r="AL23" s="449">
        <v>45510</v>
      </c>
      <c r="AM23" s="449">
        <v>45511</v>
      </c>
      <c r="AN23" s="449">
        <v>45512</v>
      </c>
      <c r="AO23" s="449">
        <v>45513</v>
      </c>
      <c r="AP23" s="449">
        <v>45514</v>
      </c>
      <c r="AQ23" s="449">
        <v>45515</v>
      </c>
      <c r="AR23" s="449">
        <v>45516</v>
      </c>
      <c r="AS23" s="449">
        <v>45517</v>
      </c>
      <c r="AT23" s="449">
        <v>45518</v>
      </c>
      <c r="AU23" s="449">
        <v>45519</v>
      </c>
      <c r="AV23" s="449">
        <v>45520</v>
      </c>
      <c r="AW23" s="449">
        <v>45521</v>
      </c>
      <c r="AX23" s="449">
        <v>45522</v>
      </c>
      <c r="AY23" s="449">
        <v>45523</v>
      </c>
      <c r="AZ23" s="449">
        <v>45524</v>
      </c>
      <c r="BA23" s="449">
        <v>45525</v>
      </c>
      <c r="BB23" s="449">
        <v>45526</v>
      </c>
      <c r="BC23" s="449">
        <v>45527</v>
      </c>
      <c r="BD23" s="449">
        <v>45528</v>
      </c>
      <c r="BE23" s="449">
        <v>45529</v>
      </c>
      <c r="BF23" s="449">
        <v>45530</v>
      </c>
      <c r="BG23" s="449">
        <v>45531</v>
      </c>
      <c r="BH23" s="449">
        <v>45532</v>
      </c>
      <c r="BI23" s="449">
        <v>45533</v>
      </c>
      <c r="BJ23" s="449">
        <v>45534</v>
      </c>
      <c r="BK23" s="449">
        <v>45535</v>
      </c>
      <c r="BL23" s="454">
        <v>45536</v>
      </c>
      <c r="BM23" s="449">
        <v>45537</v>
      </c>
      <c r="BN23" s="449">
        <v>45538</v>
      </c>
      <c r="BO23" s="449">
        <v>45539</v>
      </c>
      <c r="BP23" s="449">
        <v>45540</v>
      </c>
      <c r="BQ23" s="449">
        <v>45541</v>
      </c>
      <c r="BR23" s="449">
        <v>45542</v>
      </c>
      <c r="BS23" s="449">
        <v>45543</v>
      </c>
      <c r="BT23" s="449">
        <v>45544</v>
      </c>
      <c r="BU23" s="449">
        <v>45545</v>
      </c>
      <c r="BV23" s="449">
        <v>45546</v>
      </c>
      <c r="BW23" s="449">
        <v>45547</v>
      </c>
      <c r="BX23" s="449">
        <v>45548</v>
      </c>
      <c r="BY23" s="449">
        <v>45549</v>
      </c>
      <c r="BZ23" s="449">
        <v>45550</v>
      </c>
      <c r="CA23" s="449">
        <v>45551</v>
      </c>
      <c r="CB23" s="449">
        <v>45552</v>
      </c>
      <c r="CC23" s="449">
        <v>45553</v>
      </c>
      <c r="CD23" s="449">
        <v>45554</v>
      </c>
      <c r="CE23" s="449">
        <v>45555</v>
      </c>
      <c r="CF23" s="449">
        <v>45556</v>
      </c>
      <c r="CG23" s="449">
        <v>45557</v>
      </c>
      <c r="CH23" s="449">
        <v>45558</v>
      </c>
      <c r="CI23" s="449">
        <v>45559</v>
      </c>
      <c r="CJ23" s="449">
        <v>45560</v>
      </c>
      <c r="CK23" s="449">
        <v>45561</v>
      </c>
      <c r="CL23" s="449">
        <v>45562</v>
      </c>
      <c r="CM23" s="449">
        <v>45563</v>
      </c>
      <c r="CN23" s="449">
        <v>45564</v>
      </c>
      <c r="CO23" s="450">
        <v>45565</v>
      </c>
    </row>
    <row r="24" spans="1:93" ht="14.25" thickBot="1">
      <c r="A24" s="451" t="s">
        <v>72</v>
      </c>
      <c r="B24" s="458" cm="1">
        <f t="array" aca="1" ref="B24" ca="1">INDIRECT(ADDRESS(ROW($A$17),(COLUMN(A17)*2),1))</f>
        <v>0</v>
      </c>
      <c r="C24" s="459" cm="1">
        <f t="array" aca="1" ref="C24" ca="1">INDIRECT(ADDRESS(ROW($A$17),(COLUMN(B17)*2),1))</f>
        <v>0</v>
      </c>
      <c r="D24" s="459" cm="1">
        <f t="array" aca="1" ref="D24" ca="1">INDIRECT(ADDRESS(ROW($A$17),(COLUMN(C17)*2),1))</f>
        <v>17</v>
      </c>
      <c r="E24" s="459" cm="1">
        <f t="array" aca="1" ref="E24" ca="1">INDIRECT(ADDRESS(ROW($A$17),(COLUMN(D17)*2),1))</f>
        <v>2</v>
      </c>
      <c r="F24" s="459" cm="1">
        <f t="array" aca="1" ref="F24" ca="1">INDIRECT(ADDRESS(ROW($A$17),(COLUMN(E17)*2),1))</f>
        <v>0</v>
      </c>
      <c r="G24" s="459" cm="1">
        <f t="array" aca="1" ref="G24" ca="1">INDIRECT(ADDRESS(ROW($A$17),(COLUMN(F17)*2),1))</f>
        <v>4</v>
      </c>
      <c r="H24" s="459" cm="1">
        <f t="array" aca="1" ref="H24" ca="1">INDIRECT(ADDRESS(ROW($A$17),(COLUMN(G17)*2),1))</f>
        <v>1</v>
      </c>
      <c r="I24" s="459" cm="1">
        <f t="array" aca="1" ref="I24" ca="1">INDIRECT(ADDRESS(ROW($A$17),(COLUMN(H17)*2),1))</f>
        <v>8</v>
      </c>
      <c r="J24" s="459" cm="1">
        <f t="array" aca="1" ref="J24" ca="1">INDIRECT(ADDRESS(ROW($A$17),(COLUMN(I17)*2),1))</f>
        <v>7</v>
      </c>
      <c r="K24" s="459" cm="1">
        <f t="array" aca="1" ref="K24" ca="1">INDIRECT(ADDRESS(ROW($A$17),(COLUMN(J17)*2),1))</f>
        <v>7</v>
      </c>
      <c r="L24" s="459" cm="1">
        <f t="array" aca="1" ref="L24" ca="1">INDIRECT(ADDRESS(ROW($A$17),(COLUMN(K17)*2),1))</f>
        <v>6</v>
      </c>
      <c r="M24" s="459" cm="1">
        <f t="array" aca="1" ref="M24" ca="1">INDIRECT(ADDRESS(ROW($A$17),(COLUMN(L17)*2),1))</f>
        <v>0</v>
      </c>
      <c r="N24" s="459" cm="1">
        <f t="array" aca="1" ref="N24" ca="1">INDIRECT(ADDRESS(ROW($A$17),(COLUMN(M17)*2),1))</f>
        <v>0</v>
      </c>
      <c r="O24" s="459" cm="1">
        <f t="array" aca="1" ref="O24" ca="1">INDIRECT(ADDRESS(ROW($A$17),(COLUMN(N17)*2),1))</f>
        <v>19</v>
      </c>
      <c r="P24" s="459" cm="1">
        <f t="array" aca="1" ref="P24" ca="1">INDIRECT(ADDRESS(ROW($A$17),(COLUMN(O17)*2),1))</f>
        <v>7</v>
      </c>
      <c r="Q24" s="459" t="e" cm="1">
        <f t="array" aca="1" ref="Q24" ca="1">INDIRECT(ADDRESS(ROW($A$17),(COLUMN(P17)*2),1))</f>
        <v>#REF!</v>
      </c>
      <c r="R24" s="459" t="e" cm="1">
        <f t="array" aca="1" ref="R24" ca="1">INDIRECT(ADDRESS(ROW($A$17),(COLUMN(Q17)*2),1))</f>
        <v>#REF!</v>
      </c>
      <c r="S24" s="459" t="e" cm="1">
        <f t="array" aca="1" ref="S24" ca="1">INDIRECT(ADDRESS(ROW($A$17),(COLUMN(R17)*2),1))</f>
        <v>#REF!</v>
      </c>
      <c r="T24" s="459" t="e" cm="1">
        <f t="array" aca="1" ref="T24" ca="1">INDIRECT(ADDRESS(ROW($A$17),(COLUMN(S17)*2),1))</f>
        <v>#REF!</v>
      </c>
      <c r="U24" s="459" t="e" cm="1">
        <f t="array" aca="1" ref="U24" ca="1">INDIRECT(ADDRESS(ROW($A$17),(COLUMN(T17)*2),1))</f>
        <v>#REF!</v>
      </c>
      <c r="V24" s="459" t="e" cm="1">
        <f t="array" aca="1" ref="V24" ca="1">INDIRECT(ADDRESS(ROW($A$17),(COLUMN(U17)*2),1))</f>
        <v>#REF!</v>
      </c>
      <c r="W24" s="459" t="e" cm="1">
        <f t="array" aca="1" ref="W24" ca="1">INDIRECT(ADDRESS(ROW($A$17),(COLUMN(V17)*2),1))</f>
        <v>#REF!</v>
      </c>
      <c r="X24" s="459" t="e" cm="1">
        <f t="array" aca="1" ref="X24" ca="1">INDIRECT(ADDRESS(ROW($A$17),(COLUMN(W17)*2),1))</f>
        <v>#REF!</v>
      </c>
      <c r="Y24" s="459" t="e" cm="1">
        <f t="array" aca="1" ref="Y24" ca="1">INDIRECT(ADDRESS(ROW($A$17),(COLUMN(X17)*2),1))</f>
        <v>#REF!</v>
      </c>
      <c r="Z24" s="459" t="e" cm="1">
        <f t="array" aca="1" ref="Z24" ca="1">INDIRECT(ADDRESS(ROW($A$17),(COLUMN(Y17)*2),1))</f>
        <v>#REF!</v>
      </c>
      <c r="AA24" s="459" t="e" cm="1">
        <f t="array" aca="1" ref="AA24" ca="1">INDIRECT(ADDRESS(ROW($A$17),(COLUMN(Z17)*2),1))</f>
        <v>#REF!</v>
      </c>
      <c r="AB24" s="459" t="e" cm="1">
        <f t="array" aca="1" ref="AB24" ca="1">INDIRECT(ADDRESS(ROW($A$17),(COLUMN(AA17)*2),1))</f>
        <v>#REF!</v>
      </c>
      <c r="AC24" s="459" t="e" cm="1">
        <f t="array" aca="1" ref="AC24" ca="1">INDIRECT(ADDRESS(ROW($A$17),(COLUMN(AB17)*2),1))</f>
        <v>#REF!</v>
      </c>
      <c r="AD24" s="459" t="e" cm="1">
        <f t="array" aca="1" ref="AD24" ca="1">INDIRECT(ADDRESS(ROW($A$17),(COLUMN(AC17)*2),1))</f>
        <v>#REF!</v>
      </c>
      <c r="AE24" s="459" t="e" cm="1">
        <f t="array" aca="1" ref="AE24" ca="1">INDIRECT(ADDRESS(ROW($A$17),(COLUMN(AD17)*2),1))</f>
        <v>#REF!</v>
      </c>
      <c r="AF24" s="459" t="e" cm="1">
        <f t="array" aca="1" ref="AF24" ca="1">INDIRECT(ADDRESS(ROW($A$17),(COLUMN(AE17)*2),1))</f>
        <v>#REF!</v>
      </c>
      <c r="AG24" s="455" cm="1">
        <f t="array" aca="1" ref="AG24" ca="1">INDIRECT(ADDRESS(ROW($A$19),(COLUMN(A19)*2),1))</f>
        <v>0</v>
      </c>
      <c r="AH24" s="452" cm="1">
        <f t="array" aca="1" ref="AH24" ca="1">INDIRECT(ADDRESS(ROW($A$19),(COLUMN(B19)*2),1))</f>
        <v>0</v>
      </c>
      <c r="AI24" s="452" cm="1">
        <f t="array" aca="1" ref="AI24" ca="1">INDIRECT(ADDRESS(ROW($A$19),(COLUMN(C19)*2),1))</f>
        <v>0</v>
      </c>
      <c r="AJ24" s="452" cm="1">
        <f t="array" aca="1" ref="AJ24" ca="1">INDIRECT(ADDRESS(ROW($A$19),(COLUMN(D19)*2),1))</f>
        <v>0</v>
      </c>
      <c r="AK24" s="452" cm="1">
        <f t="array" aca="1" ref="AK24" ca="1">INDIRECT(ADDRESS(ROW($A$19),(COLUMN(E19)*2),1))</f>
        <v>0</v>
      </c>
      <c r="AL24" s="452" cm="1">
        <f t="array" aca="1" ref="AL24" ca="1">INDIRECT(ADDRESS(ROW($A$19),(COLUMN(F19)*2),1))</f>
        <v>0</v>
      </c>
      <c r="AM24" s="452" cm="1">
        <f t="array" aca="1" ref="AM24" ca="1">INDIRECT(ADDRESS(ROW($A$19),(COLUMN(G19)*2),1))</f>
        <v>0</v>
      </c>
      <c r="AN24" s="452" cm="1">
        <f t="array" aca="1" ref="AN24" ca="1">INDIRECT(ADDRESS(ROW($A$19),(COLUMN(H19)*2),1))</f>
        <v>0</v>
      </c>
      <c r="AO24" s="452" cm="1">
        <f t="array" aca="1" ref="AO24" ca="1">INDIRECT(ADDRESS(ROW($A$19),(COLUMN(I19)*2),1))</f>
        <v>0</v>
      </c>
      <c r="AP24" s="452" cm="1">
        <f t="array" aca="1" ref="AP24" ca="1">INDIRECT(ADDRESS(ROW($A$19),(COLUMN(J19)*2),1))</f>
        <v>0</v>
      </c>
      <c r="AQ24" s="452" cm="1">
        <f t="array" aca="1" ref="AQ24" ca="1">INDIRECT(ADDRESS(ROW($A$19),(COLUMN(K19)*2),1))</f>
        <v>0</v>
      </c>
      <c r="AR24" s="452" cm="1">
        <f t="array" aca="1" ref="AR24" ca="1">INDIRECT(ADDRESS(ROW($A$19),(COLUMN(L19)*2),1))</f>
        <v>0</v>
      </c>
      <c r="AS24" s="452" cm="1">
        <f t="array" aca="1" ref="AS24" ca="1">INDIRECT(ADDRESS(ROW($A$19),(COLUMN(M19)*2),1))</f>
        <v>0</v>
      </c>
      <c r="AT24" s="452" cm="1">
        <f t="array" aca="1" ref="AT24" ca="1">INDIRECT(ADDRESS(ROW($A$19),(COLUMN(N19)*2),1))</f>
        <v>0</v>
      </c>
      <c r="AU24" s="452" cm="1">
        <f t="array" aca="1" ref="AU24" ca="1">INDIRECT(ADDRESS(ROW($A$19),(COLUMN(O19)*2),1))</f>
        <v>0</v>
      </c>
      <c r="AV24" s="452" t="e" cm="1">
        <f t="array" aca="1" ref="AV24" ca="1">INDIRECT(ADDRESS(ROW($A$19),(COLUMN(P19)*2),1))</f>
        <v>#REF!</v>
      </c>
      <c r="AW24" s="452" t="e" cm="1">
        <f t="array" aca="1" ref="AW24" ca="1">INDIRECT(ADDRESS(ROW($A$19),(COLUMN(Q19)*2),1))</f>
        <v>#REF!</v>
      </c>
      <c r="AX24" s="452" t="e" cm="1">
        <f t="array" aca="1" ref="AX24" ca="1">INDIRECT(ADDRESS(ROW($A$19),(COLUMN(R19)*2),1))</f>
        <v>#REF!</v>
      </c>
      <c r="AY24" s="452" t="e" cm="1">
        <f t="array" aca="1" ref="AY24" ca="1">INDIRECT(ADDRESS(ROW($A$19),(COLUMN(S19)*2),1))</f>
        <v>#REF!</v>
      </c>
      <c r="AZ24" s="452" t="e" cm="1">
        <f t="array" aca="1" ref="AZ24" ca="1">INDIRECT(ADDRESS(ROW($A$19),(COLUMN(T19)*2),1))</f>
        <v>#REF!</v>
      </c>
      <c r="BA24" s="452" t="e" cm="1">
        <f t="array" aca="1" ref="BA24" ca="1">INDIRECT(ADDRESS(ROW($A$19),(COLUMN(U19)*2),1))</f>
        <v>#REF!</v>
      </c>
      <c r="BB24" s="452" t="e" cm="1">
        <f t="array" aca="1" ref="BB24" ca="1">INDIRECT(ADDRESS(ROW($A$19),(COLUMN(V19)*2),1))</f>
        <v>#REF!</v>
      </c>
      <c r="BC24" s="452" t="e" cm="1">
        <f t="array" aca="1" ref="BC24" ca="1">INDIRECT(ADDRESS(ROW($A$19),(COLUMN(W19)*2),1))</f>
        <v>#REF!</v>
      </c>
      <c r="BD24" s="452" t="e" cm="1">
        <f t="array" aca="1" ref="BD24" ca="1">INDIRECT(ADDRESS(ROW($A$19),(COLUMN(X19)*2),1))</f>
        <v>#REF!</v>
      </c>
      <c r="BE24" s="452" t="e" cm="1">
        <f t="array" aca="1" ref="BE24" ca="1">INDIRECT(ADDRESS(ROW($A$19),(COLUMN(Y19)*2),1))</f>
        <v>#REF!</v>
      </c>
      <c r="BF24" s="452" t="e" cm="1">
        <f t="array" aca="1" ref="BF24" ca="1">INDIRECT(ADDRESS(ROW($A$19),(COLUMN(Z19)*2),1))</f>
        <v>#REF!</v>
      </c>
      <c r="BG24" s="452" t="e" cm="1">
        <f t="array" aca="1" ref="BG24" ca="1">INDIRECT(ADDRESS(ROW($A$19),(COLUMN(AA19)*2),1))</f>
        <v>#REF!</v>
      </c>
      <c r="BH24" s="452" t="e" cm="1">
        <f t="array" aca="1" ref="BH24" ca="1">INDIRECT(ADDRESS(ROW($A$19),(COLUMN(AB19)*2),1))</f>
        <v>#REF!</v>
      </c>
      <c r="BI24" s="452" t="e" cm="1">
        <f t="array" aca="1" ref="BI24" ca="1">INDIRECT(ADDRESS(ROW($A$19),(COLUMN(AC19)*2),1))</f>
        <v>#REF!</v>
      </c>
      <c r="BJ24" s="452" t="e" cm="1">
        <f t="array" aca="1" ref="BJ24" ca="1">INDIRECT(ADDRESS(ROW($A$19),(COLUMN(AD19)*2),1))</f>
        <v>#REF!</v>
      </c>
      <c r="BK24" s="452" t="e" cm="1">
        <f t="array" aca="1" ref="BK24" ca="1">INDIRECT(ADDRESS(ROW($A$19),(COLUMN(AE19)*2),1))</f>
        <v>#REF!</v>
      </c>
      <c r="BL24" s="455" cm="1">
        <f t="array" aca="1" ref="BL24" ca="1">INDIRECT(ADDRESS(ROW($A$21),(COLUMN(A21)*2),1))</f>
        <v>0</v>
      </c>
      <c r="BM24" s="452" cm="1">
        <f t="array" aca="1" ref="BM24" ca="1">INDIRECT(ADDRESS(ROW($A$21),(COLUMN(B21)*2),1))</f>
        <v>0</v>
      </c>
      <c r="BN24" s="452" cm="1">
        <f t="array" aca="1" ref="BN24" ca="1">INDIRECT(ADDRESS(ROW($A$21),(COLUMN(C21)*2),1))</f>
        <v>0</v>
      </c>
      <c r="BO24" s="452" cm="1">
        <f t="array" aca="1" ref="BO24" ca="1">INDIRECT(ADDRESS(ROW($A$21),(COLUMN(D21)*2),1))</f>
        <v>0</v>
      </c>
      <c r="BP24" s="452" cm="1">
        <f t="array" aca="1" ref="BP24" ca="1">INDIRECT(ADDRESS(ROW($A$21),(COLUMN(E21)*2),1))</f>
        <v>0</v>
      </c>
      <c r="BQ24" s="452" cm="1">
        <f t="array" aca="1" ref="BQ24" ca="1">INDIRECT(ADDRESS(ROW($A$21),(COLUMN(F21)*2),1))</f>
        <v>0</v>
      </c>
      <c r="BR24" s="452" cm="1">
        <f t="array" aca="1" ref="BR24" ca="1">INDIRECT(ADDRESS(ROW($A$21),(COLUMN(G21)*2),1))</f>
        <v>0</v>
      </c>
      <c r="BS24" s="452" cm="1">
        <f t="array" aca="1" ref="BS24" ca="1">INDIRECT(ADDRESS(ROW($A$21),(COLUMN(H21)*2),1))</f>
        <v>0</v>
      </c>
      <c r="BT24" s="452" cm="1">
        <f t="array" aca="1" ref="BT24" ca="1">INDIRECT(ADDRESS(ROW($A$21),(COLUMN(I21)*2),1))</f>
        <v>0</v>
      </c>
      <c r="BU24" s="452" cm="1">
        <f t="array" aca="1" ref="BU24" ca="1">INDIRECT(ADDRESS(ROW($A$21),(COLUMN(J21)*2),1))</f>
        <v>0</v>
      </c>
      <c r="BV24" s="452" cm="1">
        <f t="array" aca="1" ref="BV24" ca="1">INDIRECT(ADDRESS(ROW($A$21),(COLUMN(K21)*2),1))</f>
        <v>0</v>
      </c>
      <c r="BW24" s="452" cm="1">
        <f t="array" aca="1" ref="BW24" ca="1">INDIRECT(ADDRESS(ROW($A$21),(COLUMN(L21)*2),1))</f>
        <v>0</v>
      </c>
      <c r="BX24" s="452" cm="1">
        <f t="array" aca="1" ref="BX24" ca="1">INDIRECT(ADDRESS(ROW($A$21),(COLUMN(M21)*2),1))</f>
        <v>0</v>
      </c>
      <c r="BY24" s="452" cm="1">
        <f t="array" aca="1" ref="BY24" ca="1">INDIRECT(ADDRESS(ROW($A$21),(COLUMN(N21)*2),1))</f>
        <v>0</v>
      </c>
      <c r="BZ24" s="452" cm="1">
        <f t="array" aca="1" ref="BZ24" ca="1">INDIRECT(ADDRESS(ROW($A$21),(COLUMN(O21)*2),1))</f>
        <v>0</v>
      </c>
      <c r="CA24" s="452" t="e" cm="1">
        <f t="array" aca="1" ref="CA24" ca="1">INDIRECT(ADDRESS(ROW($A$21),(COLUMN(P21)*2),1))</f>
        <v>#REF!</v>
      </c>
      <c r="CB24" s="452" t="e" cm="1">
        <f t="array" aca="1" ref="CB24" ca="1">INDIRECT(ADDRESS(ROW($A$21),(COLUMN(Q21)*2),1))</f>
        <v>#REF!</v>
      </c>
      <c r="CC24" s="452" t="e" cm="1">
        <f t="array" aca="1" ref="CC24" ca="1">INDIRECT(ADDRESS(ROW($A$21),(COLUMN(R21)*2),1))</f>
        <v>#REF!</v>
      </c>
      <c r="CD24" s="452" t="e" cm="1">
        <f t="array" aca="1" ref="CD24" ca="1">INDIRECT(ADDRESS(ROW($A$21),(COLUMN(S21)*2),1))</f>
        <v>#REF!</v>
      </c>
      <c r="CE24" s="452" t="e" cm="1">
        <f t="array" aca="1" ref="CE24" ca="1">INDIRECT(ADDRESS(ROW($A$21),(COLUMN(T21)*2),1))</f>
        <v>#REF!</v>
      </c>
      <c r="CF24" s="452" t="e" cm="1">
        <f t="array" aca="1" ref="CF24" ca="1">INDIRECT(ADDRESS(ROW($A$21),(COLUMN(U21)*2),1))</f>
        <v>#REF!</v>
      </c>
      <c r="CG24" s="452" t="e" cm="1">
        <f t="array" aca="1" ref="CG24" ca="1">INDIRECT(ADDRESS(ROW($A$21),(COLUMN(V21)*2),1))</f>
        <v>#REF!</v>
      </c>
      <c r="CH24" s="452" t="e" cm="1">
        <f t="array" aca="1" ref="CH24" ca="1">INDIRECT(ADDRESS(ROW($A$21),(COLUMN(W21)*2),1))</f>
        <v>#REF!</v>
      </c>
      <c r="CI24" s="452" t="e" cm="1">
        <f t="array" aca="1" ref="CI24" ca="1">INDIRECT(ADDRESS(ROW($A$21),(COLUMN(X21)*2),1))</f>
        <v>#REF!</v>
      </c>
      <c r="CJ24" s="452" t="e" cm="1">
        <f t="array" aca="1" ref="CJ24" ca="1">INDIRECT(ADDRESS(ROW($A$21),(COLUMN(Y21)*2),1))</f>
        <v>#REF!</v>
      </c>
      <c r="CK24" s="452" t="e" cm="1">
        <f t="array" aca="1" ref="CK24" ca="1">INDIRECT(ADDRESS(ROW($A$21),(COLUMN(Z21)*2),1))</f>
        <v>#REF!</v>
      </c>
      <c r="CL24" s="452" t="e" cm="1">
        <f t="array" aca="1" ref="CL24" ca="1">INDIRECT(ADDRESS(ROW($A$21),(COLUMN(AA21)*2),1))</f>
        <v>#REF!</v>
      </c>
      <c r="CM24" s="452" t="e" cm="1">
        <f t="array" aca="1" ref="CM24" ca="1">INDIRECT(ADDRESS(ROW($A$21),(COLUMN(AB21)*2),1))</f>
        <v>#REF!</v>
      </c>
      <c r="CN24" s="452" t="e" cm="1">
        <f t="array" aca="1" ref="CN24" ca="1">INDIRECT(ADDRESS(ROW($A$21),(COLUMN(AC21)*2),1))</f>
        <v>#REF!</v>
      </c>
      <c r="CO24" s="453" t="e" cm="1">
        <f t="array" aca="1" ref="CO24" ca="1">INDIRECT(ADDRESS(ROW($A$21),(COLUMN(AD21)*2),1))</f>
        <v>#REF!</v>
      </c>
    </row>
    <row r="25" spans="1:93" ht="14.25" thickBot="1">
      <c r="B25" s="457"/>
      <c r="C25" s="457"/>
      <c r="D25" s="457"/>
      <c r="E25" s="457"/>
      <c r="F25" s="457"/>
      <c r="G25" s="457"/>
      <c r="H25" s="457"/>
      <c r="I25" s="457"/>
      <c r="J25" s="457"/>
      <c r="K25" s="457"/>
      <c r="L25" s="457"/>
      <c r="M25" s="457"/>
      <c r="N25" s="457"/>
      <c r="O25" s="457"/>
      <c r="P25" s="457"/>
      <c r="Q25" s="457"/>
      <c r="R25" s="457"/>
      <c r="S25" s="457"/>
      <c r="T25" s="457"/>
      <c r="U25" s="457"/>
      <c r="V25" s="457"/>
      <c r="W25" s="457"/>
      <c r="X25" s="457"/>
      <c r="Y25" s="457"/>
      <c r="Z25" s="457"/>
      <c r="AA25" s="457"/>
      <c r="AB25" s="457"/>
      <c r="AC25" s="457"/>
      <c r="AD25" s="457"/>
      <c r="AE25" s="457"/>
      <c r="AF25" s="457"/>
    </row>
    <row r="26" spans="1:93">
      <c r="A26" s="448" t="s">
        <v>486</v>
      </c>
      <c r="B26" s="454">
        <v>45474</v>
      </c>
      <c r="C26" s="449">
        <v>45475</v>
      </c>
      <c r="D26" s="449">
        <v>45476</v>
      </c>
      <c r="E26" s="449">
        <v>45477</v>
      </c>
      <c r="F26" s="449">
        <v>45478</v>
      </c>
      <c r="G26" s="449">
        <v>45479</v>
      </c>
      <c r="H26" s="449">
        <v>45480</v>
      </c>
      <c r="I26" s="449">
        <v>45481</v>
      </c>
      <c r="J26" s="449">
        <v>45482</v>
      </c>
      <c r="K26" s="449">
        <v>45483</v>
      </c>
      <c r="L26" s="449">
        <v>45484</v>
      </c>
      <c r="M26" s="449">
        <v>45485</v>
      </c>
      <c r="N26" s="449">
        <v>45486</v>
      </c>
      <c r="O26" s="449">
        <v>45487</v>
      </c>
      <c r="P26" s="449">
        <v>45488</v>
      </c>
      <c r="Q26" s="449">
        <v>45489</v>
      </c>
      <c r="R26" s="449">
        <v>45490</v>
      </c>
      <c r="S26" s="449">
        <v>45491</v>
      </c>
      <c r="T26" s="449">
        <v>45492</v>
      </c>
      <c r="U26" s="449">
        <v>45493</v>
      </c>
      <c r="V26" s="449">
        <v>45494</v>
      </c>
      <c r="W26" s="449">
        <v>45495</v>
      </c>
      <c r="X26" s="449">
        <v>45496</v>
      </c>
      <c r="Y26" s="449">
        <v>45497</v>
      </c>
      <c r="Z26" s="449">
        <v>45498</v>
      </c>
      <c r="AA26" s="449">
        <v>45499</v>
      </c>
      <c r="AB26" s="449">
        <v>45500</v>
      </c>
      <c r="AC26" s="449">
        <v>45501</v>
      </c>
      <c r="AD26" s="449">
        <v>45502</v>
      </c>
      <c r="AE26" s="449">
        <v>45503</v>
      </c>
      <c r="AF26" s="449">
        <v>45504</v>
      </c>
      <c r="AG26" s="454">
        <v>45505</v>
      </c>
      <c r="AH26" s="449">
        <v>45506</v>
      </c>
      <c r="AI26" s="449">
        <v>45507</v>
      </c>
      <c r="AJ26" s="449">
        <v>45508</v>
      </c>
      <c r="AK26" s="449">
        <v>45509</v>
      </c>
      <c r="AL26" s="449">
        <v>45510</v>
      </c>
      <c r="AM26" s="449">
        <v>45511</v>
      </c>
      <c r="AN26" s="449">
        <v>45512</v>
      </c>
      <c r="AO26" s="449">
        <v>45513</v>
      </c>
      <c r="AP26" s="449">
        <v>45514</v>
      </c>
      <c r="AQ26" s="449">
        <v>45515</v>
      </c>
      <c r="AR26" s="449">
        <v>45516</v>
      </c>
      <c r="AS26" s="449">
        <v>45517</v>
      </c>
      <c r="AT26" s="449">
        <v>45518</v>
      </c>
      <c r="AU26" s="449">
        <v>45519</v>
      </c>
      <c r="AV26" s="449">
        <v>45520</v>
      </c>
      <c r="AW26" s="449">
        <v>45521</v>
      </c>
      <c r="AX26" s="449">
        <v>45522</v>
      </c>
      <c r="AY26" s="449">
        <v>45523</v>
      </c>
      <c r="AZ26" s="449">
        <v>45524</v>
      </c>
      <c r="BA26" s="449">
        <v>45525</v>
      </c>
      <c r="BB26" s="449">
        <v>45526</v>
      </c>
      <c r="BC26" s="449">
        <v>45527</v>
      </c>
      <c r="BD26" s="449">
        <v>45528</v>
      </c>
      <c r="BE26" s="449">
        <v>45529</v>
      </c>
      <c r="BF26" s="449">
        <v>45530</v>
      </c>
      <c r="BG26" s="449">
        <v>45531</v>
      </c>
      <c r="BH26" s="449">
        <v>45532</v>
      </c>
      <c r="BI26" s="449">
        <v>45533</v>
      </c>
      <c r="BJ26" s="449">
        <v>45534</v>
      </c>
      <c r="BK26" s="449">
        <v>45535</v>
      </c>
      <c r="BL26" s="454">
        <v>45536</v>
      </c>
      <c r="BM26" s="449">
        <v>45537</v>
      </c>
      <c r="BN26" s="449">
        <v>45538</v>
      </c>
      <c r="BO26" s="449">
        <v>45539</v>
      </c>
      <c r="BP26" s="449">
        <v>45540</v>
      </c>
      <c r="BQ26" s="449">
        <v>45541</v>
      </c>
      <c r="BR26" s="449">
        <v>45542</v>
      </c>
      <c r="BS26" s="449">
        <v>45543</v>
      </c>
      <c r="BT26" s="449">
        <v>45544</v>
      </c>
      <c r="BU26" s="449">
        <v>45545</v>
      </c>
      <c r="BV26" s="449">
        <v>45546</v>
      </c>
      <c r="BW26" s="449">
        <v>45547</v>
      </c>
      <c r="BX26" s="449">
        <v>45548</v>
      </c>
      <c r="BY26" s="449">
        <v>45549</v>
      </c>
      <c r="BZ26" s="449">
        <v>45550</v>
      </c>
      <c r="CA26" s="449">
        <v>45551</v>
      </c>
      <c r="CB26" s="449">
        <v>45552</v>
      </c>
      <c r="CC26" s="449">
        <v>45553</v>
      </c>
      <c r="CD26" s="449">
        <v>45554</v>
      </c>
      <c r="CE26" s="449">
        <v>45555</v>
      </c>
      <c r="CF26" s="449">
        <v>45556</v>
      </c>
      <c r="CG26" s="449">
        <v>45557</v>
      </c>
      <c r="CH26" s="449">
        <v>45558</v>
      </c>
      <c r="CI26" s="449">
        <v>45559</v>
      </c>
      <c r="CJ26" s="449">
        <v>45560</v>
      </c>
      <c r="CK26" s="449">
        <v>45561</v>
      </c>
      <c r="CL26" s="449">
        <v>45562</v>
      </c>
      <c r="CM26" s="449">
        <v>45563</v>
      </c>
      <c r="CN26" s="449">
        <v>45564</v>
      </c>
      <c r="CO26" s="450">
        <v>45565</v>
      </c>
    </row>
    <row r="27" spans="1:93" ht="14.25" thickBot="1">
      <c r="A27" s="451" t="s">
        <v>73</v>
      </c>
      <c r="B27" s="458" cm="1">
        <f t="array" aca="1" ref="B27" ca="1">INDIRECT(ADDRESS(ROW($A$17),(COLUMN(A17)*2+1),1))</f>
        <v>0</v>
      </c>
      <c r="C27" s="459" cm="1">
        <f t="array" aca="1" ref="C27" ca="1">INDIRECT(ADDRESS(ROW($A$17),(COLUMN(B17)*2+1),1))</f>
        <v>0</v>
      </c>
      <c r="D27" s="459" cm="1">
        <f t="array" aca="1" ref="D27" ca="1">INDIRECT(ADDRESS(ROW($A$17),(COLUMN(C17)*2+1),1))</f>
        <v>28</v>
      </c>
      <c r="E27" s="459" cm="1">
        <f t="array" aca="1" ref="E27" ca="1">INDIRECT(ADDRESS(ROW($A$17),(COLUMN(D17)*2+1),1))</f>
        <v>3</v>
      </c>
      <c r="F27" s="459" cm="1">
        <f t="array" aca="1" ref="F27" ca="1">INDIRECT(ADDRESS(ROW($A$17),(COLUMN(E17)*2+1),1))</f>
        <v>0</v>
      </c>
      <c r="G27" s="459" cm="1">
        <f t="array" aca="1" ref="G27" ca="1">INDIRECT(ADDRESS(ROW($A$17),(COLUMN(F17)*2+1),1))</f>
        <v>7</v>
      </c>
      <c r="H27" s="459" cm="1">
        <f t="array" aca="1" ref="H27" ca="1">INDIRECT(ADDRESS(ROW($A$17),(COLUMN(G17)*2+1),1))</f>
        <v>1</v>
      </c>
      <c r="I27" s="459" cm="1">
        <f t="array" aca="1" ref="I27" ca="1">INDIRECT(ADDRESS(ROW($A$17),(COLUMN(H17)*2+1),1))</f>
        <v>13</v>
      </c>
      <c r="J27" s="459" cm="1">
        <f t="array" aca="1" ref="J27" ca="1">INDIRECT(ADDRESS(ROW($A$17),(COLUMN(I17)*2+1),1))</f>
        <v>10</v>
      </c>
      <c r="K27" s="459" cm="1">
        <f t="array" aca="1" ref="K27" ca="1">INDIRECT(ADDRESS(ROW($A$17),(COLUMN(J17)*2+1),1))</f>
        <v>9</v>
      </c>
      <c r="L27" s="459" cm="1">
        <f t="array" aca="1" ref="L27" ca="1">INDIRECT(ADDRESS(ROW($A$17),(COLUMN(K17)*2+1),1))</f>
        <v>10</v>
      </c>
      <c r="M27" s="459" cm="1">
        <f t="array" aca="1" ref="M27" ca="1">INDIRECT(ADDRESS(ROW($A$17),(COLUMN(L17)*2+1),1))</f>
        <v>0</v>
      </c>
      <c r="N27" s="459" cm="1">
        <f t="array" aca="1" ref="N27" ca="1">INDIRECT(ADDRESS(ROW($A$17),(COLUMN(M17)*2+1),1))</f>
        <v>0</v>
      </c>
      <c r="O27" s="459" cm="1">
        <f t="array" aca="1" ref="O27" ca="1">INDIRECT(ADDRESS(ROW($A$17),(COLUMN(N17)*2+1),1))</f>
        <v>23</v>
      </c>
      <c r="P27" s="459" cm="1">
        <f t="array" aca="1" ref="P27" ca="1">INDIRECT(ADDRESS(ROW($A$17),(COLUMN(O17)*2+1),1))</f>
        <v>8</v>
      </c>
      <c r="Q27" s="459" t="e" cm="1">
        <f t="array" aca="1" ref="Q27" ca="1">INDIRECT(ADDRESS(ROW($A$17),(COLUMN(P17)*2+1),1))</f>
        <v>#REF!</v>
      </c>
      <c r="R27" s="459" t="e" cm="1">
        <f t="array" aca="1" ref="R27" ca="1">INDIRECT(ADDRESS(ROW($A$17),(COLUMN(Q17)*2+1),1))</f>
        <v>#REF!</v>
      </c>
      <c r="S27" s="459" t="e" cm="1">
        <f t="array" aca="1" ref="S27" ca="1">INDIRECT(ADDRESS(ROW($A$17),(COLUMN(R17)*2+1),1))</f>
        <v>#REF!</v>
      </c>
      <c r="T27" s="459" t="e" cm="1">
        <f t="array" aca="1" ref="T27" ca="1">INDIRECT(ADDRESS(ROW($A$17),(COLUMN(S17)*2+1),1))</f>
        <v>#REF!</v>
      </c>
      <c r="U27" s="459" t="e" cm="1">
        <f t="array" aca="1" ref="U27" ca="1">INDIRECT(ADDRESS(ROW($A$17),(COLUMN(T17)*2+1),1))</f>
        <v>#REF!</v>
      </c>
      <c r="V27" s="459" t="e" cm="1">
        <f t="array" aca="1" ref="V27" ca="1">INDIRECT(ADDRESS(ROW($A$17),(COLUMN(U17)*2+1),1))</f>
        <v>#REF!</v>
      </c>
      <c r="W27" s="459" t="e" cm="1">
        <f t="array" aca="1" ref="W27" ca="1">INDIRECT(ADDRESS(ROW($A$17),(COLUMN(V17)*2+1),1))</f>
        <v>#REF!</v>
      </c>
      <c r="X27" s="459" t="e" cm="1">
        <f t="array" aca="1" ref="X27" ca="1">INDIRECT(ADDRESS(ROW($A$17),(COLUMN(W17)*2+1),1))</f>
        <v>#REF!</v>
      </c>
      <c r="Y27" s="459" t="e" cm="1">
        <f t="array" aca="1" ref="Y27" ca="1">INDIRECT(ADDRESS(ROW($A$17),(COLUMN(X17)*2+1),1))</f>
        <v>#REF!</v>
      </c>
      <c r="Z27" s="459" t="e" cm="1">
        <f t="array" aca="1" ref="Z27" ca="1">INDIRECT(ADDRESS(ROW($A$17),(COLUMN(Y17)*2+1),1))</f>
        <v>#REF!</v>
      </c>
      <c r="AA27" s="459" t="e" cm="1">
        <f t="array" aca="1" ref="AA27" ca="1">INDIRECT(ADDRESS(ROW($A$17),(COLUMN(Z17)*2+1),1))</f>
        <v>#REF!</v>
      </c>
      <c r="AB27" s="459" t="e" cm="1">
        <f t="array" aca="1" ref="AB27" ca="1">INDIRECT(ADDRESS(ROW($A$17),(COLUMN(AA17)*2+1),1))</f>
        <v>#REF!</v>
      </c>
      <c r="AC27" s="459" t="e" cm="1">
        <f t="array" aca="1" ref="AC27" ca="1">INDIRECT(ADDRESS(ROW($A$17),(COLUMN(AB17)*2+1),1))</f>
        <v>#REF!</v>
      </c>
      <c r="AD27" s="459" t="e" cm="1">
        <f t="array" aca="1" ref="AD27" ca="1">INDIRECT(ADDRESS(ROW($A$17),(COLUMN(AC17)*2+1),1))</f>
        <v>#REF!</v>
      </c>
      <c r="AE27" s="459" t="e" cm="1">
        <f t="array" aca="1" ref="AE27" ca="1">INDIRECT(ADDRESS(ROW($A$17),(COLUMN(AD17)*2+1),1))</f>
        <v>#REF!</v>
      </c>
      <c r="AF27" s="459" t="e" cm="1">
        <f t="array" aca="1" ref="AF27" ca="1">INDIRECT(ADDRESS(ROW($A$17),(COLUMN(AE17)*2+1),1))</f>
        <v>#REF!</v>
      </c>
      <c r="AG27" s="455" cm="1">
        <f t="array" aca="1" ref="AG27" ca="1">INDIRECT(ADDRESS(ROW($A$19),(COLUMN(A19)*2+1),1))</f>
        <v>0</v>
      </c>
      <c r="AH27" s="452" cm="1">
        <f t="array" aca="1" ref="AH27" ca="1">INDIRECT(ADDRESS(ROW($A$19),(COLUMN(B19)*2+1),1))</f>
        <v>0</v>
      </c>
      <c r="AI27" s="452" cm="1">
        <f t="array" aca="1" ref="AI27" ca="1">INDIRECT(ADDRESS(ROW($A$19),(COLUMN(C19)*2+1),1))</f>
        <v>0</v>
      </c>
      <c r="AJ27" s="452" cm="1">
        <f t="array" aca="1" ref="AJ27" ca="1">INDIRECT(ADDRESS(ROW($A$19),(COLUMN(D19)*2+1),1))</f>
        <v>0</v>
      </c>
      <c r="AK27" s="452" cm="1">
        <f t="array" aca="1" ref="AK27" ca="1">INDIRECT(ADDRESS(ROW($A$19),(COLUMN(E19)*2+1),1))</f>
        <v>0</v>
      </c>
      <c r="AL27" s="452" cm="1">
        <f t="array" aca="1" ref="AL27" ca="1">INDIRECT(ADDRESS(ROW($A$19),(COLUMN(F19)*2+1),1))</f>
        <v>0</v>
      </c>
      <c r="AM27" s="452" cm="1">
        <f t="array" aca="1" ref="AM27" ca="1">INDIRECT(ADDRESS(ROW($A$19),(COLUMN(G19)*2+1),1))</f>
        <v>0</v>
      </c>
      <c r="AN27" s="452" cm="1">
        <f t="array" aca="1" ref="AN27" ca="1">INDIRECT(ADDRESS(ROW($A$19),(COLUMN(H19)*2+1),1))</f>
        <v>0</v>
      </c>
      <c r="AO27" s="452" cm="1">
        <f t="array" aca="1" ref="AO27" ca="1">INDIRECT(ADDRESS(ROW($A$19),(COLUMN(I19)*2+1),1))</f>
        <v>0</v>
      </c>
      <c r="AP27" s="452" cm="1">
        <f t="array" aca="1" ref="AP27" ca="1">INDIRECT(ADDRESS(ROW($A$19),(COLUMN(J19)*2+1),1))</f>
        <v>0</v>
      </c>
      <c r="AQ27" s="452" cm="1">
        <f t="array" aca="1" ref="AQ27" ca="1">INDIRECT(ADDRESS(ROW($A$19),(COLUMN(K19)*2+1),1))</f>
        <v>0</v>
      </c>
      <c r="AR27" s="452" cm="1">
        <f t="array" aca="1" ref="AR27" ca="1">INDIRECT(ADDRESS(ROW($A$19),(COLUMN(L19)*2+1),1))</f>
        <v>0</v>
      </c>
      <c r="AS27" s="452" cm="1">
        <f t="array" aca="1" ref="AS27" ca="1">INDIRECT(ADDRESS(ROW($A$19),(COLUMN(M19)*2+1),1))</f>
        <v>0</v>
      </c>
      <c r="AT27" s="452" cm="1">
        <f t="array" aca="1" ref="AT27" ca="1">INDIRECT(ADDRESS(ROW($A$19),(COLUMN(N19)*2+1),1))</f>
        <v>0</v>
      </c>
      <c r="AU27" s="452" cm="1">
        <f t="array" aca="1" ref="AU27" ca="1">INDIRECT(ADDRESS(ROW($A$19),(COLUMN(O19)*2+1),1))</f>
        <v>0</v>
      </c>
      <c r="AV27" s="452" t="e" cm="1">
        <f t="array" aca="1" ref="AV27" ca="1">INDIRECT(ADDRESS(ROW($A$19),(COLUMN(P19)*2+1),1))</f>
        <v>#REF!</v>
      </c>
      <c r="AW27" s="452" t="e" cm="1">
        <f t="array" aca="1" ref="AW27" ca="1">INDIRECT(ADDRESS(ROW($A$19),(COLUMN(Q19)*2+1),1))</f>
        <v>#REF!</v>
      </c>
      <c r="AX27" s="452" t="e" cm="1">
        <f t="array" aca="1" ref="AX27" ca="1">INDIRECT(ADDRESS(ROW($A$19),(COLUMN(R19)*2+1),1))</f>
        <v>#REF!</v>
      </c>
      <c r="AY27" s="452" t="e" cm="1">
        <f t="array" aca="1" ref="AY27" ca="1">INDIRECT(ADDRESS(ROW($A$19),(COLUMN(S19)*2+1),1))</f>
        <v>#REF!</v>
      </c>
      <c r="AZ27" s="452" t="e" cm="1">
        <f t="array" aca="1" ref="AZ27" ca="1">INDIRECT(ADDRESS(ROW($A$19),(COLUMN(T19)*2+1),1))</f>
        <v>#REF!</v>
      </c>
      <c r="BA27" s="452" t="e" cm="1">
        <f t="array" aca="1" ref="BA27" ca="1">INDIRECT(ADDRESS(ROW($A$19),(COLUMN(U19)*2+1),1))</f>
        <v>#REF!</v>
      </c>
      <c r="BB27" s="452" t="e" cm="1">
        <f t="array" aca="1" ref="BB27" ca="1">INDIRECT(ADDRESS(ROW($A$19),(COLUMN(V19)*2+1),1))</f>
        <v>#REF!</v>
      </c>
      <c r="BC27" s="452" t="e" cm="1">
        <f t="array" aca="1" ref="BC27" ca="1">INDIRECT(ADDRESS(ROW($A$19),(COLUMN(W19)*2+1),1))</f>
        <v>#REF!</v>
      </c>
      <c r="BD27" s="452" t="e" cm="1">
        <f t="array" aca="1" ref="BD27" ca="1">INDIRECT(ADDRESS(ROW($A$19),(COLUMN(X19)*2+1),1))</f>
        <v>#REF!</v>
      </c>
      <c r="BE27" s="452" t="e" cm="1">
        <f t="array" aca="1" ref="BE27" ca="1">INDIRECT(ADDRESS(ROW($A$19),(COLUMN(Y19)*2+1),1))</f>
        <v>#REF!</v>
      </c>
      <c r="BF27" s="452" t="e" cm="1">
        <f t="array" aca="1" ref="BF27" ca="1">INDIRECT(ADDRESS(ROW($A$19),(COLUMN(Z19)*2+1),1))</f>
        <v>#REF!</v>
      </c>
      <c r="BG27" s="452" t="e" cm="1">
        <f t="array" aca="1" ref="BG27" ca="1">INDIRECT(ADDRESS(ROW($A$19),(COLUMN(AA19)*2+1),1))</f>
        <v>#REF!</v>
      </c>
      <c r="BH27" s="452" t="e" cm="1">
        <f t="array" aca="1" ref="BH27" ca="1">INDIRECT(ADDRESS(ROW($A$19),(COLUMN(AB19)*2+1),1))</f>
        <v>#REF!</v>
      </c>
      <c r="BI27" s="452" t="e" cm="1">
        <f t="array" aca="1" ref="BI27" ca="1">INDIRECT(ADDRESS(ROW($A$19),(COLUMN(AC19)*2+1),1))</f>
        <v>#REF!</v>
      </c>
      <c r="BJ27" s="452" t="e" cm="1">
        <f t="array" aca="1" ref="BJ27" ca="1">INDIRECT(ADDRESS(ROW($A$19),(COLUMN(AD19)*2+1),1))</f>
        <v>#REF!</v>
      </c>
      <c r="BK27" s="452" t="e" cm="1">
        <f t="array" aca="1" ref="BK27" ca="1">INDIRECT(ADDRESS(ROW($A$19),(COLUMN(AE19)*2+1),1))</f>
        <v>#REF!</v>
      </c>
      <c r="BL27" s="455" cm="1">
        <f t="array" aca="1" ref="BL27" ca="1">INDIRECT(ADDRESS(ROW($A$21),(COLUMN(A21)*2+1),1))</f>
        <v>0</v>
      </c>
      <c r="BM27" s="452" cm="1">
        <f t="array" aca="1" ref="BM27" ca="1">INDIRECT(ADDRESS(ROW($A$21),(COLUMN(B21)*2+1),1))</f>
        <v>0</v>
      </c>
      <c r="BN27" s="452" cm="1">
        <f t="array" aca="1" ref="BN27" ca="1">INDIRECT(ADDRESS(ROW($A$21),(COLUMN(C21)*2+1),1))</f>
        <v>0</v>
      </c>
      <c r="BO27" s="452" cm="1">
        <f t="array" aca="1" ref="BO27" ca="1">INDIRECT(ADDRESS(ROW($A$21),(COLUMN(D21)*2+1),1))</f>
        <v>0</v>
      </c>
      <c r="BP27" s="452" cm="1">
        <f t="array" aca="1" ref="BP27" ca="1">INDIRECT(ADDRESS(ROW($A$21),(COLUMN(E21)*2+1),1))</f>
        <v>0</v>
      </c>
      <c r="BQ27" s="452" cm="1">
        <f t="array" aca="1" ref="BQ27" ca="1">INDIRECT(ADDRESS(ROW($A$21),(COLUMN(F21)*2+1),1))</f>
        <v>0</v>
      </c>
      <c r="BR27" s="452" cm="1">
        <f t="array" aca="1" ref="BR27" ca="1">INDIRECT(ADDRESS(ROW($A$21),(COLUMN(G21)*2+1),1))</f>
        <v>0</v>
      </c>
      <c r="BS27" s="452" cm="1">
        <f t="array" aca="1" ref="BS27" ca="1">INDIRECT(ADDRESS(ROW($A$21),(COLUMN(H21)*2+1),1))</f>
        <v>0</v>
      </c>
      <c r="BT27" s="452" cm="1">
        <f t="array" aca="1" ref="BT27" ca="1">INDIRECT(ADDRESS(ROW($A$21),(COLUMN(I21)*2+1),1))</f>
        <v>0</v>
      </c>
      <c r="BU27" s="452" cm="1">
        <f t="array" aca="1" ref="BU27" ca="1">INDIRECT(ADDRESS(ROW($A$21),(COLUMN(J21)*2+1),1))</f>
        <v>0</v>
      </c>
      <c r="BV27" s="452" cm="1">
        <f t="array" aca="1" ref="BV27" ca="1">INDIRECT(ADDRESS(ROW($A$21),(COLUMN(K21)*2+1),1))</f>
        <v>0</v>
      </c>
      <c r="BW27" s="452" cm="1">
        <f t="array" aca="1" ref="BW27" ca="1">INDIRECT(ADDRESS(ROW($A$21),(COLUMN(L21)*2+1),1))</f>
        <v>0</v>
      </c>
      <c r="BX27" s="452" cm="1">
        <f t="array" aca="1" ref="BX27" ca="1">INDIRECT(ADDRESS(ROW($A$21),(COLUMN(M21)*2+1),1))</f>
        <v>0</v>
      </c>
      <c r="BY27" s="452" cm="1">
        <f t="array" aca="1" ref="BY27" ca="1">INDIRECT(ADDRESS(ROW($A$21),(COLUMN(N21)*2+1),1))</f>
        <v>0</v>
      </c>
      <c r="BZ27" s="452" cm="1">
        <f t="array" aca="1" ref="BZ27" ca="1">INDIRECT(ADDRESS(ROW($A$21),(COLUMN(O21)*2+1),1))</f>
        <v>0</v>
      </c>
      <c r="CA27" s="452" t="e" cm="1">
        <f t="array" aca="1" ref="CA27" ca="1">INDIRECT(ADDRESS(ROW($A$21),(COLUMN(P21)*2+1),1))</f>
        <v>#REF!</v>
      </c>
      <c r="CB27" s="452" t="e" cm="1">
        <f t="array" aca="1" ref="CB27" ca="1">INDIRECT(ADDRESS(ROW($A$21),(COLUMN(Q21)*2+1),1))</f>
        <v>#REF!</v>
      </c>
      <c r="CC27" s="452" t="e" cm="1">
        <f t="array" aca="1" ref="CC27" ca="1">INDIRECT(ADDRESS(ROW($A$21),(COLUMN(R21)*2+1),1))</f>
        <v>#REF!</v>
      </c>
      <c r="CD27" s="452" t="e" cm="1">
        <f t="array" aca="1" ref="CD27" ca="1">INDIRECT(ADDRESS(ROW($A$21),(COLUMN(S21)*2+1),1))</f>
        <v>#REF!</v>
      </c>
      <c r="CE27" s="452" t="e" cm="1">
        <f t="array" aca="1" ref="CE27" ca="1">INDIRECT(ADDRESS(ROW($A$21),(COLUMN(T21)*2+1),1))</f>
        <v>#REF!</v>
      </c>
      <c r="CF27" s="452" t="e" cm="1">
        <f t="array" aca="1" ref="CF27" ca="1">INDIRECT(ADDRESS(ROW($A$21),(COLUMN(U21)*2+1),1))</f>
        <v>#REF!</v>
      </c>
      <c r="CG27" s="452" t="e" cm="1">
        <f t="array" aca="1" ref="CG27" ca="1">INDIRECT(ADDRESS(ROW($A$21),(COLUMN(V21)*2+1),1))</f>
        <v>#REF!</v>
      </c>
      <c r="CH27" s="452" t="e" cm="1">
        <f t="array" aca="1" ref="CH27" ca="1">INDIRECT(ADDRESS(ROW($A$21),(COLUMN(W21)*2+1),1))</f>
        <v>#REF!</v>
      </c>
      <c r="CI27" s="452" t="e" cm="1">
        <f t="array" aca="1" ref="CI27" ca="1">INDIRECT(ADDRESS(ROW($A$21),(COLUMN(X21)*2+1),1))</f>
        <v>#REF!</v>
      </c>
      <c r="CJ27" s="452" t="e" cm="1">
        <f t="array" aca="1" ref="CJ27" ca="1">INDIRECT(ADDRESS(ROW($A$21),(COLUMN(Y21)*2+1),1))</f>
        <v>#REF!</v>
      </c>
      <c r="CK27" s="452" t="e" cm="1">
        <f t="array" aca="1" ref="CK27" ca="1">INDIRECT(ADDRESS(ROW($A$21),(COLUMN(Z21)*2+1),1))</f>
        <v>#REF!</v>
      </c>
      <c r="CL27" s="452" t="e" cm="1">
        <f t="array" aca="1" ref="CL27" ca="1">INDIRECT(ADDRESS(ROW($A$21),(COLUMN(AA21)*2+1),1))</f>
        <v>#REF!</v>
      </c>
      <c r="CM27" s="452" t="e" cm="1">
        <f t="array" aca="1" ref="CM27" ca="1">INDIRECT(ADDRESS(ROW($A$21),(COLUMN(AB21)*2+1),1))</f>
        <v>#REF!</v>
      </c>
      <c r="CN27" s="452" t="e" cm="1">
        <f t="array" aca="1" ref="CN27" ca="1">INDIRECT(ADDRESS(ROW($A$21),(COLUMN(AC21)*2+1),1))</f>
        <v>#REF!</v>
      </c>
      <c r="CO27" s="453" t="e" cm="1">
        <f t="array" aca="1" ref="CO27" ca="1">INDIRECT(ADDRESS(ROW($A$21),(COLUMN(AD21)*2+1),1))</f>
        <v>#REF!</v>
      </c>
    </row>
    <row r="28" spans="1:93">
      <c r="B28" s="457"/>
      <c r="C28" s="457"/>
      <c r="D28" s="457"/>
      <c r="E28" s="457"/>
      <c r="F28" s="457"/>
      <c r="G28" s="457"/>
      <c r="H28" s="457"/>
      <c r="I28" s="457"/>
      <c r="J28" s="457"/>
      <c r="K28" s="457"/>
      <c r="L28" s="457"/>
      <c r="M28" s="457"/>
      <c r="N28" s="457"/>
      <c r="O28" s="457"/>
      <c r="P28" s="457"/>
      <c r="Q28" s="457"/>
      <c r="R28" s="457"/>
      <c r="S28" s="457"/>
      <c r="T28" s="457"/>
      <c r="U28" s="457"/>
      <c r="V28" s="457"/>
      <c r="W28" s="457"/>
      <c r="X28" s="457"/>
      <c r="Y28" s="457"/>
      <c r="Z28" s="457"/>
      <c r="AA28" s="457"/>
      <c r="AB28" s="457"/>
      <c r="AC28" s="457"/>
      <c r="AD28" s="457"/>
      <c r="AE28" s="457"/>
      <c r="AF28" s="457"/>
    </row>
    <row r="29" spans="1:93" ht="14.25" thickBot="1">
      <c r="A29" t="s">
        <v>491</v>
      </c>
      <c r="B29" t="s">
        <v>500</v>
      </c>
    </row>
    <row r="30" spans="1:93" ht="14.25" thickBot="1">
      <c r="B30" s="463" t="e">
        <f>#REF!</f>
        <v>#REF!</v>
      </c>
      <c r="C30" s="464" t="e">
        <f>#REF!</f>
        <v>#REF!</v>
      </c>
      <c r="D30" s="464" t="e">
        <f>#REF!</f>
        <v>#REF!</v>
      </c>
      <c r="E30" s="464" t="e">
        <f>#REF!</f>
        <v>#REF!</v>
      </c>
      <c r="F30" s="464" t="e">
        <f>#REF!</f>
        <v>#REF!</v>
      </c>
      <c r="G30" s="464" t="e">
        <f>#REF!</f>
        <v>#REF!</v>
      </c>
      <c r="H30" s="464" t="e">
        <f>#REF!</f>
        <v>#REF!</v>
      </c>
      <c r="I30" s="464" t="e">
        <f>#REF!</f>
        <v>#REF!</v>
      </c>
      <c r="J30" s="464" t="e">
        <f>#REF!</f>
        <v>#REF!</v>
      </c>
      <c r="K30" s="464" t="e">
        <f>#REF!</f>
        <v>#REF!</v>
      </c>
      <c r="L30" s="464" t="e">
        <f>#REF!</f>
        <v>#REF!</v>
      </c>
      <c r="M30" s="464" t="e">
        <f>#REF!</f>
        <v>#REF!</v>
      </c>
      <c r="N30" s="464" t="e">
        <f>#REF!</f>
        <v>#REF!</v>
      </c>
      <c r="O30" s="464" t="e">
        <f>#REF!</f>
        <v>#REF!</v>
      </c>
      <c r="P30" s="464" t="e">
        <f>#REF!</f>
        <v>#REF!</v>
      </c>
      <c r="Q30" s="464" t="e">
        <f>#REF!</f>
        <v>#REF!</v>
      </c>
      <c r="R30" s="464" t="e">
        <f>#REF!</f>
        <v>#REF!</v>
      </c>
      <c r="S30" s="464" t="e">
        <f>#REF!</f>
        <v>#REF!</v>
      </c>
      <c r="T30" s="464" t="e">
        <f>#REF!</f>
        <v>#REF!</v>
      </c>
      <c r="U30" s="464" t="e">
        <f>#REF!</f>
        <v>#REF!</v>
      </c>
      <c r="V30" s="464" t="e">
        <f>#REF!</f>
        <v>#REF!</v>
      </c>
      <c r="W30" s="464" t="e">
        <f>#REF!</f>
        <v>#REF!</v>
      </c>
      <c r="X30" s="464" t="e">
        <f>#REF!</f>
        <v>#REF!</v>
      </c>
      <c r="Y30" s="464" t="e">
        <f>#REF!</f>
        <v>#REF!</v>
      </c>
      <c r="Z30" s="464" t="e">
        <f>#REF!</f>
        <v>#REF!</v>
      </c>
      <c r="AA30" s="464" t="e">
        <f>#REF!</f>
        <v>#REF!</v>
      </c>
      <c r="AB30" s="464" t="e">
        <f>#REF!</f>
        <v>#REF!</v>
      </c>
      <c r="AC30" s="464" t="e">
        <f>#REF!</f>
        <v>#REF!</v>
      </c>
      <c r="AD30" s="464" t="e">
        <f>#REF!</f>
        <v>#REF!</v>
      </c>
      <c r="AE30" s="464" t="e">
        <f>#REF!</f>
        <v>#REF!</v>
      </c>
      <c r="AF30" s="464" t="e">
        <f>#REF!</f>
        <v>#REF!</v>
      </c>
      <c r="AG30" s="464" t="e">
        <f>#REF!</f>
        <v>#REF!</v>
      </c>
      <c r="AH30" s="464" t="e">
        <f>#REF!</f>
        <v>#REF!</v>
      </c>
      <c r="AI30" s="464" t="e">
        <f>#REF!</f>
        <v>#REF!</v>
      </c>
      <c r="AJ30" s="464" t="e">
        <f>#REF!</f>
        <v>#REF!</v>
      </c>
      <c r="AK30" s="464" t="e">
        <f>#REF!</f>
        <v>#REF!</v>
      </c>
      <c r="AL30" s="464" t="e">
        <f>#REF!</f>
        <v>#REF!</v>
      </c>
      <c r="AM30" s="464" t="e">
        <f>#REF!</f>
        <v>#REF!</v>
      </c>
      <c r="AN30" s="464" t="e">
        <f>#REF!</f>
        <v>#REF!</v>
      </c>
      <c r="AO30" s="464" t="e">
        <f>#REF!</f>
        <v>#REF!</v>
      </c>
      <c r="AP30" s="464" t="e">
        <f>#REF!</f>
        <v>#REF!</v>
      </c>
      <c r="AQ30" s="464" t="e">
        <f>#REF!</f>
        <v>#REF!</v>
      </c>
      <c r="AR30" s="464" t="e">
        <f>#REF!</f>
        <v>#REF!</v>
      </c>
      <c r="AS30" s="464" t="e">
        <f>#REF!</f>
        <v>#REF!</v>
      </c>
      <c r="AT30" s="464" t="e">
        <f>#REF!</f>
        <v>#REF!</v>
      </c>
      <c r="AU30" s="464" t="e">
        <f>#REF!</f>
        <v>#REF!</v>
      </c>
      <c r="AV30" s="464" t="e">
        <f>#REF!</f>
        <v>#REF!</v>
      </c>
      <c r="AW30" s="464" t="e">
        <f>#REF!</f>
        <v>#REF!</v>
      </c>
      <c r="AX30" s="464" t="e">
        <f>#REF!</f>
        <v>#REF!</v>
      </c>
      <c r="AY30" s="464" t="e">
        <f>#REF!</f>
        <v>#REF!</v>
      </c>
      <c r="AZ30" s="464" t="e">
        <f>#REF!</f>
        <v>#REF!</v>
      </c>
      <c r="BA30" s="464" t="e">
        <f>#REF!</f>
        <v>#REF!</v>
      </c>
      <c r="BB30" s="464" t="e">
        <f>#REF!</f>
        <v>#REF!</v>
      </c>
      <c r="BC30" s="464" t="e">
        <f>#REF!</f>
        <v>#REF!</v>
      </c>
      <c r="BD30" s="464" t="e">
        <f>#REF!</f>
        <v>#REF!</v>
      </c>
      <c r="BE30" s="464" t="e">
        <f>#REF!</f>
        <v>#REF!</v>
      </c>
      <c r="BF30" s="464" t="e">
        <f>#REF!</f>
        <v>#REF!</v>
      </c>
      <c r="BG30" s="464" t="e">
        <f>#REF!</f>
        <v>#REF!</v>
      </c>
      <c r="BH30" s="464" t="e">
        <f>#REF!</f>
        <v>#REF!</v>
      </c>
      <c r="BI30" s="464" t="e">
        <f>#REF!</f>
        <v>#REF!</v>
      </c>
      <c r="BJ30" s="464" t="e">
        <f>#REF!</f>
        <v>#REF!</v>
      </c>
      <c r="BK30" s="465" t="e">
        <f>#REF!</f>
        <v>#REF!</v>
      </c>
    </row>
    <row r="31" spans="1:93" ht="14.25" thickBot="1"/>
    <row r="32" spans="1:93" ht="14.25" thickBot="1">
      <c r="B32" s="463" t="e">
        <f>#REF!</f>
        <v>#REF!</v>
      </c>
      <c r="C32" s="464" t="e">
        <f>#REF!</f>
        <v>#REF!</v>
      </c>
      <c r="D32" s="464" t="e">
        <f>#REF!</f>
        <v>#REF!</v>
      </c>
      <c r="E32" s="464" t="e">
        <f>#REF!</f>
        <v>#REF!</v>
      </c>
      <c r="F32" s="464" t="e">
        <f>#REF!</f>
        <v>#REF!</v>
      </c>
      <c r="G32" s="464" t="e">
        <f>#REF!</f>
        <v>#REF!</v>
      </c>
      <c r="H32" s="464" t="e">
        <f>#REF!</f>
        <v>#REF!</v>
      </c>
      <c r="I32" s="464" t="e">
        <f>#REF!</f>
        <v>#REF!</v>
      </c>
      <c r="J32" s="464" t="e">
        <f>#REF!</f>
        <v>#REF!</v>
      </c>
      <c r="K32" s="464" t="e">
        <f>#REF!</f>
        <v>#REF!</v>
      </c>
      <c r="L32" s="464" t="e">
        <f>#REF!</f>
        <v>#REF!</v>
      </c>
      <c r="M32" s="464" t="e">
        <f>#REF!</f>
        <v>#REF!</v>
      </c>
      <c r="N32" s="464" t="e">
        <f>#REF!</f>
        <v>#REF!</v>
      </c>
      <c r="O32" s="464" t="e">
        <f>#REF!</f>
        <v>#REF!</v>
      </c>
      <c r="P32" s="464" t="e">
        <f>#REF!</f>
        <v>#REF!</v>
      </c>
      <c r="Q32" s="464" t="e">
        <f>#REF!</f>
        <v>#REF!</v>
      </c>
      <c r="R32" s="464" t="e">
        <f>#REF!</f>
        <v>#REF!</v>
      </c>
      <c r="S32" s="464" t="e">
        <f>#REF!</f>
        <v>#REF!</v>
      </c>
      <c r="T32" s="464" t="e">
        <f>#REF!</f>
        <v>#REF!</v>
      </c>
      <c r="U32" s="464" t="e">
        <f>#REF!</f>
        <v>#REF!</v>
      </c>
      <c r="V32" s="464" t="e">
        <f>#REF!</f>
        <v>#REF!</v>
      </c>
      <c r="W32" s="464" t="e">
        <f>#REF!</f>
        <v>#REF!</v>
      </c>
      <c r="X32" s="464" t="e">
        <f>#REF!</f>
        <v>#REF!</v>
      </c>
      <c r="Y32" s="464" t="e">
        <f>#REF!</f>
        <v>#REF!</v>
      </c>
      <c r="Z32" s="464" t="e">
        <f>#REF!</f>
        <v>#REF!</v>
      </c>
      <c r="AA32" s="464" t="e">
        <f>#REF!</f>
        <v>#REF!</v>
      </c>
      <c r="AB32" s="464" t="e">
        <f>#REF!</f>
        <v>#REF!</v>
      </c>
      <c r="AC32" s="464" t="e">
        <f>#REF!</f>
        <v>#REF!</v>
      </c>
      <c r="AD32" s="464" t="e">
        <f>#REF!</f>
        <v>#REF!</v>
      </c>
      <c r="AE32" s="464" t="e">
        <f>#REF!</f>
        <v>#REF!</v>
      </c>
      <c r="AF32" s="464" t="e">
        <f>#REF!</f>
        <v>#REF!</v>
      </c>
      <c r="AG32" s="464" t="e">
        <f>#REF!</f>
        <v>#REF!</v>
      </c>
      <c r="AH32" s="464" t="e">
        <f>#REF!</f>
        <v>#REF!</v>
      </c>
      <c r="AI32" s="464" t="e">
        <f>#REF!</f>
        <v>#REF!</v>
      </c>
      <c r="AJ32" s="464" t="e">
        <f>#REF!</f>
        <v>#REF!</v>
      </c>
      <c r="AK32" s="464" t="e">
        <f>#REF!</f>
        <v>#REF!</v>
      </c>
      <c r="AL32" s="464" t="e">
        <f>#REF!</f>
        <v>#REF!</v>
      </c>
      <c r="AM32" s="464" t="e">
        <f>#REF!</f>
        <v>#REF!</v>
      </c>
      <c r="AN32" s="464" t="e">
        <f>#REF!</f>
        <v>#REF!</v>
      </c>
      <c r="AO32" s="464" t="e">
        <f>#REF!</f>
        <v>#REF!</v>
      </c>
      <c r="AP32" s="464" t="e">
        <f>#REF!</f>
        <v>#REF!</v>
      </c>
      <c r="AQ32" s="464" t="e">
        <f>#REF!</f>
        <v>#REF!</v>
      </c>
      <c r="AR32" s="464" t="e">
        <f>#REF!</f>
        <v>#REF!</v>
      </c>
      <c r="AS32" s="464" t="e">
        <f>#REF!</f>
        <v>#REF!</v>
      </c>
      <c r="AT32" s="464" t="e">
        <f>#REF!</f>
        <v>#REF!</v>
      </c>
      <c r="AU32" s="464" t="e">
        <f>#REF!</f>
        <v>#REF!</v>
      </c>
      <c r="AV32" s="464" t="e">
        <f>#REF!</f>
        <v>#REF!</v>
      </c>
      <c r="AW32" s="464" t="e">
        <f>#REF!</f>
        <v>#REF!</v>
      </c>
      <c r="AX32" s="464" t="e">
        <f>#REF!</f>
        <v>#REF!</v>
      </c>
      <c r="AY32" s="464" t="e">
        <f>#REF!</f>
        <v>#REF!</v>
      </c>
      <c r="AZ32" s="464" t="e">
        <f>#REF!</f>
        <v>#REF!</v>
      </c>
      <c r="BA32" s="464" t="e">
        <f>#REF!</f>
        <v>#REF!</v>
      </c>
      <c r="BB32" s="464" t="e">
        <f>#REF!</f>
        <v>#REF!</v>
      </c>
      <c r="BC32" s="464" t="e">
        <f>#REF!</f>
        <v>#REF!</v>
      </c>
      <c r="BD32" s="464" t="e">
        <f>#REF!</f>
        <v>#REF!</v>
      </c>
      <c r="BE32" s="464" t="e">
        <f>#REF!</f>
        <v>#REF!</v>
      </c>
      <c r="BF32" s="464" t="e">
        <f>#REF!</f>
        <v>#REF!</v>
      </c>
      <c r="BG32" s="465" t="e">
        <f>#REF!</f>
        <v>#REF!</v>
      </c>
    </row>
    <row r="33" spans="1:94" ht="14.25" thickBot="1"/>
    <row r="34" spans="1:94" ht="14.25" thickBot="1">
      <c r="B34" s="463" t="e">
        <f>#REF!</f>
        <v>#REF!</v>
      </c>
      <c r="C34" s="464" t="e">
        <f>#REF!</f>
        <v>#REF!</v>
      </c>
      <c r="D34" s="464" t="e">
        <f>#REF!</f>
        <v>#REF!</v>
      </c>
      <c r="E34" s="464" t="e">
        <f>#REF!</f>
        <v>#REF!</v>
      </c>
      <c r="F34" s="464" t="e">
        <f>#REF!</f>
        <v>#REF!</v>
      </c>
      <c r="G34" s="464" t="e">
        <f>#REF!</f>
        <v>#REF!</v>
      </c>
      <c r="H34" s="464" t="e">
        <f>#REF!</f>
        <v>#REF!</v>
      </c>
      <c r="I34" s="464" t="e">
        <f>#REF!</f>
        <v>#REF!</v>
      </c>
      <c r="J34" s="464" t="e">
        <f>#REF!</f>
        <v>#REF!</v>
      </c>
      <c r="K34" s="464" t="e">
        <f>#REF!</f>
        <v>#REF!</v>
      </c>
      <c r="L34" s="464" t="e">
        <f>#REF!</f>
        <v>#REF!</v>
      </c>
      <c r="M34" s="464" t="e">
        <f>#REF!</f>
        <v>#REF!</v>
      </c>
      <c r="N34" s="464" t="e">
        <f>#REF!</f>
        <v>#REF!</v>
      </c>
      <c r="O34" s="464" t="e">
        <f>#REF!</f>
        <v>#REF!</v>
      </c>
      <c r="P34" s="464" t="e">
        <f>#REF!</f>
        <v>#REF!</v>
      </c>
      <c r="Q34" s="464" t="e">
        <f>#REF!</f>
        <v>#REF!</v>
      </c>
      <c r="R34" s="464" t="e">
        <f>#REF!</f>
        <v>#REF!</v>
      </c>
      <c r="S34" s="464" t="e">
        <f>#REF!</f>
        <v>#REF!</v>
      </c>
      <c r="T34" s="464" t="e">
        <f>#REF!</f>
        <v>#REF!</v>
      </c>
      <c r="U34" s="464" t="e">
        <f>#REF!</f>
        <v>#REF!</v>
      </c>
      <c r="V34" s="464" t="e">
        <f>#REF!</f>
        <v>#REF!</v>
      </c>
      <c r="W34" s="464" t="e">
        <f>#REF!</f>
        <v>#REF!</v>
      </c>
      <c r="X34" s="464" t="e">
        <f>#REF!</f>
        <v>#REF!</v>
      </c>
      <c r="Y34" s="464" t="e">
        <f>#REF!</f>
        <v>#REF!</v>
      </c>
      <c r="Z34" s="464" t="e">
        <f>#REF!</f>
        <v>#REF!</v>
      </c>
      <c r="AA34" s="464" t="e">
        <f>#REF!</f>
        <v>#REF!</v>
      </c>
      <c r="AB34" s="464" t="e">
        <f>#REF!</f>
        <v>#REF!</v>
      </c>
      <c r="AC34" s="464" t="e">
        <f>#REF!</f>
        <v>#REF!</v>
      </c>
      <c r="AD34" s="464" t="e">
        <f>#REF!</f>
        <v>#REF!</v>
      </c>
      <c r="AE34" s="464" t="e">
        <f>#REF!</f>
        <v>#REF!</v>
      </c>
      <c r="AF34" s="464" t="e">
        <f>#REF!</f>
        <v>#REF!</v>
      </c>
      <c r="AG34" s="464" t="e">
        <f>#REF!</f>
        <v>#REF!</v>
      </c>
      <c r="AH34" s="464" t="e">
        <f>#REF!</f>
        <v>#REF!</v>
      </c>
      <c r="AI34" s="464" t="e">
        <f>#REF!</f>
        <v>#REF!</v>
      </c>
      <c r="AJ34" s="464" t="e">
        <f>#REF!</f>
        <v>#REF!</v>
      </c>
      <c r="AK34" s="464" t="e">
        <f>#REF!</f>
        <v>#REF!</v>
      </c>
      <c r="AL34" s="464" t="e">
        <f>#REF!</f>
        <v>#REF!</v>
      </c>
      <c r="AM34" s="464" t="e">
        <f>#REF!</f>
        <v>#REF!</v>
      </c>
      <c r="AN34" s="464" t="e">
        <f>#REF!</f>
        <v>#REF!</v>
      </c>
      <c r="AO34" s="464" t="e">
        <f>#REF!</f>
        <v>#REF!</v>
      </c>
      <c r="AP34" s="464" t="e">
        <f>#REF!</f>
        <v>#REF!</v>
      </c>
      <c r="AQ34" s="464" t="e">
        <f>#REF!</f>
        <v>#REF!</v>
      </c>
      <c r="AR34" s="464" t="e">
        <f>#REF!</f>
        <v>#REF!</v>
      </c>
      <c r="AS34" s="464" t="e">
        <f>#REF!</f>
        <v>#REF!</v>
      </c>
      <c r="AT34" s="464" t="e">
        <f>#REF!</f>
        <v>#REF!</v>
      </c>
      <c r="AU34" s="464" t="e">
        <f>#REF!</f>
        <v>#REF!</v>
      </c>
      <c r="AV34" s="464" t="e">
        <f>#REF!</f>
        <v>#REF!</v>
      </c>
      <c r="AW34" s="464" t="e">
        <f>#REF!</f>
        <v>#REF!</v>
      </c>
      <c r="AX34" s="464" t="e">
        <f>#REF!</f>
        <v>#REF!</v>
      </c>
      <c r="AY34" s="464" t="e">
        <f>#REF!</f>
        <v>#REF!</v>
      </c>
      <c r="AZ34" s="464" t="e">
        <f>#REF!</f>
        <v>#REF!</v>
      </c>
      <c r="BA34" s="464" t="e">
        <f>#REF!</f>
        <v>#REF!</v>
      </c>
      <c r="BB34" s="464" t="e">
        <f>#REF!</f>
        <v>#REF!</v>
      </c>
      <c r="BC34" s="464" t="e">
        <f>#REF!</f>
        <v>#REF!</v>
      </c>
      <c r="BD34" s="464" t="e">
        <f>#REF!</f>
        <v>#REF!</v>
      </c>
      <c r="BE34" s="464" t="e">
        <f>#REF!</f>
        <v>#REF!</v>
      </c>
      <c r="BF34" s="464" t="e">
        <f>#REF!</f>
        <v>#REF!</v>
      </c>
      <c r="BG34" s="464" t="e">
        <f>#REF!</f>
        <v>#REF!</v>
      </c>
      <c r="BH34" s="464" t="e">
        <f>#REF!</f>
        <v>#REF!</v>
      </c>
      <c r="BI34" s="464" t="e">
        <f>#REF!</f>
        <v>#REF!</v>
      </c>
      <c r="BJ34" s="464" t="e">
        <f>#REF!</f>
        <v>#REF!</v>
      </c>
      <c r="BK34" s="465" t="e">
        <f>#REF!</f>
        <v>#REF!</v>
      </c>
    </row>
    <row r="35" spans="1:94" ht="14.25" thickBot="1">
      <c r="CP35" s="467"/>
    </row>
    <row r="36" spans="1:94">
      <c r="A36" s="448" t="s">
        <v>490</v>
      </c>
      <c r="B36" s="454">
        <v>45292</v>
      </c>
      <c r="C36" s="449">
        <v>45293</v>
      </c>
      <c r="D36" s="449">
        <v>45294</v>
      </c>
      <c r="E36" s="449">
        <v>45295</v>
      </c>
      <c r="F36" s="449">
        <v>45296</v>
      </c>
      <c r="G36" s="449">
        <v>45297</v>
      </c>
      <c r="H36" s="449">
        <v>45298</v>
      </c>
      <c r="I36" s="449">
        <v>45299</v>
      </c>
      <c r="J36" s="449">
        <v>45300</v>
      </c>
      <c r="K36" s="449">
        <v>45301</v>
      </c>
      <c r="L36" s="449">
        <v>45302</v>
      </c>
      <c r="M36" s="449">
        <v>45303</v>
      </c>
      <c r="N36" s="449">
        <v>45304</v>
      </c>
      <c r="O36" s="449">
        <v>45305</v>
      </c>
      <c r="P36" s="449">
        <v>45306</v>
      </c>
      <c r="Q36" s="449">
        <v>45307</v>
      </c>
      <c r="R36" s="449">
        <v>45308</v>
      </c>
      <c r="S36" s="449">
        <v>45309</v>
      </c>
      <c r="T36" s="449">
        <v>45310</v>
      </c>
      <c r="U36" s="449">
        <v>45311</v>
      </c>
      <c r="V36" s="449">
        <v>45312</v>
      </c>
      <c r="W36" s="449">
        <v>45313</v>
      </c>
      <c r="X36" s="449">
        <v>45314</v>
      </c>
      <c r="Y36" s="449">
        <v>45315</v>
      </c>
      <c r="Z36" s="449">
        <v>45316</v>
      </c>
      <c r="AA36" s="449">
        <v>45317</v>
      </c>
      <c r="AB36" s="449">
        <v>45318</v>
      </c>
      <c r="AC36" s="449">
        <v>45319</v>
      </c>
      <c r="AD36" s="449">
        <v>45320</v>
      </c>
      <c r="AE36" s="449">
        <v>45321</v>
      </c>
      <c r="AF36" s="449">
        <v>45322</v>
      </c>
      <c r="AG36" s="454">
        <v>45323</v>
      </c>
      <c r="AH36" s="449">
        <v>45324</v>
      </c>
      <c r="AI36" s="449">
        <v>45325</v>
      </c>
      <c r="AJ36" s="449">
        <v>45326</v>
      </c>
      <c r="AK36" s="449">
        <v>45327</v>
      </c>
      <c r="AL36" s="449">
        <v>45328</v>
      </c>
      <c r="AM36" s="449">
        <v>45329</v>
      </c>
      <c r="AN36" s="449">
        <v>45330</v>
      </c>
      <c r="AO36" s="449">
        <v>45331</v>
      </c>
      <c r="AP36" s="449">
        <v>45332</v>
      </c>
      <c r="AQ36" s="449">
        <v>45333</v>
      </c>
      <c r="AR36" s="449">
        <v>45334</v>
      </c>
      <c r="AS36" s="449">
        <v>45335</v>
      </c>
      <c r="AT36" s="449">
        <v>45336</v>
      </c>
      <c r="AU36" s="449">
        <v>45337</v>
      </c>
      <c r="AV36" s="449">
        <v>45338</v>
      </c>
      <c r="AW36" s="449">
        <v>45339</v>
      </c>
      <c r="AX36" s="449">
        <v>45340</v>
      </c>
      <c r="AY36" s="449">
        <v>45341</v>
      </c>
      <c r="AZ36" s="449">
        <v>45342</v>
      </c>
      <c r="BA36" s="449">
        <v>45343</v>
      </c>
      <c r="BB36" s="449">
        <v>45344</v>
      </c>
      <c r="BC36" s="449">
        <v>45345</v>
      </c>
      <c r="BD36" s="449">
        <v>45346</v>
      </c>
      <c r="BE36" s="449">
        <v>45347</v>
      </c>
      <c r="BF36" s="449">
        <v>45348</v>
      </c>
      <c r="BG36" s="449">
        <v>45349</v>
      </c>
      <c r="BH36" s="449">
        <v>45350</v>
      </c>
      <c r="BI36" s="449">
        <v>45351</v>
      </c>
      <c r="BJ36" s="454">
        <v>45352</v>
      </c>
      <c r="BK36" s="449">
        <v>45353</v>
      </c>
      <c r="BL36" s="449">
        <v>45354</v>
      </c>
      <c r="BM36" s="449">
        <v>45355</v>
      </c>
      <c r="BN36" s="449">
        <v>45356</v>
      </c>
      <c r="BO36" s="449">
        <v>45357</v>
      </c>
      <c r="BP36" s="449">
        <v>45358</v>
      </c>
      <c r="BQ36" s="449">
        <v>45359</v>
      </c>
      <c r="BR36" s="449">
        <v>45360</v>
      </c>
      <c r="BS36" s="449">
        <v>45361</v>
      </c>
      <c r="BT36" s="449">
        <v>45362</v>
      </c>
      <c r="BU36" s="449">
        <v>45363</v>
      </c>
      <c r="BV36" s="449">
        <v>45364</v>
      </c>
      <c r="BW36" s="449">
        <v>45365</v>
      </c>
      <c r="BX36" s="449">
        <v>45366</v>
      </c>
      <c r="BY36" s="449">
        <v>45367</v>
      </c>
      <c r="BZ36" s="449">
        <v>45368</v>
      </c>
      <c r="CA36" s="449">
        <v>45369</v>
      </c>
      <c r="CB36" s="449">
        <v>45370</v>
      </c>
      <c r="CC36" s="449">
        <v>45371</v>
      </c>
      <c r="CD36" s="449">
        <v>45372</v>
      </c>
      <c r="CE36" s="449">
        <v>45373</v>
      </c>
      <c r="CF36" s="449">
        <v>45374</v>
      </c>
      <c r="CG36" s="449">
        <v>45375</v>
      </c>
      <c r="CH36" s="449">
        <v>45376</v>
      </c>
      <c r="CI36" s="449">
        <v>45377</v>
      </c>
      <c r="CJ36" s="449">
        <v>45378</v>
      </c>
      <c r="CK36" s="449">
        <v>45379</v>
      </c>
      <c r="CL36" s="449">
        <v>45380</v>
      </c>
      <c r="CM36" s="449">
        <v>45381</v>
      </c>
      <c r="CN36" s="450">
        <v>45382</v>
      </c>
    </row>
    <row r="37" spans="1:94" ht="14.25" thickBot="1">
      <c r="A37" s="451" t="s">
        <v>502</v>
      </c>
      <c r="B37" s="458" t="e" cm="1">
        <f t="array" aca="1" ref="B37" ca="1">INDIRECT(ADDRESS(ROW($A$30),(COLUMN(A30)*2),1))</f>
        <v>#REF!</v>
      </c>
      <c r="C37" s="459" t="e" cm="1">
        <f t="array" aca="1" ref="C37" ca="1">INDIRECT(ADDRESS(ROW($A$30),(COLUMN(B30)*2),1))</f>
        <v>#REF!</v>
      </c>
      <c r="D37" s="459" t="e" cm="1">
        <f t="array" aca="1" ref="D37" ca="1">INDIRECT(ADDRESS(ROW($A$30),(COLUMN(C30)*2),1))</f>
        <v>#REF!</v>
      </c>
      <c r="E37" s="459" t="e" cm="1">
        <f t="array" aca="1" ref="E37" ca="1">INDIRECT(ADDRESS(ROW($A$30),(COLUMN(D30)*2),1))</f>
        <v>#REF!</v>
      </c>
      <c r="F37" s="459" t="e" cm="1">
        <f t="array" aca="1" ref="F37" ca="1">INDIRECT(ADDRESS(ROW($A$30),(COLUMN(E30)*2),1))</f>
        <v>#REF!</v>
      </c>
      <c r="G37" s="459" t="e" cm="1">
        <f t="array" aca="1" ref="G37" ca="1">INDIRECT(ADDRESS(ROW($A$30),(COLUMN(F30)*2),1))</f>
        <v>#REF!</v>
      </c>
      <c r="H37" s="459" t="e" cm="1">
        <f t="array" aca="1" ref="H37" ca="1">INDIRECT(ADDRESS(ROW($A$30),(COLUMN(G30)*2),1))</f>
        <v>#REF!</v>
      </c>
      <c r="I37" s="459" t="e" cm="1">
        <f t="array" aca="1" ref="I37" ca="1">INDIRECT(ADDRESS(ROW($A$30),(COLUMN(H30)*2),1))</f>
        <v>#REF!</v>
      </c>
      <c r="J37" s="459" t="e" cm="1">
        <f t="array" aca="1" ref="J37" ca="1">INDIRECT(ADDRESS(ROW($A$30),(COLUMN(I30)*2),1))</f>
        <v>#REF!</v>
      </c>
      <c r="K37" s="459" t="e" cm="1">
        <f t="array" aca="1" ref="K37" ca="1">INDIRECT(ADDRESS(ROW($A$30),(COLUMN(J30)*2),1))</f>
        <v>#REF!</v>
      </c>
      <c r="L37" s="459" t="e" cm="1">
        <f t="array" aca="1" ref="L37" ca="1">INDIRECT(ADDRESS(ROW($A$30),(COLUMN(K30)*2),1))</f>
        <v>#REF!</v>
      </c>
      <c r="M37" s="459" t="e" cm="1">
        <f t="array" aca="1" ref="M37" ca="1">INDIRECT(ADDRESS(ROW($A$30),(COLUMN(L30)*2),1))</f>
        <v>#REF!</v>
      </c>
      <c r="N37" s="459" t="e" cm="1">
        <f t="array" aca="1" ref="N37" ca="1">INDIRECT(ADDRESS(ROW($A$30),(COLUMN(M30)*2),1))</f>
        <v>#REF!</v>
      </c>
      <c r="O37" s="459" t="e" cm="1">
        <f t="array" aca="1" ref="O37" ca="1">INDIRECT(ADDRESS(ROW($A$30),(COLUMN(N30)*2),1))</f>
        <v>#REF!</v>
      </c>
      <c r="P37" s="459" t="e" cm="1">
        <f t="array" aca="1" ref="P37" ca="1">INDIRECT(ADDRESS(ROW($A$30),(COLUMN(O30)*2),1))</f>
        <v>#REF!</v>
      </c>
      <c r="Q37" s="459" t="e" cm="1">
        <f t="array" aca="1" ref="Q37" ca="1">INDIRECT(ADDRESS(ROW($A$30),(COLUMN(P30)*2),1))</f>
        <v>#REF!</v>
      </c>
      <c r="R37" s="459" t="e" cm="1">
        <f t="array" aca="1" ref="R37" ca="1">INDIRECT(ADDRESS(ROW($A$30),(COLUMN(Q30)*2),1))</f>
        <v>#REF!</v>
      </c>
      <c r="S37" s="459" t="e" cm="1">
        <f t="array" aca="1" ref="S37" ca="1">INDIRECT(ADDRESS(ROW($A$30),(COLUMN(R30)*2),1))</f>
        <v>#REF!</v>
      </c>
      <c r="T37" s="459" t="e" cm="1">
        <f t="array" aca="1" ref="T37" ca="1">INDIRECT(ADDRESS(ROW($A$30),(COLUMN(S30)*2),1))</f>
        <v>#REF!</v>
      </c>
      <c r="U37" s="459" t="e" cm="1">
        <f t="array" aca="1" ref="U37" ca="1">INDIRECT(ADDRESS(ROW($A$30),(COLUMN(T30)*2),1))</f>
        <v>#REF!</v>
      </c>
      <c r="V37" s="459" t="e" cm="1">
        <f t="array" aca="1" ref="V37" ca="1">INDIRECT(ADDRESS(ROW($A$30),(COLUMN(U30)*2),1))</f>
        <v>#REF!</v>
      </c>
      <c r="W37" s="459" t="e" cm="1">
        <f t="array" aca="1" ref="W37" ca="1">INDIRECT(ADDRESS(ROW($A$30),(COLUMN(V30)*2),1))</f>
        <v>#REF!</v>
      </c>
      <c r="X37" s="459" t="e" cm="1">
        <f t="array" aca="1" ref="X37" ca="1">INDIRECT(ADDRESS(ROW($A$30),(COLUMN(W30)*2),1))</f>
        <v>#REF!</v>
      </c>
      <c r="Y37" s="459" t="e" cm="1">
        <f t="array" aca="1" ref="Y37" ca="1">INDIRECT(ADDRESS(ROW($A$30),(COLUMN(X30)*2),1))</f>
        <v>#REF!</v>
      </c>
      <c r="Z37" s="459" t="e" cm="1">
        <f t="array" aca="1" ref="Z37" ca="1">INDIRECT(ADDRESS(ROW($A$30),(COLUMN(Y30)*2),1))</f>
        <v>#REF!</v>
      </c>
      <c r="AA37" s="459" t="e" cm="1">
        <f t="array" aca="1" ref="AA37" ca="1">INDIRECT(ADDRESS(ROW($A$30),(COLUMN(Z30)*2),1))</f>
        <v>#REF!</v>
      </c>
      <c r="AB37" s="459" t="e" cm="1">
        <f t="array" aca="1" ref="AB37" ca="1">INDIRECT(ADDRESS(ROW($A$30),(COLUMN(AA30)*2),1))</f>
        <v>#REF!</v>
      </c>
      <c r="AC37" s="459" t="e" cm="1">
        <f t="array" aca="1" ref="AC37" ca="1">INDIRECT(ADDRESS(ROW($A$30),(COLUMN(AB30)*2),1))</f>
        <v>#REF!</v>
      </c>
      <c r="AD37" s="459" t="e" cm="1">
        <f t="array" aca="1" ref="AD37" ca="1">INDIRECT(ADDRESS(ROW($A$30),(COLUMN(AC30)*2),1))</f>
        <v>#REF!</v>
      </c>
      <c r="AE37" s="459" t="e" cm="1">
        <f t="array" aca="1" ref="AE37" ca="1">INDIRECT(ADDRESS(ROW($A$30),(COLUMN(AD30)*2),1))</f>
        <v>#REF!</v>
      </c>
      <c r="AF37" s="459" t="e" cm="1">
        <f t="array" aca="1" ref="AF37" ca="1">INDIRECT(ADDRESS(ROW($A$30),(COLUMN(AE30)*2),1))</f>
        <v>#REF!</v>
      </c>
      <c r="AG37" s="455" t="e" cm="1">
        <f t="array" aca="1" ref="AG37" ca="1">INDIRECT(ADDRESS(ROW($A$32),(COLUMN(A32)*2),1))</f>
        <v>#REF!</v>
      </c>
      <c r="AH37" s="452" t="e" cm="1">
        <f t="array" aca="1" ref="AH37" ca="1">INDIRECT(ADDRESS(ROW($A$32),(COLUMN(B32)*2),1))</f>
        <v>#REF!</v>
      </c>
      <c r="AI37" s="452" t="e" cm="1">
        <f t="array" aca="1" ref="AI37" ca="1">INDIRECT(ADDRESS(ROW($A$32),(COLUMN(C32)*2),1))</f>
        <v>#REF!</v>
      </c>
      <c r="AJ37" s="452" t="e" cm="1">
        <f t="array" aca="1" ref="AJ37" ca="1">INDIRECT(ADDRESS(ROW($A$32),(COLUMN(D32)*2),1))</f>
        <v>#REF!</v>
      </c>
      <c r="AK37" s="452" t="e" cm="1">
        <f t="array" aca="1" ref="AK37" ca="1">INDIRECT(ADDRESS(ROW($A$32),(COLUMN(E32)*2),1))</f>
        <v>#REF!</v>
      </c>
      <c r="AL37" s="452" t="e" cm="1">
        <f t="array" aca="1" ref="AL37" ca="1">INDIRECT(ADDRESS(ROW($A$32),(COLUMN(F32)*2),1))</f>
        <v>#REF!</v>
      </c>
      <c r="AM37" s="452" t="e" cm="1">
        <f t="array" aca="1" ref="AM37" ca="1">INDIRECT(ADDRESS(ROW($A$32),(COLUMN(G32)*2),1))</f>
        <v>#REF!</v>
      </c>
      <c r="AN37" s="452" t="e" cm="1">
        <f t="array" aca="1" ref="AN37" ca="1">INDIRECT(ADDRESS(ROW($A$32),(COLUMN(H32)*2),1))</f>
        <v>#REF!</v>
      </c>
      <c r="AO37" s="452" t="e" cm="1">
        <f t="array" aca="1" ref="AO37" ca="1">INDIRECT(ADDRESS(ROW($A$32),(COLUMN(I32)*2),1))</f>
        <v>#REF!</v>
      </c>
      <c r="AP37" s="452" t="e" cm="1">
        <f t="array" aca="1" ref="AP37" ca="1">INDIRECT(ADDRESS(ROW($A$32),(COLUMN(J32)*2),1))</f>
        <v>#REF!</v>
      </c>
      <c r="AQ37" s="452" t="e" cm="1">
        <f t="array" aca="1" ref="AQ37" ca="1">INDIRECT(ADDRESS(ROW($A$32),(COLUMN(K32)*2),1))</f>
        <v>#REF!</v>
      </c>
      <c r="AR37" s="452" t="e" cm="1">
        <f t="array" aca="1" ref="AR37" ca="1">INDIRECT(ADDRESS(ROW($A$32),(COLUMN(L32)*2),1))</f>
        <v>#REF!</v>
      </c>
      <c r="AS37" s="452" t="e" cm="1">
        <f t="array" aca="1" ref="AS37" ca="1">INDIRECT(ADDRESS(ROW($A$32),(COLUMN(M32)*2),1))</f>
        <v>#REF!</v>
      </c>
      <c r="AT37" s="452" t="e" cm="1">
        <f t="array" aca="1" ref="AT37" ca="1">INDIRECT(ADDRESS(ROW($A$32),(COLUMN(N32)*2),1))</f>
        <v>#REF!</v>
      </c>
      <c r="AU37" s="452" t="e" cm="1">
        <f t="array" aca="1" ref="AU37" ca="1">INDIRECT(ADDRESS(ROW($A$32),(COLUMN(O32)*2),1))</f>
        <v>#REF!</v>
      </c>
      <c r="AV37" s="452" t="e" cm="1">
        <f t="array" aca="1" ref="AV37" ca="1">INDIRECT(ADDRESS(ROW($A$32),(COLUMN(P32)*2),1))</f>
        <v>#REF!</v>
      </c>
      <c r="AW37" s="452" t="e" cm="1">
        <f t="array" aca="1" ref="AW37" ca="1">INDIRECT(ADDRESS(ROW($A$32),(COLUMN(Q32)*2),1))</f>
        <v>#REF!</v>
      </c>
      <c r="AX37" s="452" t="e" cm="1">
        <f t="array" aca="1" ref="AX37" ca="1">INDIRECT(ADDRESS(ROW($A$32),(COLUMN(R32)*2),1))</f>
        <v>#REF!</v>
      </c>
      <c r="AY37" s="452" t="e" cm="1">
        <f t="array" aca="1" ref="AY37" ca="1">INDIRECT(ADDRESS(ROW($A$32),(COLUMN(S32)*2),1))</f>
        <v>#REF!</v>
      </c>
      <c r="AZ37" s="452" t="e" cm="1">
        <f t="array" aca="1" ref="AZ37" ca="1">INDIRECT(ADDRESS(ROW($A$32),(COLUMN(T32)*2),1))</f>
        <v>#REF!</v>
      </c>
      <c r="BA37" s="452" t="e" cm="1">
        <f t="array" aca="1" ref="BA37" ca="1">INDIRECT(ADDRESS(ROW($A$32),(COLUMN(U32)*2),1))</f>
        <v>#REF!</v>
      </c>
      <c r="BB37" s="452" t="e" cm="1">
        <f t="array" aca="1" ref="BB37" ca="1">INDIRECT(ADDRESS(ROW($A$32),(COLUMN(V32)*2),1))</f>
        <v>#REF!</v>
      </c>
      <c r="BC37" s="452" t="e" cm="1">
        <f t="array" aca="1" ref="BC37" ca="1">INDIRECT(ADDRESS(ROW($A$32),(COLUMN(W32)*2),1))</f>
        <v>#REF!</v>
      </c>
      <c r="BD37" s="452" t="e" cm="1">
        <f t="array" aca="1" ref="BD37" ca="1">INDIRECT(ADDRESS(ROW($A$32),(COLUMN(X32)*2),1))</f>
        <v>#REF!</v>
      </c>
      <c r="BE37" s="452" t="e" cm="1">
        <f t="array" aca="1" ref="BE37" ca="1">INDIRECT(ADDRESS(ROW($A$32),(COLUMN(Y32)*2),1))</f>
        <v>#REF!</v>
      </c>
      <c r="BF37" s="452" t="e" cm="1">
        <f t="array" aca="1" ref="BF37" ca="1">INDIRECT(ADDRESS(ROW($A$32),(COLUMN(Z32)*2),1))</f>
        <v>#REF!</v>
      </c>
      <c r="BG37" s="452" t="e" cm="1">
        <f t="array" aca="1" ref="BG37" ca="1">INDIRECT(ADDRESS(ROW($A$32),(COLUMN(AA32)*2),1))</f>
        <v>#REF!</v>
      </c>
      <c r="BH37" s="452" t="e" cm="1">
        <f t="array" aca="1" ref="BH37" ca="1">INDIRECT(ADDRESS(ROW($A$32),(COLUMN(AB32)*2),1))</f>
        <v>#REF!</v>
      </c>
      <c r="BI37" s="452" t="e" cm="1">
        <f t="array" aca="1" ref="BI37" ca="1">INDIRECT(ADDRESS(ROW($A$32),(COLUMN(AC32)*2),1))</f>
        <v>#REF!</v>
      </c>
      <c r="BJ37" s="455" t="e" cm="1">
        <f t="array" aca="1" ref="BJ37" ca="1">INDIRECT(ADDRESS(ROW($A$34),(COLUMN(A34)*2),1))</f>
        <v>#REF!</v>
      </c>
      <c r="BK37" s="452" t="e" cm="1">
        <f t="array" aca="1" ref="BK37" ca="1">INDIRECT(ADDRESS(ROW($A$34),(COLUMN(B34)*2),1))</f>
        <v>#REF!</v>
      </c>
      <c r="BL37" s="452" t="e" cm="1">
        <f t="array" aca="1" ref="BL37" ca="1">INDIRECT(ADDRESS(ROW($A$34),(COLUMN(C34)*2),1))</f>
        <v>#REF!</v>
      </c>
      <c r="BM37" s="452" t="e" cm="1">
        <f t="array" aca="1" ref="BM37" ca="1">INDIRECT(ADDRESS(ROW($A$34),(COLUMN(D34)*2),1))</f>
        <v>#REF!</v>
      </c>
      <c r="BN37" s="452" t="e" cm="1">
        <f t="array" aca="1" ref="BN37" ca="1">INDIRECT(ADDRESS(ROW($A$34),(COLUMN(E34)*2),1))</f>
        <v>#REF!</v>
      </c>
      <c r="BO37" s="452" t="e" cm="1">
        <f t="array" aca="1" ref="BO37" ca="1">INDIRECT(ADDRESS(ROW($A$34),(COLUMN(F34)*2),1))</f>
        <v>#REF!</v>
      </c>
      <c r="BP37" s="452" t="e" cm="1">
        <f t="array" aca="1" ref="BP37" ca="1">INDIRECT(ADDRESS(ROW($A$34),(COLUMN(G34)*2),1))</f>
        <v>#REF!</v>
      </c>
      <c r="BQ37" s="452" t="e" cm="1">
        <f t="array" aca="1" ref="BQ37" ca="1">INDIRECT(ADDRESS(ROW($A$34),(COLUMN(H34)*2),1))</f>
        <v>#REF!</v>
      </c>
      <c r="BR37" s="452" t="e" cm="1">
        <f t="array" aca="1" ref="BR37" ca="1">INDIRECT(ADDRESS(ROW($A$34),(COLUMN(I34)*2),1))</f>
        <v>#REF!</v>
      </c>
      <c r="BS37" s="452" t="e" cm="1">
        <f t="array" aca="1" ref="BS37" ca="1">INDIRECT(ADDRESS(ROW($A$34),(COLUMN(J34)*2),1))</f>
        <v>#REF!</v>
      </c>
      <c r="BT37" s="452" t="e" cm="1">
        <f t="array" aca="1" ref="BT37" ca="1">INDIRECT(ADDRESS(ROW($A$34),(COLUMN(K34)*2),1))</f>
        <v>#REF!</v>
      </c>
      <c r="BU37" s="452" t="e" cm="1">
        <f t="array" aca="1" ref="BU37" ca="1">INDIRECT(ADDRESS(ROW($A$34),(COLUMN(L34)*2),1))</f>
        <v>#REF!</v>
      </c>
      <c r="BV37" s="452" t="e" cm="1">
        <f t="array" aca="1" ref="BV37" ca="1">INDIRECT(ADDRESS(ROW($A$34),(COLUMN(M34)*2),1))</f>
        <v>#REF!</v>
      </c>
      <c r="BW37" s="452" t="e" cm="1">
        <f t="array" aca="1" ref="BW37" ca="1">INDIRECT(ADDRESS(ROW($A$34),(COLUMN(N34)*2),1))</f>
        <v>#REF!</v>
      </c>
      <c r="BX37" s="452" t="e" cm="1">
        <f t="array" aca="1" ref="BX37" ca="1">INDIRECT(ADDRESS(ROW($A$34),(COLUMN(O34)*2),1))</f>
        <v>#REF!</v>
      </c>
      <c r="BY37" s="452" t="e" cm="1">
        <f t="array" aca="1" ref="BY37" ca="1">INDIRECT(ADDRESS(ROW($A$34),(COLUMN(P34)*2),1))</f>
        <v>#REF!</v>
      </c>
      <c r="BZ37" s="452" t="e" cm="1">
        <f t="array" aca="1" ref="BZ37" ca="1">INDIRECT(ADDRESS(ROW($A$34),(COLUMN(Q34)*2),1))</f>
        <v>#REF!</v>
      </c>
      <c r="CA37" s="452" t="e" cm="1">
        <f t="array" aca="1" ref="CA37" ca="1">INDIRECT(ADDRESS(ROW($A$34),(COLUMN(R34)*2),1))</f>
        <v>#REF!</v>
      </c>
      <c r="CB37" s="452" t="e" cm="1">
        <f t="array" aca="1" ref="CB37" ca="1">INDIRECT(ADDRESS(ROW($A$34),(COLUMN(S34)*2),1))</f>
        <v>#REF!</v>
      </c>
      <c r="CC37" s="452" t="e" cm="1">
        <f t="array" aca="1" ref="CC37" ca="1">INDIRECT(ADDRESS(ROW($A$34),(COLUMN(T34)*2),1))</f>
        <v>#REF!</v>
      </c>
      <c r="CD37" s="452" t="e" cm="1">
        <f t="array" aca="1" ref="CD37" ca="1">INDIRECT(ADDRESS(ROW($A$34),(COLUMN(U34)*2),1))</f>
        <v>#REF!</v>
      </c>
      <c r="CE37" s="452" t="e" cm="1">
        <f t="array" aca="1" ref="CE37" ca="1">INDIRECT(ADDRESS(ROW($A$34),(COLUMN(V34)*2),1))</f>
        <v>#REF!</v>
      </c>
      <c r="CF37" s="452" t="e" cm="1">
        <f t="array" aca="1" ref="CF37" ca="1">INDIRECT(ADDRESS(ROW($A$34),(COLUMN(W34)*2),1))</f>
        <v>#REF!</v>
      </c>
      <c r="CG37" s="452" t="e" cm="1">
        <f t="array" aca="1" ref="CG37" ca="1">INDIRECT(ADDRESS(ROW($A$34),(COLUMN(X34)*2),1))</f>
        <v>#REF!</v>
      </c>
      <c r="CH37" s="452" t="e" cm="1">
        <f t="array" aca="1" ref="CH37" ca="1">INDIRECT(ADDRESS(ROW($A$34),(COLUMN(Y34)*2),1))</f>
        <v>#REF!</v>
      </c>
      <c r="CI37" s="452" t="e" cm="1">
        <f t="array" aca="1" ref="CI37" ca="1">INDIRECT(ADDRESS(ROW($A$34),(COLUMN(Z34)*2),1))</f>
        <v>#REF!</v>
      </c>
      <c r="CJ37" s="452" t="e" cm="1">
        <f t="array" aca="1" ref="CJ37" ca="1">INDIRECT(ADDRESS(ROW($A$34),(COLUMN(AA34)*2),1))</f>
        <v>#REF!</v>
      </c>
      <c r="CK37" s="452" t="e" cm="1">
        <f t="array" aca="1" ref="CK37" ca="1">INDIRECT(ADDRESS(ROW($A$34),(COLUMN(AB34)*2),1))</f>
        <v>#REF!</v>
      </c>
      <c r="CL37" s="452" t="e" cm="1">
        <f t="array" aca="1" ref="CL37" ca="1">INDIRECT(ADDRESS(ROW($A$34),(COLUMN(AC34)*2),1))</f>
        <v>#REF!</v>
      </c>
      <c r="CM37" s="452" t="e" cm="1">
        <f t="array" aca="1" ref="CM37" ca="1">INDIRECT(ADDRESS(ROW($A$34),(COLUMN(AD34)*2),1))</f>
        <v>#REF!</v>
      </c>
      <c r="CN37" s="453" t="e" cm="1">
        <f t="array" aca="1" ref="CN37" ca="1">INDIRECT(ADDRESS(ROW($A$34),(COLUMN(AE34)*2),1))</f>
        <v>#REF!</v>
      </c>
    </row>
    <row r="38" spans="1:94" ht="14.25" thickBot="1">
      <c r="B38" s="457"/>
      <c r="C38" s="457"/>
      <c r="D38" s="457"/>
      <c r="E38" s="457"/>
      <c r="F38" s="457"/>
      <c r="G38" s="457"/>
      <c r="H38" s="457"/>
      <c r="I38" s="457"/>
      <c r="J38" s="457"/>
      <c r="K38" s="457"/>
      <c r="L38" s="457"/>
      <c r="M38" s="457"/>
      <c r="N38" s="457"/>
      <c r="O38" s="457"/>
      <c r="P38" s="457"/>
      <c r="Q38" s="457"/>
      <c r="R38" s="457"/>
      <c r="S38" s="457"/>
      <c r="T38" s="457"/>
      <c r="U38" s="457"/>
      <c r="V38" s="457"/>
      <c r="W38" s="457"/>
      <c r="X38" s="457"/>
      <c r="Y38" s="457"/>
      <c r="Z38" s="457"/>
      <c r="AA38" s="457"/>
      <c r="AB38" s="457"/>
      <c r="AC38" s="457"/>
      <c r="AD38" s="457"/>
      <c r="AE38" s="457"/>
      <c r="AF38" s="457"/>
    </row>
    <row r="39" spans="1:94">
      <c r="A39" s="448" t="s">
        <v>490</v>
      </c>
      <c r="B39" s="454">
        <v>45292</v>
      </c>
      <c r="C39" s="449">
        <v>45293</v>
      </c>
      <c r="D39" s="449">
        <v>45294</v>
      </c>
      <c r="E39" s="449">
        <v>45295</v>
      </c>
      <c r="F39" s="449">
        <v>45296</v>
      </c>
      <c r="G39" s="449">
        <v>45297</v>
      </c>
      <c r="H39" s="449">
        <v>45298</v>
      </c>
      <c r="I39" s="449">
        <v>45299</v>
      </c>
      <c r="J39" s="449">
        <v>45300</v>
      </c>
      <c r="K39" s="449">
        <v>45301</v>
      </c>
      <c r="L39" s="449">
        <v>45302</v>
      </c>
      <c r="M39" s="449">
        <v>45303</v>
      </c>
      <c r="N39" s="449">
        <v>45304</v>
      </c>
      <c r="O39" s="449">
        <v>45305</v>
      </c>
      <c r="P39" s="449">
        <v>45306</v>
      </c>
      <c r="Q39" s="449">
        <v>45307</v>
      </c>
      <c r="R39" s="449">
        <v>45308</v>
      </c>
      <c r="S39" s="449">
        <v>45309</v>
      </c>
      <c r="T39" s="449">
        <v>45310</v>
      </c>
      <c r="U39" s="449">
        <v>45311</v>
      </c>
      <c r="V39" s="449">
        <v>45312</v>
      </c>
      <c r="W39" s="449">
        <v>45313</v>
      </c>
      <c r="X39" s="449">
        <v>45314</v>
      </c>
      <c r="Y39" s="449">
        <v>45315</v>
      </c>
      <c r="Z39" s="449">
        <v>45316</v>
      </c>
      <c r="AA39" s="449">
        <v>45317</v>
      </c>
      <c r="AB39" s="449">
        <v>45318</v>
      </c>
      <c r="AC39" s="449">
        <v>45319</v>
      </c>
      <c r="AD39" s="449">
        <v>45320</v>
      </c>
      <c r="AE39" s="449">
        <v>45321</v>
      </c>
      <c r="AF39" s="449">
        <v>45322</v>
      </c>
      <c r="AG39" s="454">
        <v>45323</v>
      </c>
      <c r="AH39" s="449">
        <v>45324</v>
      </c>
      <c r="AI39" s="449">
        <v>45325</v>
      </c>
      <c r="AJ39" s="449">
        <v>45326</v>
      </c>
      <c r="AK39" s="449">
        <v>45327</v>
      </c>
      <c r="AL39" s="449">
        <v>45328</v>
      </c>
      <c r="AM39" s="449">
        <v>45329</v>
      </c>
      <c r="AN39" s="449">
        <v>45330</v>
      </c>
      <c r="AO39" s="449">
        <v>45331</v>
      </c>
      <c r="AP39" s="449">
        <v>45332</v>
      </c>
      <c r="AQ39" s="449">
        <v>45333</v>
      </c>
      <c r="AR39" s="449">
        <v>45334</v>
      </c>
      <c r="AS39" s="449">
        <v>45335</v>
      </c>
      <c r="AT39" s="449">
        <v>45336</v>
      </c>
      <c r="AU39" s="449">
        <v>45337</v>
      </c>
      <c r="AV39" s="449">
        <v>45338</v>
      </c>
      <c r="AW39" s="449">
        <v>45339</v>
      </c>
      <c r="AX39" s="449">
        <v>45340</v>
      </c>
      <c r="AY39" s="449">
        <v>45341</v>
      </c>
      <c r="AZ39" s="449">
        <v>45342</v>
      </c>
      <c r="BA39" s="449">
        <v>45343</v>
      </c>
      <c r="BB39" s="449">
        <v>45344</v>
      </c>
      <c r="BC39" s="449">
        <v>45345</v>
      </c>
      <c r="BD39" s="449">
        <v>45346</v>
      </c>
      <c r="BE39" s="449">
        <v>45347</v>
      </c>
      <c r="BF39" s="449">
        <v>45348</v>
      </c>
      <c r="BG39" s="449">
        <v>45349</v>
      </c>
      <c r="BH39" s="449">
        <v>45350</v>
      </c>
      <c r="BI39" s="449">
        <v>45351</v>
      </c>
      <c r="BJ39" s="454">
        <v>45352</v>
      </c>
      <c r="BK39" s="449">
        <v>45353</v>
      </c>
      <c r="BL39" s="449">
        <v>45354</v>
      </c>
      <c r="BM39" s="449">
        <v>45355</v>
      </c>
      <c r="BN39" s="449">
        <v>45356</v>
      </c>
      <c r="BO39" s="449">
        <v>45357</v>
      </c>
      <c r="BP39" s="449">
        <v>45358</v>
      </c>
      <c r="BQ39" s="449">
        <v>45359</v>
      </c>
      <c r="BR39" s="449">
        <v>45360</v>
      </c>
      <c r="BS39" s="449">
        <v>45361</v>
      </c>
      <c r="BT39" s="449">
        <v>45362</v>
      </c>
      <c r="BU39" s="449">
        <v>45363</v>
      </c>
      <c r="BV39" s="449">
        <v>45364</v>
      </c>
      <c r="BW39" s="449">
        <v>45365</v>
      </c>
      <c r="BX39" s="449">
        <v>45366</v>
      </c>
      <c r="BY39" s="449">
        <v>45367</v>
      </c>
      <c r="BZ39" s="449">
        <v>45368</v>
      </c>
      <c r="CA39" s="449">
        <v>45369</v>
      </c>
      <c r="CB39" s="449">
        <v>45370</v>
      </c>
      <c r="CC39" s="449">
        <v>45371</v>
      </c>
      <c r="CD39" s="449">
        <v>45372</v>
      </c>
      <c r="CE39" s="449">
        <v>45373</v>
      </c>
      <c r="CF39" s="449">
        <v>45374</v>
      </c>
      <c r="CG39" s="449">
        <v>45375</v>
      </c>
      <c r="CH39" s="449">
        <v>45376</v>
      </c>
      <c r="CI39" s="449">
        <v>45377</v>
      </c>
      <c r="CJ39" s="449">
        <v>45378</v>
      </c>
      <c r="CK39" s="449">
        <v>45379</v>
      </c>
      <c r="CL39" s="449">
        <v>45380</v>
      </c>
      <c r="CM39" s="449">
        <v>45381</v>
      </c>
      <c r="CN39" s="450">
        <v>45382</v>
      </c>
    </row>
    <row r="40" spans="1:94" ht="14.25" thickBot="1">
      <c r="A40" s="451" t="s">
        <v>503</v>
      </c>
      <c r="B40" s="458" t="e" cm="1">
        <f t="array" aca="1" ref="B40" ca="1">INDIRECT(ADDRESS(ROW($A$30),(COLUMN(A30)*2+1),1))</f>
        <v>#REF!</v>
      </c>
      <c r="C40" s="459" t="e" cm="1">
        <f t="array" aca="1" ref="C40" ca="1">INDIRECT(ADDRESS(ROW($A$30),(COLUMN(B30)*2+1),1))</f>
        <v>#REF!</v>
      </c>
      <c r="D40" s="459" t="e" cm="1">
        <f t="array" aca="1" ref="D40" ca="1">INDIRECT(ADDRESS(ROW($A$30),(COLUMN(C30)*2+1),1))</f>
        <v>#REF!</v>
      </c>
      <c r="E40" s="459" t="e" cm="1">
        <f t="array" aca="1" ref="E40" ca="1">INDIRECT(ADDRESS(ROW($A$30),(COLUMN(D30)*2+1),1))</f>
        <v>#REF!</v>
      </c>
      <c r="F40" s="459" t="e" cm="1">
        <f t="array" aca="1" ref="F40" ca="1">INDIRECT(ADDRESS(ROW($A$30),(COLUMN(E30)*2+1),1))</f>
        <v>#REF!</v>
      </c>
      <c r="G40" s="459" t="e" cm="1">
        <f t="array" aca="1" ref="G40" ca="1">INDIRECT(ADDRESS(ROW($A$30),(COLUMN(F30)*2+1),1))</f>
        <v>#REF!</v>
      </c>
      <c r="H40" s="459" t="e" cm="1">
        <f t="array" aca="1" ref="H40" ca="1">INDIRECT(ADDRESS(ROW($A$30),(COLUMN(G30)*2+1),1))</f>
        <v>#REF!</v>
      </c>
      <c r="I40" s="459" t="e" cm="1">
        <f t="array" aca="1" ref="I40" ca="1">INDIRECT(ADDRESS(ROW($A$30),(COLUMN(H30)*2+1),1))</f>
        <v>#REF!</v>
      </c>
      <c r="J40" s="459" t="e" cm="1">
        <f t="array" aca="1" ref="J40" ca="1">INDIRECT(ADDRESS(ROW($A$30),(COLUMN(I30)*2+1),1))</f>
        <v>#REF!</v>
      </c>
      <c r="K40" s="459" t="e" cm="1">
        <f t="array" aca="1" ref="K40" ca="1">INDIRECT(ADDRESS(ROW($A$30),(COLUMN(J30)*2+1),1))</f>
        <v>#REF!</v>
      </c>
      <c r="L40" s="459" t="e" cm="1">
        <f t="array" aca="1" ref="L40" ca="1">INDIRECT(ADDRESS(ROW($A$30),(COLUMN(K30)*2+1),1))</f>
        <v>#REF!</v>
      </c>
      <c r="M40" s="459" t="e" cm="1">
        <f t="array" aca="1" ref="M40" ca="1">INDIRECT(ADDRESS(ROW($A$30),(COLUMN(L30)*2+1),1))</f>
        <v>#REF!</v>
      </c>
      <c r="N40" s="459" t="e" cm="1">
        <f t="array" aca="1" ref="N40" ca="1">INDIRECT(ADDRESS(ROW($A$30),(COLUMN(M30)*2+1),1))</f>
        <v>#REF!</v>
      </c>
      <c r="O40" s="459" t="e" cm="1">
        <f t="array" aca="1" ref="O40" ca="1">INDIRECT(ADDRESS(ROW($A$30),(COLUMN(N30)*2+1),1))</f>
        <v>#REF!</v>
      </c>
      <c r="P40" s="459" t="e" cm="1">
        <f t="array" aca="1" ref="P40" ca="1">INDIRECT(ADDRESS(ROW($A$30),(COLUMN(O30)*2+1),1))</f>
        <v>#REF!</v>
      </c>
      <c r="Q40" s="459" t="e" cm="1">
        <f t="array" aca="1" ref="Q40" ca="1">INDIRECT(ADDRESS(ROW($A$30),(COLUMN(P30)*2+1),1))</f>
        <v>#REF!</v>
      </c>
      <c r="R40" s="459" t="e" cm="1">
        <f t="array" aca="1" ref="R40" ca="1">INDIRECT(ADDRESS(ROW($A$30),(COLUMN(Q30)*2+1),1))</f>
        <v>#REF!</v>
      </c>
      <c r="S40" s="459" t="e" cm="1">
        <f t="array" aca="1" ref="S40" ca="1">INDIRECT(ADDRESS(ROW($A$30),(COLUMN(R30)*2+1),1))</f>
        <v>#REF!</v>
      </c>
      <c r="T40" s="459" t="e" cm="1">
        <f t="array" aca="1" ref="T40" ca="1">INDIRECT(ADDRESS(ROW($A$30),(COLUMN(S30)*2+1),1))</f>
        <v>#REF!</v>
      </c>
      <c r="U40" s="459" t="e" cm="1">
        <f t="array" aca="1" ref="U40" ca="1">INDIRECT(ADDRESS(ROW($A$30),(COLUMN(T30)*2+1),1))</f>
        <v>#REF!</v>
      </c>
      <c r="V40" s="459" t="e" cm="1">
        <f t="array" aca="1" ref="V40" ca="1">INDIRECT(ADDRESS(ROW($A$30),(COLUMN(U30)*2+1),1))</f>
        <v>#REF!</v>
      </c>
      <c r="W40" s="459" t="e" cm="1">
        <f t="array" aca="1" ref="W40" ca="1">INDIRECT(ADDRESS(ROW($A$30),(COLUMN(V30)*2+1),1))</f>
        <v>#REF!</v>
      </c>
      <c r="X40" s="459" t="e" cm="1">
        <f t="array" aca="1" ref="X40" ca="1">INDIRECT(ADDRESS(ROW($A$30),(COLUMN(W30)*2+1),1))</f>
        <v>#REF!</v>
      </c>
      <c r="Y40" s="459" t="e" cm="1">
        <f t="array" aca="1" ref="Y40" ca="1">INDIRECT(ADDRESS(ROW($A$30),(COLUMN(X30)*2+1),1))</f>
        <v>#REF!</v>
      </c>
      <c r="Z40" s="459" t="e" cm="1">
        <f t="array" aca="1" ref="Z40" ca="1">INDIRECT(ADDRESS(ROW($A$30),(COLUMN(Y30)*2+1),1))</f>
        <v>#REF!</v>
      </c>
      <c r="AA40" s="459" t="e" cm="1">
        <f t="array" aca="1" ref="AA40" ca="1">INDIRECT(ADDRESS(ROW($A$30),(COLUMN(Z30)*2+1),1))</f>
        <v>#REF!</v>
      </c>
      <c r="AB40" s="459" t="e" cm="1">
        <f t="array" aca="1" ref="AB40" ca="1">INDIRECT(ADDRESS(ROW($A$30),(COLUMN(AA30)*2+1),1))</f>
        <v>#REF!</v>
      </c>
      <c r="AC40" s="459" t="e" cm="1">
        <f t="array" aca="1" ref="AC40" ca="1">INDIRECT(ADDRESS(ROW($A$30),(COLUMN(AB30)*2+1),1))</f>
        <v>#REF!</v>
      </c>
      <c r="AD40" s="459" t="e" cm="1">
        <f t="array" aca="1" ref="AD40" ca="1">INDIRECT(ADDRESS(ROW($A$30),(COLUMN(AC30)*2+1),1))</f>
        <v>#REF!</v>
      </c>
      <c r="AE40" s="459" t="e" cm="1">
        <f t="array" aca="1" ref="AE40" ca="1">INDIRECT(ADDRESS(ROW($A$30),(COLUMN(AD30)*2+1),1))</f>
        <v>#REF!</v>
      </c>
      <c r="AF40" s="459" t="e" cm="1">
        <f t="array" aca="1" ref="AF40" ca="1">INDIRECT(ADDRESS(ROW($A$30),(COLUMN(AE30)*2+1),1))</f>
        <v>#REF!</v>
      </c>
      <c r="AG40" s="458" t="e" cm="1">
        <f t="array" aca="1" ref="AG40" ca="1">INDIRECT(ADDRESS(ROW($A$32),(COLUMN(A32)*2+1),1))</f>
        <v>#REF!</v>
      </c>
      <c r="AH40" s="459" t="e" cm="1">
        <f t="array" aca="1" ref="AH40" ca="1">INDIRECT(ADDRESS(ROW($A$32),(COLUMN(B32)*2+1),1))</f>
        <v>#REF!</v>
      </c>
      <c r="AI40" s="459" t="e" cm="1">
        <f t="array" aca="1" ref="AI40" ca="1">INDIRECT(ADDRESS(ROW($A$32),(COLUMN(C32)*2+1),1))</f>
        <v>#REF!</v>
      </c>
      <c r="AJ40" s="459" t="e" cm="1">
        <f t="array" aca="1" ref="AJ40" ca="1">INDIRECT(ADDRESS(ROW($A$32),(COLUMN(D32)*2+1),1))</f>
        <v>#REF!</v>
      </c>
      <c r="AK40" s="459" t="e" cm="1">
        <f t="array" aca="1" ref="AK40" ca="1">INDIRECT(ADDRESS(ROW($A$32),(COLUMN(E32)*2+1),1))</f>
        <v>#REF!</v>
      </c>
      <c r="AL40" s="459" t="e" cm="1">
        <f t="array" aca="1" ref="AL40" ca="1">INDIRECT(ADDRESS(ROW($A$32),(COLUMN(F32)*2+1),1))</f>
        <v>#REF!</v>
      </c>
      <c r="AM40" s="459" t="e" cm="1">
        <f t="array" aca="1" ref="AM40" ca="1">INDIRECT(ADDRESS(ROW($A$32),(COLUMN(G32)*2+1),1))</f>
        <v>#REF!</v>
      </c>
      <c r="AN40" s="459" t="e" cm="1">
        <f t="array" aca="1" ref="AN40" ca="1">INDIRECT(ADDRESS(ROW($A$32),(COLUMN(H32)*2+1),1))</f>
        <v>#REF!</v>
      </c>
      <c r="AO40" s="459" t="e" cm="1">
        <f t="array" aca="1" ref="AO40" ca="1">INDIRECT(ADDRESS(ROW($A$32),(COLUMN(I32)*2+1),1))</f>
        <v>#REF!</v>
      </c>
      <c r="AP40" s="459" t="e" cm="1">
        <f t="array" aca="1" ref="AP40" ca="1">INDIRECT(ADDRESS(ROW($A$32),(COLUMN(J32)*2+1),1))</f>
        <v>#REF!</v>
      </c>
      <c r="AQ40" s="459" t="e" cm="1">
        <f t="array" aca="1" ref="AQ40" ca="1">INDIRECT(ADDRESS(ROW($A$32),(COLUMN(K32)*2+1),1))</f>
        <v>#REF!</v>
      </c>
      <c r="AR40" s="459" t="e" cm="1">
        <f t="array" aca="1" ref="AR40" ca="1">INDIRECT(ADDRESS(ROW($A$32),(COLUMN(L32)*2+1),1))</f>
        <v>#REF!</v>
      </c>
      <c r="AS40" s="459" t="e" cm="1">
        <f t="array" aca="1" ref="AS40" ca="1">INDIRECT(ADDRESS(ROW($A$32),(COLUMN(M32)*2+1),1))</f>
        <v>#REF!</v>
      </c>
      <c r="AT40" s="459" t="e" cm="1">
        <f t="array" aca="1" ref="AT40" ca="1">INDIRECT(ADDRESS(ROW($A$32),(COLUMN(N32)*2+1),1))</f>
        <v>#REF!</v>
      </c>
      <c r="AU40" s="459" t="e" cm="1">
        <f t="array" aca="1" ref="AU40" ca="1">INDIRECT(ADDRESS(ROW($A$32),(COLUMN(O32)*2+1),1))</f>
        <v>#REF!</v>
      </c>
      <c r="AV40" s="459" t="e" cm="1">
        <f t="array" aca="1" ref="AV40" ca="1">INDIRECT(ADDRESS(ROW($A$32),(COLUMN(P32)*2+1),1))</f>
        <v>#REF!</v>
      </c>
      <c r="AW40" s="459" t="e" cm="1">
        <f t="array" aca="1" ref="AW40" ca="1">INDIRECT(ADDRESS(ROW($A$32),(COLUMN(Q32)*2+1),1))</f>
        <v>#REF!</v>
      </c>
      <c r="AX40" s="459" t="e" cm="1">
        <f t="array" aca="1" ref="AX40" ca="1">INDIRECT(ADDRESS(ROW($A$32),(COLUMN(R32)*2+1),1))</f>
        <v>#REF!</v>
      </c>
      <c r="AY40" s="459" t="e" cm="1">
        <f t="array" aca="1" ref="AY40" ca="1">INDIRECT(ADDRESS(ROW($A$32),(COLUMN(S32)*2+1),1))</f>
        <v>#REF!</v>
      </c>
      <c r="AZ40" s="459" t="e" cm="1">
        <f t="array" aca="1" ref="AZ40" ca="1">INDIRECT(ADDRESS(ROW($A$32),(COLUMN(T32)*2+1),1))</f>
        <v>#REF!</v>
      </c>
      <c r="BA40" s="459" t="e" cm="1">
        <f t="array" aca="1" ref="BA40" ca="1">INDIRECT(ADDRESS(ROW($A$32),(COLUMN(U32)*2+1),1))</f>
        <v>#REF!</v>
      </c>
      <c r="BB40" s="459" t="e" cm="1">
        <f t="array" aca="1" ref="BB40" ca="1">INDIRECT(ADDRESS(ROW($A$32),(COLUMN(V32)*2+1),1))</f>
        <v>#REF!</v>
      </c>
      <c r="BC40" s="459" t="e" cm="1">
        <f t="array" aca="1" ref="BC40" ca="1">INDIRECT(ADDRESS(ROW($A$32),(COLUMN(W32)*2+1),1))</f>
        <v>#REF!</v>
      </c>
      <c r="BD40" s="459" t="e" cm="1">
        <f t="array" aca="1" ref="BD40" ca="1">INDIRECT(ADDRESS(ROW($A$32),(COLUMN(X32)*2+1),1))</f>
        <v>#REF!</v>
      </c>
      <c r="BE40" s="459" t="e" cm="1">
        <f t="array" aca="1" ref="BE40" ca="1">INDIRECT(ADDRESS(ROW($A$32),(COLUMN(Y32)*2+1),1))</f>
        <v>#REF!</v>
      </c>
      <c r="BF40" s="459" t="e" cm="1">
        <f t="array" aca="1" ref="BF40" ca="1">INDIRECT(ADDRESS(ROW($A$32),(COLUMN(Z32)*2+1),1))</f>
        <v>#REF!</v>
      </c>
      <c r="BG40" s="459" t="e" cm="1">
        <f t="array" aca="1" ref="BG40" ca="1">INDIRECT(ADDRESS(ROW($A$32),(COLUMN(AA32)*2+1),1))</f>
        <v>#REF!</v>
      </c>
      <c r="BH40" s="459" t="e" cm="1">
        <f t="array" aca="1" ref="BH40" ca="1">INDIRECT(ADDRESS(ROW($A$32),(COLUMN(AB32)*2+1),1))</f>
        <v>#REF!</v>
      </c>
      <c r="BI40" s="459" t="e" cm="1">
        <f t="array" aca="1" ref="BI40" ca="1">INDIRECT(ADDRESS(ROW($A$32),(COLUMN(AC32)*2+1),1))</f>
        <v>#REF!</v>
      </c>
      <c r="BJ40" s="458" t="e" cm="1">
        <f t="array" aca="1" ref="BJ40" ca="1">INDIRECT(ADDRESS(ROW($A$34),(COLUMN(A34)*2+1),1))</f>
        <v>#REF!</v>
      </c>
      <c r="BK40" s="459" t="e" cm="1">
        <f t="array" aca="1" ref="BK40" ca="1">INDIRECT(ADDRESS(ROW($A$34),(COLUMN(B34)*2+1),1))</f>
        <v>#REF!</v>
      </c>
      <c r="BL40" s="459" t="e" cm="1">
        <f t="array" aca="1" ref="BL40" ca="1">INDIRECT(ADDRESS(ROW($A$34),(COLUMN(C34)*2+1),1))</f>
        <v>#REF!</v>
      </c>
      <c r="BM40" s="459" t="e" cm="1">
        <f t="array" aca="1" ref="BM40" ca="1">INDIRECT(ADDRESS(ROW($A$34),(COLUMN(D34)*2+1),1))</f>
        <v>#REF!</v>
      </c>
      <c r="BN40" s="459" t="e" cm="1">
        <f t="array" aca="1" ref="BN40" ca="1">INDIRECT(ADDRESS(ROW($A$34),(COLUMN(E34)*2+1),1))</f>
        <v>#REF!</v>
      </c>
      <c r="BO40" s="459" t="e" cm="1">
        <f t="array" aca="1" ref="BO40" ca="1">INDIRECT(ADDRESS(ROW($A$34),(COLUMN(F34)*2+1),1))</f>
        <v>#REF!</v>
      </c>
      <c r="BP40" s="459" t="e" cm="1">
        <f t="array" aca="1" ref="BP40" ca="1">INDIRECT(ADDRESS(ROW($A$34),(COLUMN(G34)*2+1),1))</f>
        <v>#REF!</v>
      </c>
      <c r="BQ40" s="459" t="e" cm="1">
        <f t="array" aca="1" ref="BQ40" ca="1">INDIRECT(ADDRESS(ROW($A$34),(COLUMN(H34)*2+1),1))</f>
        <v>#REF!</v>
      </c>
      <c r="BR40" s="459" t="e" cm="1">
        <f t="array" aca="1" ref="BR40" ca="1">INDIRECT(ADDRESS(ROW($A$34),(COLUMN(I34)*2+1),1))</f>
        <v>#REF!</v>
      </c>
      <c r="BS40" s="459" t="e" cm="1">
        <f t="array" aca="1" ref="BS40" ca="1">INDIRECT(ADDRESS(ROW($A$34),(COLUMN(J34)*2+1),1))</f>
        <v>#REF!</v>
      </c>
      <c r="BT40" s="459" t="e" cm="1">
        <f t="array" aca="1" ref="BT40" ca="1">INDIRECT(ADDRESS(ROW($A$34),(COLUMN(K34)*2+1),1))</f>
        <v>#REF!</v>
      </c>
      <c r="BU40" s="459" t="e" cm="1">
        <f t="array" aca="1" ref="BU40" ca="1">INDIRECT(ADDRESS(ROW($A$34),(COLUMN(L34)*2+1),1))</f>
        <v>#REF!</v>
      </c>
      <c r="BV40" s="459" t="e" cm="1">
        <f t="array" aca="1" ref="BV40" ca="1">INDIRECT(ADDRESS(ROW($A$34),(COLUMN(M34)*2+1),1))</f>
        <v>#REF!</v>
      </c>
      <c r="BW40" s="459" t="e" cm="1">
        <f t="array" aca="1" ref="BW40" ca="1">INDIRECT(ADDRESS(ROW($A$34),(COLUMN(N34)*2+1),1))</f>
        <v>#REF!</v>
      </c>
      <c r="BX40" s="459" t="e" cm="1">
        <f t="array" aca="1" ref="BX40" ca="1">INDIRECT(ADDRESS(ROW($A$34),(COLUMN(O34)*2+1),1))</f>
        <v>#REF!</v>
      </c>
      <c r="BY40" s="459" t="e" cm="1">
        <f t="array" aca="1" ref="BY40" ca="1">INDIRECT(ADDRESS(ROW($A$34),(COLUMN(P34)*2+1),1))</f>
        <v>#REF!</v>
      </c>
      <c r="BZ40" s="459" t="e" cm="1">
        <f t="array" aca="1" ref="BZ40" ca="1">INDIRECT(ADDRESS(ROW($A$34),(COLUMN(Q34)*2+1),1))</f>
        <v>#REF!</v>
      </c>
      <c r="CA40" s="459" t="e" cm="1">
        <f t="array" aca="1" ref="CA40" ca="1">INDIRECT(ADDRESS(ROW($A$34),(COLUMN(R34)*2+1),1))</f>
        <v>#REF!</v>
      </c>
      <c r="CB40" s="459" t="e" cm="1">
        <f t="array" aca="1" ref="CB40" ca="1">INDIRECT(ADDRESS(ROW($A$34),(COLUMN(S34)*2+1),1))</f>
        <v>#REF!</v>
      </c>
      <c r="CC40" s="459" t="e" cm="1">
        <f t="array" aca="1" ref="CC40" ca="1">INDIRECT(ADDRESS(ROW($A$34),(COLUMN(T34)*2+1),1))</f>
        <v>#REF!</v>
      </c>
      <c r="CD40" s="459" t="e" cm="1">
        <f t="array" aca="1" ref="CD40" ca="1">INDIRECT(ADDRESS(ROW($A$34),(COLUMN(U34)*2+1),1))</f>
        <v>#REF!</v>
      </c>
      <c r="CE40" s="459" t="e" cm="1">
        <f t="array" aca="1" ref="CE40" ca="1">INDIRECT(ADDRESS(ROW($A$34),(COLUMN(V34)*2+1),1))</f>
        <v>#REF!</v>
      </c>
      <c r="CF40" s="459" t="e" cm="1">
        <f t="array" aca="1" ref="CF40" ca="1">INDIRECT(ADDRESS(ROW($A$34),(COLUMN(W34)*2+1),1))</f>
        <v>#REF!</v>
      </c>
      <c r="CG40" s="459" t="e" cm="1">
        <f t="array" aca="1" ref="CG40" ca="1">INDIRECT(ADDRESS(ROW($A$34),(COLUMN(X34)*2+1),1))</f>
        <v>#REF!</v>
      </c>
      <c r="CH40" s="459" t="e" cm="1">
        <f t="array" aca="1" ref="CH40" ca="1">INDIRECT(ADDRESS(ROW($A$34),(COLUMN(Y34)*2+1),1))</f>
        <v>#REF!</v>
      </c>
      <c r="CI40" s="459" t="e" cm="1">
        <f t="array" aca="1" ref="CI40" ca="1">INDIRECT(ADDRESS(ROW($A$34),(COLUMN(Z34)*2+1),1))</f>
        <v>#REF!</v>
      </c>
      <c r="CJ40" s="459" t="e" cm="1">
        <f t="array" aca="1" ref="CJ40" ca="1">INDIRECT(ADDRESS(ROW($A$34),(COLUMN(AA34)*2+1),1))</f>
        <v>#REF!</v>
      </c>
      <c r="CK40" s="459" t="e" cm="1">
        <f t="array" aca="1" ref="CK40" ca="1">INDIRECT(ADDRESS(ROW($A$34),(COLUMN(AB34)*2+1),1))</f>
        <v>#REF!</v>
      </c>
      <c r="CL40" s="459" t="e" cm="1">
        <f t="array" aca="1" ref="CL40" ca="1">INDIRECT(ADDRESS(ROW($A$34),(COLUMN(AC34)*2+1),1))</f>
        <v>#REF!</v>
      </c>
      <c r="CM40" s="459" t="e" cm="1">
        <f t="array" aca="1" ref="CM40" ca="1">INDIRECT(ADDRESS(ROW($A$34),(COLUMN(AD34)*2+1),1))</f>
        <v>#REF!</v>
      </c>
      <c r="CN40" s="468" t="e" cm="1">
        <f t="array" aca="1" ref="CN40" ca="1">INDIRECT(ADDRESS(ROW($A$34),(COLUMN(AE34)*2+1),1))</f>
        <v>#REF!</v>
      </c>
    </row>
    <row r="41" spans="1:94">
      <c r="B41" s="466"/>
      <c r="C41" s="467"/>
      <c r="D41" s="467"/>
      <c r="E41" s="467"/>
      <c r="F41" s="467"/>
      <c r="G41" s="467"/>
      <c r="H41" s="467"/>
      <c r="I41" s="467"/>
      <c r="J41" s="467"/>
      <c r="K41" s="467"/>
      <c r="L41" s="467"/>
      <c r="M41" s="467"/>
      <c r="N41" s="467"/>
      <c r="O41" s="467"/>
      <c r="P41" s="467"/>
      <c r="Q41" s="467"/>
      <c r="R41" s="467"/>
      <c r="S41" s="467"/>
      <c r="T41" s="467"/>
      <c r="U41" s="467"/>
      <c r="V41" s="467"/>
      <c r="W41" s="467"/>
      <c r="X41" s="467"/>
      <c r="Y41" s="467"/>
      <c r="Z41" s="467"/>
      <c r="AA41" s="467"/>
      <c r="AB41" s="467"/>
      <c r="AC41" s="467"/>
      <c r="AD41" s="467"/>
      <c r="AE41" s="467"/>
    </row>
    <row r="42" spans="1:94">
      <c r="B42" s="466"/>
      <c r="C42" s="467"/>
      <c r="D42" s="467"/>
      <c r="E42" s="467"/>
      <c r="F42" s="467"/>
      <c r="G42" s="467"/>
      <c r="H42" s="467"/>
      <c r="I42" s="467"/>
      <c r="J42" s="467"/>
      <c r="K42" s="467"/>
      <c r="L42" s="467"/>
      <c r="M42" s="467"/>
      <c r="N42" s="467"/>
      <c r="O42" s="467"/>
      <c r="P42" s="467"/>
      <c r="Q42" s="467"/>
      <c r="R42" s="467"/>
      <c r="S42" s="467"/>
      <c r="T42" s="467"/>
      <c r="U42" s="467"/>
      <c r="V42" s="467"/>
      <c r="W42" s="467"/>
      <c r="X42" s="467"/>
      <c r="Y42" s="467"/>
      <c r="Z42" s="467"/>
      <c r="AA42" s="467"/>
      <c r="AB42" s="467"/>
      <c r="AC42" s="467"/>
      <c r="AD42" s="467"/>
      <c r="AE42" s="467"/>
    </row>
    <row r="43" spans="1:94" ht="14.25" thickBot="1">
      <c r="A43" t="s">
        <v>492</v>
      </c>
      <c r="B43" t="s">
        <v>500</v>
      </c>
    </row>
    <row r="44" spans="1:94" ht="14.25" thickBot="1">
      <c r="B44" s="463">
        <f>'1月'!D406</f>
        <v>0</v>
      </c>
      <c r="C44" s="464">
        <f>'1月'!E406</f>
        <v>0</v>
      </c>
      <c r="D44" s="464">
        <f>'1月'!F406</f>
        <v>0</v>
      </c>
      <c r="E44" s="464">
        <f>'1月'!G406</f>
        <v>0</v>
      </c>
      <c r="F44" s="464">
        <f>'1月'!H406</f>
        <v>17</v>
      </c>
      <c r="G44" s="464">
        <f>'1月'!I406</f>
        <v>28</v>
      </c>
      <c r="H44" s="464">
        <f>'1月'!J406</f>
        <v>19</v>
      </c>
      <c r="I44" s="464">
        <f>'1月'!K406</f>
        <v>31</v>
      </c>
      <c r="J44" s="464">
        <f>'1月'!L406</f>
        <v>19</v>
      </c>
      <c r="K44" s="464">
        <f>'1月'!M406</f>
        <v>31</v>
      </c>
      <c r="L44" s="464">
        <f>'1月'!N406</f>
        <v>23</v>
      </c>
      <c r="M44" s="464">
        <f>'1月'!O406</f>
        <v>38</v>
      </c>
      <c r="N44" s="464">
        <f>'1月'!P406</f>
        <v>24</v>
      </c>
      <c r="O44" s="464">
        <f>'1月'!Q406</f>
        <v>39</v>
      </c>
      <c r="P44" s="464">
        <f>'1月'!R406</f>
        <v>32</v>
      </c>
      <c r="Q44" s="464">
        <f>'1月'!S406</f>
        <v>52</v>
      </c>
      <c r="R44" s="464">
        <f>'1月'!T406</f>
        <v>39</v>
      </c>
      <c r="S44" s="464">
        <f>'1月'!U406</f>
        <v>62</v>
      </c>
      <c r="T44" s="464">
        <f>'1月'!V406</f>
        <v>46</v>
      </c>
      <c r="U44" s="464">
        <f>'1月'!W406</f>
        <v>71</v>
      </c>
      <c r="V44" s="464">
        <f>'1月'!X406</f>
        <v>52</v>
      </c>
      <c r="W44" s="464">
        <f>'1月'!Y406</f>
        <v>81</v>
      </c>
      <c r="X44" s="464">
        <f>'1月'!Z406</f>
        <v>52</v>
      </c>
      <c r="Y44" s="464">
        <f>'1月'!AA406</f>
        <v>81</v>
      </c>
      <c r="Z44" s="464">
        <f>'1月'!AB406</f>
        <v>52</v>
      </c>
      <c r="AA44" s="464">
        <f>'1月'!AC406</f>
        <v>81</v>
      </c>
      <c r="AB44" s="464">
        <f>'1月'!AD406</f>
        <v>71</v>
      </c>
      <c r="AC44" s="464">
        <f>'1月'!AE406</f>
        <v>104</v>
      </c>
      <c r="AD44" s="464">
        <f>'1月'!AF406</f>
        <v>78</v>
      </c>
      <c r="AE44" s="464">
        <f>'1月'!AG406</f>
        <v>112</v>
      </c>
      <c r="AF44" s="464" t="e">
        <f>#REF!</f>
        <v>#REF!</v>
      </c>
      <c r="AG44" s="464" t="e">
        <f>#REF!</f>
        <v>#REF!</v>
      </c>
      <c r="AH44" s="464" t="e">
        <f>#REF!</f>
        <v>#REF!</v>
      </c>
      <c r="AI44" s="464" t="e">
        <f>#REF!</f>
        <v>#REF!</v>
      </c>
      <c r="AJ44" s="464" t="e">
        <f>#REF!</f>
        <v>#REF!</v>
      </c>
      <c r="AK44" s="464" t="e">
        <f>#REF!</f>
        <v>#REF!</v>
      </c>
      <c r="AL44" s="464" t="e">
        <f>#REF!</f>
        <v>#REF!</v>
      </c>
      <c r="AM44" s="464" t="e">
        <f>#REF!</f>
        <v>#REF!</v>
      </c>
      <c r="AN44" s="464" t="e">
        <f>#REF!</f>
        <v>#REF!</v>
      </c>
      <c r="AO44" s="464" t="e">
        <f>#REF!</f>
        <v>#REF!</v>
      </c>
      <c r="AP44" s="464" t="e">
        <f>#REF!</f>
        <v>#REF!</v>
      </c>
      <c r="AQ44" s="464" t="e">
        <f>#REF!</f>
        <v>#REF!</v>
      </c>
      <c r="AR44" s="464" t="e">
        <f>#REF!</f>
        <v>#REF!</v>
      </c>
      <c r="AS44" s="464" t="e">
        <f>#REF!</f>
        <v>#REF!</v>
      </c>
      <c r="AT44" s="464" t="e">
        <f>#REF!</f>
        <v>#REF!</v>
      </c>
      <c r="AU44" s="464" t="e">
        <f>#REF!</f>
        <v>#REF!</v>
      </c>
      <c r="AV44" s="464" t="e">
        <f>#REF!</f>
        <v>#REF!</v>
      </c>
      <c r="AW44" s="464" t="e">
        <f>#REF!</f>
        <v>#REF!</v>
      </c>
      <c r="AX44" s="464" t="e">
        <f>#REF!</f>
        <v>#REF!</v>
      </c>
      <c r="AY44" s="464" t="e">
        <f>#REF!</f>
        <v>#REF!</v>
      </c>
      <c r="AZ44" s="464" t="e">
        <f>#REF!</f>
        <v>#REF!</v>
      </c>
      <c r="BA44" s="464" t="e">
        <f>#REF!</f>
        <v>#REF!</v>
      </c>
      <c r="BB44" s="464" t="e">
        <f>#REF!</f>
        <v>#REF!</v>
      </c>
      <c r="BC44" s="464" t="e">
        <f>#REF!</f>
        <v>#REF!</v>
      </c>
      <c r="BD44" s="464" t="e">
        <f>#REF!</f>
        <v>#REF!</v>
      </c>
      <c r="BE44" s="464" t="e">
        <f>#REF!</f>
        <v>#REF!</v>
      </c>
      <c r="BF44" s="464" t="e">
        <f>#REF!</f>
        <v>#REF!</v>
      </c>
      <c r="BG44" s="464" t="e">
        <f>#REF!</f>
        <v>#REF!</v>
      </c>
      <c r="BH44" s="464" t="e">
        <f>#REF!</f>
        <v>#REF!</v>
      </c>
      <c r="BI44" s="464" t="e">
        <f>#REF!</f>
        <v>#REF!</v>
      </c>
      <c r="BJ44" s="464" t="e">
        <f>#REF!</f>
        <v>#REF!</v>
      </c>
      <c r="BK44" s="465" t="e">
        <f>#REF!</f>
        <v>#REF!</v>
      </c>
    </row>
    <row r="45" spans="1:94" ht="14.25" thickBot="1"/>
    <row r="46" spans="1:94" ht="14.25" thickBot="1">
      <c r="B46" s="463">
        <f>'2月'!D406</f>
        <v>78</v>
      </c>
      <c r="C46" s="464">
        <f>'2月'!E406</f>
        <v>112</v>
      </c>
      <c r="D46" s="464">
        <f>'2月'!F406</f>
        <v>78</v>
      </c>
      <c r="E46" s="464">
        <f>'2月'!G406</f>
        <v>112</v>
      </c>
      <c r="F46" s="464">
        <f>'2月'!H406</f>
        <v>78</v>
      </c>
      <c r="G46" s="464">
        <f>'2月'!I406</f>
        <v>112</v>
      </c>
      <c r="H46" s="464">
        <f>'2月'!J406</f>
        <v>78</v>
      </c>
      <c r="I46" s="464">
        <f>'2月'!K406</f>
        <v>112</v>
      </c>
      <c r="J46" s="464">
        <f>'2月'!L406</f>
        <v>78</v>
      </c>
      <c r="K46" s="464">
        <f>'2月'!M406</f>
        <v>112</v>
      </c>
      <c r="L46" s="464">
        <f>'2月'!N406</f>
        <v>78</v>
      </c>
      <c r="M46" s="464">
        <f>'2月'!O406</f>
        <v>112</v>
      </c>
      <c r="N46" s="464">
        <f>'2月'!P406</f>
        <v>78</v>
      </c>
      <c r="O46" s="464">
        <f>'2月'!Q406</f>
        <v>112</v>
      </c>
      <c r="P46" s="464">
        <f>'2月'!R406</f>
        <v>78</v>
      </c>
      <c r="Q46" s="464">
        <f>'2月'!S406</f>
        <v>112</v>
      </c>
      <c r="R46" s="464">
        <f>'2月'!T406</f>
        <v>78</v>
      </c>
      <c r="S46" s="464">
        <f>'2月'!U406</f>
        <v>112</v>
      </c>
      <c r="T46" s="464">
        <f>'2月'!V406</f>
        <v>78</v>
      </c>
      <c r="U46" s="464">
        <f>'2月'!W406</f>
        <v>112</v>
      </c>
      <c r="V46" s="464">
        <f>'2月'!X406</f>
        <v>78</v>
      </c>
      <c r="W46" s="464">
        <f>'2月'!Y406</f>
        <v>112</v>
      </c>
      <c r="X46" s="464">
        <f>'2月'!Z406</f>
        <v>78</v>
      </c>
      <c r="Y46" s="464">
        <f>'2月'!AA406</f>
        <v>112</v>
      </c>
      <c r="Z46" s="464">
        <f>'2月'!AB406</f>
        <v>78</v>
      </c>
      <c r="AA46" s="464">
        <f>'2月'!AC406</f>
        <v>112</v>
      </c>
      <c r="AB46" s="464">
        <f>'2月'!AD406</f>
        <v>78</v>
      </c>
      <c r="AC46" s="464">
        <f>'2月'!AE406</f>
        <v>112</v>
      </c>
      <c r="AD46" s="464">
        <f>'2月'!AF406</f>
        <v>78</v>
      </c>
      <c r="AE46" s="464">
        <f>'2月'!AG406</f>
        <v>112</v>
      </c>
      <c r="AF46" s="464" t="e">
        <f>#REF!</f>
        <v>#REF!</v>
      </c>
      <c r="AG46" s="464" t="e">
        <f>#REF!</f>
        <v>#REF!</v>
      </c>
      <c r="AH46" s="464" t="e">
        <f>#REF!</f>
        <v>#REF!</v>
      </c>
      <c r="AI46" s="464" t="e">
        <f>#REF!</f>
        <v>#REF!</v>
      </c>
      <c r="AJ46" s="464" t="e">
        <f>#REF!</f>
        <v>#REF!</v>
      </c>
      <c r="AK46" s="464" t="e">
        <f>#REF!</f>
        <v>#REF!</v>
      </c>
      <c r="AL46" s="464" t="e">
        <f>#REF!</f>
        <v>#REF!</v>
      </c>
      <c r="AM46" s="464" t="e">
        <f>#REF!</f>
        <v>#REF!</v>
      </c>
      <c r="AN46" s="464" t="e">
        <f>#REF!</f>
        <v>#REF!</v>
      </c>
      <c r="AO46" s="464" t="e">
        <f>#REF!</f>
        <v>#REF!</v>
      </c>
      <c r="AP46" s="464" t="e">
        <f>#REF!</f>
        <v>#REF!</v>
      </c>
      <c r="AQ46" s="464" t="e">
        <f>#REF!</f>
        <v>#REF!</v>
      </c>
      <c r="AR46" s="464" t="e">
        <f>#REF!</f>
        <v>#REF!</v>
      </c>
      <c r="AS46" s="464" t="e">
        <f>#REF!</f>
        <v>#REF!</v>
      </c>
      <c r="AT46" s="464" t="e">
        <f>#REF!</f>
        <v>#REF!</v>
      </c>
      <c r="AU46" s="464" t="e">
        <f>#REF!</f>
        <v>#REF!</v>
      </c>
      <c r="AV46" s="464" t="e">
        <f>#REF!</f>
        <v>#REF!</v>
      </c>
      <c r="AW46" s="464" t="e">
        <f>#REF!</f>
        <v>#REF!</v>
      </c>
      <c r="AX46" s="464" t="e">
        <f>#REF!</f>
        <v>#REF!</v>
      </c>
      <c r="AY46" s="464" t="e">
        <f>#REF!</f>
        <v>#REF!</v>
      </c>
      <c r="AZ46" s="464" t="e">
        <f>#REF!</f>
        <v>#REF!</v>
      </c>
      <c r="BA46" s="464" t="e">
        <f>#REF!</f>
        <v>#REF!</v>
      </c>
      <c r="BB46" s="464" t="e">
        <f>#REF!</f>
        <v>#REF!</v>
      </c>
      <c r="BC46" s="464" t="e">
        <f>#REF!</f>
        <v>#REF!</v>
      </c>
      <c r="BD46" s="464" t="e">
        <f>#REF!</f>
        <v>#REF!</v>
      </c>
      <c r="BE46" s="464" t="e">
        <f>#REF!</f>
        <v>#REF!</v>
      </c>
      <c r="BF46" s="464" t="e">
        <f>#REF!</f>
        <v>#REF!</v>
      </c>
      <c r="BG46" s="464" t="e">
        <f>#REF!</f>
        <v>#REF!</v>
      </c>
      <c r="BH46" s="464" t="e">
        <f>#REF!</f>
        <v>#REF!</v>
      </c>
      <c r="BI46" s="464" t="e">
        <f>#REF!</f>
        <v>#REF!</v>
      </c>
      <c r="BJ46" s="464" t="e">
        <f>#REF!</f>
        <v>#REF!</v>
      </c>
      <c r="BK46" s="465" t="e">
        <f>#REF!</f>
        <v>#REF!</v>
      </c>
    </row>
    <row r="47" spans="1:94" ht="14.25" thickBot="1"/>
    <row r="48" spans="1:94" ht="14.25" thickBot="1">
      <c r="B48" s="463">
        <f>'3月'!D406</f>
        <v>78</v>
      </c>
      <c r="C48" s="464">
        <f>'3月'!E406</f>
        <v>112</v>
      </c>
      <c r="D48" s="464">
        <f>'3月'!F406</f>
        <v>0</v>
      </c>
      <c r="E48" s="464">
        <f>'3月'!G406</f>
        <v>0</v>
      </c>
      <c r="F48" s="464">
        <f>'3月'!H406</f>
        <v>0</v>
      </c>
      <c r="G48" s="464">
        <f>'3月'!I406</f>
        <v>0</v>
      </c>
      <c r="H48" s="464">
        <f>'3月'!J406</f>
        <v>0</v>
      </c>
      <c r="I48" s="464">
        <f>'3月'!K406</f>
        <v>0</v>
      </c>
      <c r="J48" s="464">
        <f>'3月'!L406</f>
        <v>0</v>
      </c>
      <c r="K48" s="464">
        <f>'3月'!M406</f>
        <v>0</v>
      </c>
      <c r="L48" s="464">
        <f>'3月'!N406</f>
        <v>0</v>
      </c>
      <c r="M48" s="464">
        <f>'3月'!O406</f>
        <v>0</v>
      </c>
      <c r="N48" s="464">
        <f>'3月'!P406</f>
        <v>0</v>
      </c>
      <c r="O48" s="464">
        <f>'3月'!Q406</f>
        <v>0</v>
      </c>
      <c r="P48" s="464">
        <f>'3月'!R406</f>
        <v>0</v>
      </c>
      <c r="Q48" s="464">
        <f>'3月'!S406</f>
        <v>0</v>
      </c>
      <c r="R48" s="464">
        <f>'3月'!T406</f>
        <v>0</v>
      </c>
      <c r="S48" s="464">
        <f>'3月'!U406</f>
        <v>0</v>
      </c>
      <c r="T48" s="464">
        <f>'3月'!V406</f>
        <v>0</v>
      </c>
      <c r="U48" s="464">
        <f>'3月'!W406</f>
        <v>0</v>
      </c>
      <c r="V48" s="464">
        <f>'3月'!X406</f>
        <v>0</v>
      </c>
      <c r="W48" s="464">
        <f>'3月'!Y406</f>
        <v>0</v>
      </c>
      <c r="X48" s="464">
        <f>'3月'!Z406</f>
        <v>0</v>
      </c>
      <c r="Y48" s="464">
        <f>'3月'!AA406</f>
        <v>0</v>
      </c>
      <c r="Z48" s="464">
        <f>'3月'!AB406</f>
        <v>0</v>
      </c>
      <c r="AA48" s="464">
        <f>'3月'!AC406</f>
        <v>0</v>
      </c>
      <c r="AB48" s="464">
        <f>'3月'!AD406</f>
        <v>0</v>
      </c>
      <c r="AC48" s="464">
        <f>'3月'!AE406</f>
        <v>0</v>
      </c>
      <c r="AD48" s="464">
        <f>'3月'!AF406</f>
        <v>0</v>
      </c>
      <c r="AE48" s="464">
        <f>'3月'!AG406</f>
        <v>0</v>
      </c>
      <c r="AF48" s="464" t="e">
        <f>#REF!</f>
        <v>#REF!</v>
      </c>
      <c r="AG48" s="464" t="e">
        <f>#REF!</f>
        <v>#REF!</v>
      </c>
      <c r="AH48" s="464" t="e">
        <f>#REF!</f>
        <v>#REF!</v>
      </c>
      <c r="AI48" s="464" t="e">
        <f>#REF!</f>
        <v>#REF!</v>
      </c>
      <c r="AJ48" s="464" t="e">
        <f>#REF!</f>
        <v>#REF!</v>
      </c>
      <c r="AK48" s="464" t="e">
        <f>#REF!</f>
        <v>#REF!</v>
      </c>
      <c r="AL48" s="464" t="e">
        <f>#REF!</f>
        <v>#REF!</v>
      </c>
      <c r="AM48" s="464" t="e">
        <f>#REF!</f>
        <v>#REF!</v>
      </c>
      <c r="AN48" s="464" t="e">
        <f>#REF!</f>
        <v>#REF!</v>
      </c>
      <c r="AO48" s="464" t="e">
        <f>#REF!</f>
        <v>#REF!</v>
      </c>
      <c r="AP48" s="464" t="e">
        <f>#REF!</f>
        <v>#REF!</v>
      </c>
      <c r="AQ48" s="464" t="e">
        <f>#REF!</f>
        <v>#REF!</v>
      </c>
      <c r="AR48" s="464" t="e">
        <f>#REF!</f>
        <v>#REF!</v>
      </c>
      <c r="AS48" s="464" t="e">
        <f>#REF!</f>
        <v>#REF!</v>
      </c>
      <c r="AT48" s="464" t="e">
        <f>#REF!</f>
        <v>#REF!</v>
      </c>
      <c r="AU48" s="464" t="e">
        <f>#REF!</f>
        <v>#REF!</v>
      </c>
      <c r="AV48" s="464" t="e">
        <f>#REF!</f>
        <v>#REF!</v>
      </c>
      <c r="AW48" s="464" t="e">
        <f>#REF!</f>
        <v>#REF!</v>
      </c>
      <c r="AX48" s="464" t="e">
        <f>#REF!</f>
        <v>#REF!</v>
      </c>
      <c r="AY48" s="464" t="e">
        <f>#REF!</f>
        <v>#REF!</v>
      </c>
      <c r="AZ48" s="464" t="e">
        <f>#REF!</f>
        <v>#REF!</v>
      </c>
      <c r="BA48" s="464" t="e">
        <f>#REF!</f>
        <v>#REF!</v>
      </c>
      <c r="BB48" s="464" t="e">
        <f>#REF!</f>
        <v>#REF!</v>
      </c>
      <c r="BC48" s="464" t="e">
        <f>#REF!</f>
        <v>#REF!</v>
      </c>
      <c r="BD48" s="464" t="e">
        <f>#REF!</f>
        <v>#REF!</v>
      </c>
      <c r="BE48" s="464" t="e">
        <f>#REF!</f>
        <v>#REF!</v>
      </c>
      <c r="BF48" s="464" t="e">
        <f>#REF!</f>
        <v>#REF!</v>
      </c>
      <c r="BG48" s="464" t="e">
        <f>#REF!</f>
        <v>#REF!</v>
      </c>
      <c r="BH48" s="464" t="e">
        <f>#REF!</f>
        <v>#REF!</v>
      </c>
      <c r="BI48" s="464" t="e">
        <f>#REF!</f>
        <v>#REF!</v>
      </c>
      <c r="BJ48" s="464" t="e">
        <f>#REF!</f>
        <v>#REF!</v>
      </c>
      <c r="BK48" s="465" t="e">
        <f>#REF!</f>
        <v>#REF!</v>
      </c>
    </row>
    <row r="49" spans="1:94" ht="14.25" thickBot="1">
      <c r="B49" s="457"/>
      <c r="C49" s="457"/>
      <c r="D49" s="457"/>
      <c r="E49" s="457"/>
      <c r="F49" s="457"/>
      <c r="G49" s="457"/>
      <c r="H49" s="457"/>
      <c r="I49" s="457"/>
      <c r="J49" s="457"/>
      <c r="K49" s="457"/>
      <c r="L49" s="457"/>
      <c r="M49" s="457"/>
      <c r="N49" s="457"/>
      <c r="O49" s="457"/>
      <c r="P49" s="457"/>
      <c r="Q49" s="457"/>
      <c r="R49" s="457"/>
      <c r="S49" s="457"/>
      <c r="T49" s="457"/>
      <c r="U49" s="457"/>
      <c r="V49" s="457"/>
      <c r="W49" s="457"/>
      <c r="X49" s="457"/>
      <c r="Y49" s="457"/>
      <c r="Z49" s="457"/>
      <c r="AA49" s="457"/>
      <c r="AB49" s="457"/>
      <c r="AC49" s="457"/>
      <c r="AD49" s="457"/>
      <c r="AE49" s="457"/>
      <c r="AF49" s="457"/>
    </row>
    <row r="50" spans="1:94">
      <c r="A50" s="448" t="s">
        <v>501</v>
      </c>
      <c r="B50" s="454">
        <v>45474</v>
      </c>
      <c r="C50" s="449">
        <v>45475</v>
      </c>
      <c r="D50" s="449">
        <v>45476</v>
      </c>
      <c r="E50" s="449">
        <v>45477</v>
      </c>
      <c r="F50" s="449">
        <v>45478</v>
      </c>
      <c r="G50" s="449">
        <v>45479</v>
      </c>
      <c r="H50" s="449">
        <v>45480</v>
      </c>
      <c r="I50" s="449">
        <v>45481</v>
      </c>
      <c r="J50" s="449">
        <v>45482</v>
      </c>
      <c r="K50" s="449">
        <v>45483</v>
      </c>
      <c r="L50" s="449">
        <v>45484</v>
      </c>
      <c r="M50" s="449">
        <v>45485</v>
      </c>
      <c r="N50" s="449">
        <v>45486</v>
      </c>
      <c r="O50" s="449">
        <v>45487</v>
      </c>
      <c r="P50" s="449">
        <v>45488</v>
      </c>
      <c r="Q50" s="449">
        <v>45489</v>
      </c>
      <c r="R50" s="449">
        <v>45490</v>
      </c>
      <c r="S50" s="449">
        <v>45491</v>
      </c>
      <c r="T50" s="449">
        <v>45492</v>
      </c>
      <c r="U50" s="449">
        <v>45493</v>
      </c>
      <c r="V50" s="449">
        <v>45494</v>
      </c>
      <c r="W50" s="449">
        <v>45495</v>
      </c>
      <c r="X50" s="449">
        <v>45496</v>
      </c>
      <c r="Y50" s="449">
        <v>45497</v>
      </c>
      <c r="Z50" s="449">
        <v>45498</v>
      </c>
      <c r="AA50" s="449">
        <v>45499</v>
      </c>
      <c r="AB50" s="449">
        <v>45500</v>
      </c>
      <c r="AC50" s="449">
        <v>45501</v>
      </c>
      <c r="AD50" s="449">
        <v>45502</v>
      </c>
      <c r="AE50" s="449">
        <v>45503</v>
      </c>
      <c r="AF50" s="449">
        <v>45504</v>
      </c>
      <c r="AG50" s="454">
        <v>45505</v>
      </c>
      <c r="AH50" s="449">
        <v>45506</v>
      </c>
      <c r="AI50" s="449">
        <v>45507</v>
      </c>
      <c r="AJ50" s="449">
        <v>45508</v>
      </c>
      <c r="AK50" s="449">
        <v>45509</v>
      </c>
      <c r="AL50" s="449">
        <v>45510</v>
      </c>
      <c r="AM50" s="449">
        <v>45511</v>
      </c>
      <c r="AN50" s="449">
        <v>45512</v>
      </c>
      <c r="AO50" s="449">
        <v>45513</v>
      </c>
      <c r="AP50" s="449">
        <v>45514</v>
      </c>
      <c r="AQ50" s="449">
        <v>45515</v>
      </c>
      <c r="AR50" s="449">
        <v>45516</v>
      </c>
      <c r="AS50" s="449">
        <v>45517</v>
      </c>
      <c r="AT50" s="449">
        <v>45518</v>
      </c>
      <c r="AU50" s="449">
        <v>45519</v>
      </c>
      <c r="AV50" s="449">
        <v>45520</v>
      </c>
      <c r="AW50" s="449">
        <v>45521</v>
      </c>
      <c r="AX50" s="449">
        <v>45522</v>
      </c>
      <c r="AY50" s="449">
        <v>45523</v>
      </c>
      <c r="AZ50" s="449">
        <v>45524</v>
      </c>
      <c r="BA50" s="449">
        <v>45525</v>
      </c>
      <c r="BB50" s="449">
        <v>45526</v>
      </c>
      <c r="BC50" s="449">
        <v>45527</v>
      </c>
      <c r="BD50" s="449">
        <v>45528</v>
      </c>
      <c r="BE50" s="449">
        <v>45529</v>
      </c>
      <c r="BF50" s="449">
        <v>45530</v>
      </c>
      <c r="BG50" s="449">
        <v>45531</v>
      </c>
      <c r="BH50" s="449">
        <v>45532</v>
      </c>
      <c r="BI50" s="449">
        <v>45533</v>
      </c>
      <c r="BJ50" s="449">
        <v>45534</v>
      </c>
      <c r="BK50" s="449">
        <v>45535</v>
      </c>
      <c r="BL50" s="454">
        <v>45536</v>
      </c>
      <c r="BM50" s="449">
        <v>45537</v>
      </c>
      <c r="BN50" s="449">
        <v>45538</v>
      </c>
      <c r="BO50" s="449">
        <v>45539</v>
      </c>
      <c r="BP50" s="449">
        <v>45540</v>
      </c>
      <c r="BQ50" s="449">
        <v>45541</v>
      </c>
      <c r="BR50" s="449">
        <v>45542</v>
      </c>
      <c r="BS50" s="449">
        <v>45543</v>
      </c>
      <c r="BT50" s="449">
        <v>45544</v>
      </c>
      <c r="BU50" s="449">
        <v>45545</v>
      </c>
      <c r="BV50" s="449">
        <v>45546</v>
      </c>
      <c r="BW50" s="449">
        <v>45547</v>
      </c>
      <c r="BX50" s="449">
        <v>45548</v>
      </c>
      <c r="BY50" s="449">
        <v>45549</v>
      </c>
      <c r="BZ50" s="449">
        <v>45550</v>
      </c>
      <c r="CA50" s="449">
        <v>45551</v>
      </c>
      <c r="CB50" s="449">
        <v>45552</v>
      </c>
      <c r="CC50" s="449">
        <v>45553</v>
      </c>
      <c r="CD50" s="449">
        <v>45554</v>
      </c>
      <c r="CE50" s="449">
        <v>45555</v>
      </c>
      <c r="CF50" s="449">
        <v>45556</v>
      </c>
      <c r="CG50" s="449">
        <v>45557</v>
      </c>
      <c r="CH50" s="449">
        <v>45558</v>
      </c>
      <c r="CI50" s="449">
        <v>45559</v>
      </c>
      <c r="CJ50" s="449">
        <v>45560</v>
      </c>
      <c r="CK50" s="449">
        <v>45561</v>
      </c>
      <c r="CL50" s="449">
        <v>45562</v>
      </c>
      <c r="CM50" s="449">
        <v>45563</v>
      </c>
      <c r="CN50" s="449">
        <v>45564</v>
      </c>
      <c r="CO50" s="450">
        <v>45565</v>
      </c>
      <c r="CP50" s="467"/>
    </row>
    <row r="51" spans="1:94" ht="14.25" thickBot="1">
      <c r="A51" s="451" t="s">
        <v>502</v>
      </c>
      <c r="B51" s="458" cm="1">
        <f t="array" aca="1" ref="B51" ca="1">INDIRECT(ADDRESS(ROW($A$44),(COLUMN(A44)*2),1))</f>
        <v>0</v>
      </c>
      <c r="C51" s="459" cm="1">
        <f t="array" aca="1" ref="C51" ca="1">INDIRECT(ADDRESS(ROW($A$44),(COLUMN(B44)*2),1))</f>
        <v>0</v>
      </c>
      <c r="D51" s="459" cm="1">
        <f t="array" aca="1" ref="D51" ca="1">INDIRECT(ADDRESS(ROW($A$44),(COLUMN(C44)*2),1))</f>
        <v>17</v>
      </c>
      <c r="E51" s="459" cm="1">
        <f t="array" aca="1" ref="E51" ca="1">INDIRECT(ADDRESS(ROW($A$44),(COLUMN(D44)*2),1))</f>
        <v>19</v>
      </c>
      <c r="F51" s="459" cm="1">
        <f t="array" aca="1" ref="F51" ca="1">INDIRECT(ADDRESS(ROW($A$44),(COLUMN(E44)*2),1))</f>
        <v>19</v>
      </c>
      <c r="G51" s="459" cm="1">
        <f t="array" aca="1" ref="G51" ca="1">INDIRECT(ADDRESS(ROW($A$44),(COLUMN(F44)*2),1))</f>
        <v>23</v>
      </c>
      <c r="H51" s="459" cm="1">
        <f t="array" aca="1" ref="H51" ca="1">INDIRECT(ADDRESS(ROW($A$44),(COLUMN(G44)*2),1))</f>
        <v>24</v>
      </c>
      <c r="I51" s="459" cm="1">
        <f t="array" aca="1" ref="I51" ca="1">INDIRECT(ADDRESS(ROW($A$44),(COLUMN(H44)*2),1))</f>
        <v>32</v>
      </c>
      <c r="J51" s="459" cm="1">
        <f t="array" aca="1" ref="J51" ca="1">INDIRECT(ADDRESS(ROW($A$44),(COLUMN(I44)*2),1))</f>
        <v>39</v>
      </c>
      <c r="K51" s="459" cm="1">
        <f t="array" aca="1" ref="K51" ca="1">INDIRECT(ADDRESS(ROW($A$44),(COLUMN(J44)*2),1))</f>
        <v>46</v>
      </c>
      <c r="L51" s="459" cm="1">
        <f t="array" aca="1" ref="L51" ca="1">INDIRECT(ADDRESS(ROW($A$44),(COLUMN(K44)*2),1))</f>
        <v>52</v>
      </c>
      <c r="M51" s="459" cm="1">
        <f t="array" aca="1" ref="M51" ca="1">INDIRECT(ADDRESS(ROW($A$44),(COLUMN(L44)*2),1))</f>
        <v>52</v>
      </c>
      <c r="N51" s="459" cm="1">
        <f t="array" aca="1" ref="N51" ca="1">INDIRECT(ADDRESS(ROW($A$44),(COLUMN(M44)*2),1))</f>
        <v>52</v>
      </c>
      <c r="O51" s="459" cm="1">
        <f t="array" aca="1" ref="O51" ca="1">INDIRECT(ADDRESS(ROW($A$44),(COLUMN(N44)*2),1))</f>
        <v>71</v>
      </c>
      <c r="P51" s="459" cm="1">
        <f t="array" aca="1" ref="P51" ca="1">INDIRECT(ADDRESS(ROW($A$44),(COLUMN(O44)*2),1))</f>
        <v>78</v>
      </c>
      <c r="Q51" s="459" t="e" cm="1">
        <f t="array" aca="1" ref="Q51" ca="1">INDIRECT(ADDRESS(ROW($A$44),(COLUMN(P44)*2),1))</f>
        <v>#REF!</v>
      </c>
      <c r="R51" s="459" t="e" cm="1">
        <f t="array" aca="1" ref="R51" ca="1">INDIRECT(ADDRESS(ROW($A$44),(COLUMN(Q44)*2),1))</f>
        <v>#REF!</v>
      </c>
      <c r="S51" s="459" t="e" cm="1">
        <f t="array" aca="1" ref="S51" ca="1">INDIRECT(ADDRESS(ROW($A$44),(COLUMN(R44)*2),1))</f>
        <v>#REF!</v>
      </c>
      <c r="T51" s="459" t="e" cm="1">
        <f t="array" aca="1" ref="T51" ca="1">INDIRECT(ADDRESS(ROW($A$44),(COLUMN(S44)*2),1))</f>
        <v>#REF!</v>
      </c>
      <c r="U51" s="459" t="e" cm="1">
        <f t="array" aca="1" ref="U51" ca="1">INDIRECT(ADDRESS(ROW($A$44),(COLUMN(T44)*2),1))</f>
        <v>#REF!</v>
      </c>
      <c r="V51" s="459" t="e" cm="1">
        <f t="array" aca="1" ref="V51" ca="1">INDIRECT(ADDRESS(ROW($A$44),(COLUMN(U44)*2),1))</f>
        <v>#REF!</v>
      </c>
      <c r="W51" s="459" t="e" cm="1">
        <f t="array" aca="1" ref="W51" ca="1">INDIRECT(ADDRESS(ROW($A$44),(COLUMN(V44)*2),1))</f>
        <v>#REF!</v>
      </c>
      <c r="X51" s="459" t="e" cm="1">
        <f t="array" aca="1" ref="X51" ca="1">INDIRECT(ADDRESS(ROW($A$44),(COLUMN(W44)*2),1))</f>
        <v>#REF!</v>
      </c>
      <c r="Y51" s="459" t="e" cm="1">
        <f t="array" aca="1" ref="Y51" ca="1">INDIRECT(ADDRESS(ROW($A$44),(COLUMN(X44)*2),1))</f>
        <v>#REF!</v>
      </c>
      <c r="Z51" s="459" t="e" cm="1">
        <f t="array" aca="1" ref="Z51" ca="1">INDIRECT(ADDRESS(ROW($A$44),(COLUMN(Y44)*2),1))</f>
        <v>#REF!</v>
      </c>
      <c r="AA51" s="459" t="e" cm="1">
        <f t="array" aca="1" ref="AA51" ca="1">INDIRECT(ADDRESS(ROW($A$44),(COLUMN(Z44)*2),1))</f>
        <v>#REF!</v>
      </c>
      <c r="AB51" s="459" t="e" cm="1">
        <f t="array" aca="1" ref="AB51" ca="1">INDIRECT(ADDRESS(ROW($A$44),(COLUMN(AA44)*2),1))</f>
        <v>#REF!</v>
      </c>
      <c r="AC51" s="459" t="e" cm="1">
        <f t="array" aca="1" ref="AC51" ca="1">INDIRECT(ADDRESS(ROW($A$44),(COLUMN(AB44)*2),1))</f>
        <v>#REF!</v>
      </c>
      <c r="AD51" s="459" t="e" cm="1">
        <f t="array" aca="1" ref="AD51" ca="1">INDIRECT(ADDRESS(ROW($A$44),(COLUMN(AC44)*2),1))</f>
        <v>#REF!</v>
      </c>
      <c r="AE51" s="459" t="e" cm="1">
        <f t="array" aca="1" ref="AE51" ca="1">INDIRECT(ADDRESS(ROW($A$44),(COLUMN(AD44)*2),1))</f>
        <v>#REF!</v>
      </c>
      <c r="AF51" s="459" t="e" cm="1">
        <f t="array" aca="1" ref="AF51" ca="1">INDIRECT(ADDRESS(ROW($A$44),(COLUMN(AE44)*2),1))</f>
        <v>#REF!</v>
      </c>
      <c r="AG51" s="455" cm="1">
        <f t="array" aca="1" ref="AG51" ca="1">INDIRECT(ADDRESS(ROW($A$46),(COLUMN(A46)*2),1))</f>
        <v>78</v>
      </c>
      <c r="AH51" s="452" cm="1">
        <f t="array" aca="1" ref="AH51" ca="1">INDIRECT(ADDRESS(ROW($A$46),(COLUMN(B46)*2),1))</f>
        <v>78</v>
      </c>
      <c r="AI51" s="452" cm="1">
        <f t="array" aca="1" ref="AI51" ca="1">INDIRECT(ADDRESS(ROW($A$46),(COLUMN(C46)*2),1))</f>
        <v>78</v>
      </c>
      <c r="AJ51" s="452" cm="1">
        <f t="array" aca="1" ref="AJ51" ca="1">INDIRECT(ADDRESS(ROW($A$46),(COLUMN(D46)*2),1))</f>
        <v>78</v>
      </c>
      <c r="AK51" s="452" cm="1">
        <f t="array" aca="1" ref="AK51" ca="1">INDIRECT(ADDRESS(ROW($A$46),(COLUMN(E46)*2),1))</f>
        <v>78</v>
      </c>
      <c r="AL51" s="452" cm="1">
        <f t="array" aca="1" ref="AL51" ca="1">INDIRECT(ADDRESS(ROW($A$46),(COLUMN(F46)*2),1))</f>
        <v>78</v>
      </c>
      <c r="AM51" s="452" cm="1">
        <f t="array" aca="1" ref="AM51" ca="1">INDIRECT(ADDRESS(ROW($A$46),(COLUMN(G46)*2),1))</f>
        <v>78</v>
      </c>
      <c r="AN51" s="452" cm="1">
        <f t="array" aca="1" ref="AN51" ca="1">INDIRECT(ADDRESS(ROW($A$46),(COLUMN(H46)*2),1))</f>
        <v>78</v>
      </c>
      <c r="AO51" s="452" cm="1">
        <f t="array" aca="1" ref="AO51" ca="1">INDIRECT(ADDRESS(ROW($A$46),(COLUMN(I46)*2),1))</f>
        <v>78</v>
      </c>
      <c r="AP51" s="452" cm="1">
        <f t="array" aca="1" ref="AP51" ca="1">INDIRECT(ADDRESS(ROW($A$46),(COLUMN(J46)*2),1))</f>
        <v>78</v>
      </c>
      <c r="AQ51" s="452" cm="1">
        <f t="array" aca="1" ref="AQ51" ca="1">INDIRECT(ADDRESS(ROW($A$46),(COLUMN(K46)*2),1))</f>
        <v>78</v>
      </c>
      <c r="AR51" s="452" cm="1">
        <f t="array" aca="1" ref="AR51" ca="1">INDIRECT(ADDRESS(ROW($A$46),(COLUMN(L46)*2),1))</f>
        <v>78</v>
      </c>
      <c r="AS51" s="452" cm="1">
        <f t="array" aca="1" ref="AS51" ca="1">INDIRECT(ADDRESS(ROW($A$46),(COLUMN(M46)*2),1))</f>
        <v>78</v>
      </c>
      <c r="AT51" s="452" cm="1">
        <f t="array" aca="1" ref="AT51" ca="1">INDIRECT(ADDRESS(ROW($A$46),(COLUMN(N46)*2),1))</f>
        <v>78</v>
      </c>
      <c r="AU51" s="452" cm="1">
        <f t="array" aca="1" ref="AU51" ca="1">INDIRECT(ADDRESS(ROW($A$46),(COLUMN(O46)*2),1))</f>
        <v>78</v>
      </c>
      <c r="AV51" s="452" t="e" cm="1">
        <f t="array" aca="1" ref="AV51" ca="1">INDIRECT(ADDRESS(ROW($A$46),(COLUMN(P46)*2),1))</f>
        <v>#REF!</v>
      </c>
      <c r="AW51" s="452" t="e" cm="1">
        <f t="array" aca="1" ref="AW51" ca="1">INDIRECT(ADDRESS(ROW($A$46),(COLUMN(Q46)*2),1))</f>
        <v>#REF!</v>
      </c>
      <c r="AX51" s="452" t="e" cm="1">
        <f t="array" aca="1" ref="AX51" ca="1">INDIRECT(ADDRESS(ROW($A$46),(COLUMN(R46)*2),1))</f>
        <v>#REF!</v>
      </c>
      <c r="AY51" s="452" t="e" cm="1">
        <f t="array" aca="1" ref="AY51" ca="1">INDIRECT(ADDRESS(ROW($A$46),(COLUMN(S46)*2),1))</f>
        <v>#REF!</v>
      </c>
      <c r="AZ51" s="452" t="e" cm="1">
        <f t="array" aca="1" ref="AZ51" ca="1">INDIRECT(ADDRESS(ROW($A$46),(COLUMN(T46)*2),1))</f>
        <v>#REF!</v>
      </c>
      <c r="BA51" s="452" t="e" cm="1">
        <f t="array" aca="1" ref="BA51" ca="1">INDIRECT(ADDRESS(ROW($A$46),(COLUMN(U46)*2),1))</f>
        <v>#REF!</v>
      </c>
      <c r="BB51" s="452" t="e" cm="1">
        <f t="array" aca="1" ref="BB51" ca="1">INDIRECT(ADDRESS(ROW($A$46),(COLUMN(V46)*2),1))</f>
        <v>#REF!</v>
      </c>
      <c r="BC51" s="452" t="e" cm="1">
        <f t="array" aca="1" ref="BC51" ca="1">INDIRECT(ADDRESS(ROW($A$46),(COLUMN(W46)*2),1))</f>
        <v>#REF!</v>
      </c>
      <c r="BD51" s="452" t="e" cm="1">
        <f t="array" aca="1" ref="BD51" ca="1">INDIRECT(ADDRESS(ROW($A$46),(COLUMN(X46)*2),1))</f>
        <v>#REF!</v>
      </c>
      <c r="BE51" s="452" t="e" cm="1">
        <f t="array" aca="1" ref="BE51" ca="1">INDIRECT(ADDRESS(ROW($A$46),(COLUMN(Y46)*2),1))</f>
        <v>#REF!</v>
      </c>
      <c r="BF51" s="452" t="e" cm="1">
        <f t="array" aca="1" ref="BF51" ca="1">INDIRECT(ADDRESS(ROW($A$46),(COLUMN(Z46)*2),1))</f>
        <v>#REF!</v>
      </c>
      <c r="BG51" s="452" t="e" cm="1">
        <f t="array" aca="1" ref="BG51" ca="1">INDIRECT(ADDRESS(ROW($A$46),(COLUMN(AA46)*2),1))</f>
        <v>#REF!</v>
      </c>
      <c r="BH51" s="452" t="e" cm="1">
        <f t="array" aca="1" ref="BH51" ca="1">INDIRECT(ADDRESS(ROW($A$46),(COLUMN(AB46)*2),1))</f>
        <v>#REF!</v>
      </c>
      <c r="BI51" s="452" t="e" cm="1">
        <f t="array" aca="1" ref="BI51" ca="1">INDIRECT(ADDRESS(ROW($A$46),(COLUMN(AC46)*2),1))</f>
        <v>#REF!</v>
      </c>
      <c r="BJ51" s="452" t="e" cm="1">
        <f t="array" aca="1" ref="BJ51" ca="1">INDIRECT(ADDRESS(ROW($A$46),(COLUMN(AD46)*2),1))</f>
        <v>#REF!</v>
      </c>
      <c r="BK51" s="452" t="e" cm="1">
        <f t="array" aca="1" ref="BK51" ca="1">INDIRECT(ADDRESS(ROW($A$46),(COLUMN(AE46)*2),1))</f>
        <v>#REF!</v>
      </c>
      <c r="BL51" s="455" cm="1">
        <f t="array" aca="1" ref="BL51" ca="1">INDIRECT(ADDRESS(ROW($A$48),(COLUMN(A48)*2),1))</f>
        <v>78</v>
      </c>
      <c r="BM51" s="452" cm="1">
        <f t="array" aca="1" ref="BM51" ca="1">INDIRECT(ADDRESS(ROW($A$48),(COLUMN(B48)*2),1))</f>
        <v>0</v>
      </c>
      <c r="BN51" s="452" cm="1">
        <f t="array" aca="1" ref="BN51" ca="1">INDIRECT(ADDRESS(ROW($A$48),(COLUMN(C48)*2),1))</f>
        <v>0</v>
      </c>
      <c r="BO51" s="452" cm="1">
        <f t="array" aca="1" ref="BO51" ca="1">INDIRECT(ADDRESS(ROW($A$48),(COLUMN(D48)*2),1))</f>
        <v>0</v>
      </c>
      <c r="BP51" s="452" cm="1">
        <f t="array" aca="1" ref="BP51" ca="1">INDIRECT(ADDRESS(ROW($A$48),(COLUMN(E48)*2),1))</f>
        <v>0</v>
      </c>
      <c r="BQ51" s="452" cm="1">
        <f t="array" aca="1" ref="BQ51" ca="1">INDIRECT(ADDRESS(ROW($A$48),(COLUMN(F48)*2),1))</f>
        <v>0</v>
      </c>
      <c r="BR51" s="452" cm="1">
        <f t="array" aca="1" ref="BR51" ca="1">INDIRECT(ADDRESS(ROW($A$48),(COLUMN(G48)*2),1))</f>
        <v>0</v>
      </c>
      <c r="BS51" s="452" cm="1">
        <f t="array" aca="1" ref="BS51" ca="1">INDIRECT(ADDRESS(ROW($A$48),(COLUMN(H48)*2),1))</f>
        <v>0</v>
      </c>
      <c r="BT51" s="452" cm="1">
        <f t="array" aca="1" ref="BT51" ca="1">INDIRECT(ADDRESS(ROW($A$48),(COLUMN(I48)*2),1))</f>
        <v>0</v>
      </c>
      <c r="BU51" s="452" cm="1">
        <f t="array" aca="1" ref="BU51" ca="1">INDIRECT(ADDRESS(ROW($A$48),(COLUMN(J48)*2),1))</f>
        <v>0</v>
      </c>
      <c r="BV51" s="452" cm="1">
        <f t="array" aca="1" ref="BV51" ca="1">INDIRECT(ADDRESS(ROW($A$48),(COLUMN(K48)*2),1))</f>
        <v>0</v>
      </c>
      <c r="BW51" s="452" cm="1">
        <f t="array" aca="1" ref="BW51" ca="1">INDIRECT(ADDRESS(ROW($A$48),(COLUMN(L48)*2),1))</f>
        <v>0</v>
      </c>
      <c r="BX51" s="452" cm="1">
        <f t="array" aca="1" ref="BX51" ca="1">INDIRECT(ADDRESS(ROW($A$48),(COLUMN(M48)*2),1))</f>
        <v>0</v>
      </c>
      <c r="BY51" s="452" cm="1">
        <f t="array" aca="1" ref="BY51" ca="1">INDIRECT(ADDRESS(ROW($A$48),(COLUMN(N48)*2),1))</f>
        <v>0</v>
      </c>
      <c r="BZ51" s="452" cm="1">
        <f t="array" aca="1" ref="BZ51" ca="1">INDIRECT(ADDRESS(ROW($A$48),(COLUMN(O48)*2),1))</f>
        <v>0</v>
      </c>
      <c r="CA51" s="452" t="e" cm="1">
        <f t="array" aca="1" ref="CA51" ca="1">INDIRECT(ADDRESS(ROW($A$48),(COLUMN(P48)*2),1))</f>
        <v>#REF!</v>
      </c>
      <c r="CB51" s="452" t="e" cm="1">
        <f t="array" aca="1" ref="CB51" ca="1">INDIRECT(ADDRESS(ROW($A$48),(COLUMN(Q48)*2),1))</f>
        <v>#REF!</v>
      </c>
      <c r="CC51" s="452" t="e" cm="1">
        <f t="array" aca="1" ref="CC51" ca="1">INDIRECT(ADDRESS(ROW($A$48),(COLUMN(R48)*2),1))</f>
        <v>#REF!</v>
      </c>
      <c r="CD51" s="452" t="e" cm="1">
        <f t="array" aca="1" ref="CD51" ca="1">INDIRECT(ADDRESS(ROW($A$48),(COLUMN(S48)*2),1))</f>
        <v>#REF!</v>
      </c>
      <c r="CE51" s="452" t="e" cm="1">
        <f t="array" aca="1" ref="CE51" ca="1">INDIRECT(ADDRESS(ROW($A$48),(COLUMN(T48)*2),1))</f>
        <v>#REF!</v>
      </c>
      <c r="CF51" s="452" t="e" cm="1">
        <f t="array" aca="1" ref="CF51" ca="1">INDIRECT(ADDRESS(ROW($A$48),(COLUMN(U48)*2),1))</f>
        <v>#REF!</v>
      </c>
      <c r="CG51" s="452" t="e" cm="1">
        <f t="array" aca="1" ref="CG51" ca="1">INDIRECT(ADDRESS(ROW($A$48),(COLUMN(V48)*2),1))</f>
        <v>#REF!</v>
      </c>
      <c r="CH51" s="452" t="e" cm="1">
        <f t="array" aca="1" ref="CH51" ca="1">INDIRECT(ADDRESS(ROW($A$48),(COLUMN(W48)*2),1))</f>
        <v>#REF!</v>
      </c>
      <c r="CI51" s="452" t="e" cm="1">
        <f t="array" aca="1" ref="CI51" ca="1">INDIRECT(ADDRESS(ROW($A$48),(COLUMN(X48)*2),1))</f>
        <v>#REF!</v>
      </c>
      <c r="CJ51" s="452" t="e" cm="1">
        <f t="array" aca="1" ref="CJ51" ca="1">INDIRECT(ADDRESS(ROW($A$48),(COLUMN(Y48)*2),1))</f>
        <v>#REF!</v>
      </c>
      <c r="CK51" s="452" t="e" cm="1">
        <f t="array" aca="1" ref="CK51" ca="1">INDIRECT(ADDRESS(ROW($A$48),(COLUMN(Z48)*2),1))</f>
        <v>#REF!</v>
      </c>
      <c r="CL51" s="452" t="e" cm="1">
        <f t="array" aca="1" ref="CL51" ca="1">INDIRECT(ADDRESS(ROW($A$48),(COLUMN(AA48)*2),1))</f>
        <v>#REF!</v>
      </c>
      <c r="CM51" s="452" t="e" cm="1">
        <f t="array" aca="1" ref="CM51" ca="1">INDIRECT(ADDRESS(ROW($A$48),(COLUMN(AB48)*2),1))</f>
        <v>#REF!</v>
      </c>
      <c r="CN51" s="452" t="e" cm="1">
        <f t="array" aca="1" ref="CN51" ca="1">INDIRECT(ADDRESS(ROW($A$48),(COLUMN(AC48)*2),1))</f>
        <v>#REF!</v>
      </c>
      <c r="CO51" s="452" t="e" cm="1">
        <f t="array" aca="1" ref="CO51" ca="1">INDIRECT(ADDRESS(ROW($A$48),(COLUMN(AD48)*2),1))</f>
        <v>#REF!</v>
      </c>
    </row>
    <row r="52" spans="1:94" ht="14.25" thickBot="1">
      <c r="B52" s="457"/>
      <c r="C52" s="457"/>
      <c r="D52" s="457"/>
      <c r="E52" s="457"/>
      <c r="F52" s="457"/>
      <c r="G52" s="457"/>
      <c r="H52" s="457"/>
      <c r="I52" s="457"/>
      <c r="J52" s="457"/>
      <c r="K52" s="457"/>
      <c r="L52" s="457"/>
      <c r="M52" s="457"/>
      <c r="N52" s="457"/>
      <c r="O52" s="457"/>
      <c r="P52" s="457"/>
      <c r="Q52" s="457"/>
      <c r="R52" s="457"/>
      <c r="S52" s="457"/>
      <c r="T52" s="457"/>
      <c r="U52" s="457"/>
      <c r="V52" s="457"/>
      <c r="W52" s="457"/>
      <c r="X52" s="457"/>
      <c r="Y52" s="457"/>
      <c r="Z52" s="457"/>
      <c r="AA52" s="457"/>
      <c r="AB52" s="457"/>
      <c r="AC52" s="457"/>
      <c r="AD52" s="457"/>
      <c r="AE52" s="457"/>
      <c r="AF52" s="457"/>
    </row>
    <row r="53" spans="1:94">
      <c r="A53" s="448" t="s">
        <v>501</v>
      </c>
      <c r="B53" s="454">
        <v>45474</v>
      </c>
      <c r="C53" s="449">
        <v>45475</v>
      </c>
      <c r="D53" s="449">
        <v>45476</v>
      </c>
      <c r="E53" s="449">
        <v>45477</v>
      </c>
      <c r="F53" s="449">
        <v>45478</v>
      </c>
      <c r="G53" s="449">
        <v>45479</v>
      </c>
      <c r="H53" s="449">
        <v>45480</v>
      </c>
      <c r="I53" s="449">
        <v>45481</v>
      </c>
      <c r="J53" s="449">
        <v>45482</v>
      </c>
      <c r="K53" s="449">
        <v>45483</v>
      </c>
      <c r="L53" s="449">
        <v>45484</v>
      </c>
      <c r="M53" s="449">
        <v>45485</v>
      </c>
      <c r="N53" s="449">
        <v>45486</v>
      </c>
      <c r="O53" s="449">
        <v>45487</v>
      </c>
      <c r="P53" s="449">
        <v>45488</v>
      </c>
      <c r="Q53" s="449">
        <v>45489</v>
      </c>
      <c r="R53" s="449">
        <v>45490</v>
      </c>
      <c r="S53" s="449">
        <v>45491</v>
      </c>
      <c r="T53" s="449">
        <v>45492</v>
      </c>
      <c r="U53" s="449">
        <v>45493</v>
      </c>
      <c r="V53" s="449">
        <v>45494</v>
      </c>
      <c r="W53" s="449">
        <v>45495</v>
      </c>
      <c r="X53" s="449">
        <v>45496</v>
      </c>
      <c r="Y53" s="449">
        <v>45497</v>
      </c>
      <c r="Z53" s="449">
        <v>45498</v>
      </c>
      <c r="AA53" s="449">
        <v>45499</v>
      </c>
      <c r="AB53" s="449">
        <v>45500</v>
      </c>
      <c r="AC53" s="449">
        <v>45501</v>
      </c>
      <c r="AD53" s="449">
        <v>45502</v>
      </c>
      <c r="AE53" s="449">
        <v>45503</v>
      </c>
      <c r="AF53" s="449">
        <v>45504</v>
      </c>
      <c r="AG53" s="454">
        <v>45505</v>
      </c>
      <c r="AH53" s="449">
        <v>45506</v>
      </c>
      <c r="AI53" s="449">
        <v>45507</v>
      </c>
      <c r="AJ53" s="449">
        <v>45508</v>
      </c>
      <c r="AK53" s="449">
        <v>45509</v>
      </c>
      <c r="AL53" s="449">
        <v>45510</v>
      </c>
      <c r="AM53" s="449">
        <v>45511</v>
      </c>
      <c r="AN53" s="449">
        <v>45512</v>
      </c>
      <c r="AO53" s="449">
        <v>45513</v>
      </c>
      <c r="AP53" s="449">
        <v>45514</v>
      </c>
      <c r="AQ53" s="449">
        <v>45515</v>
      </c>
      <c r="AR53" s="449">
        <v>45516</v>
      </c>
      <c r="AS53" s="449">
        <v>45517</v>
      </c>
      <c r="AT53" s="449">
        <v>45518</v>
      </c>
      <c r="AU53" s="449">
        <v>45519</v>
      </c>
      <c r="AV53" s="449">
        <v>45520</v>
      </c>
      <c r="AW53" s="449">
        <v>45521</v>
      </c>
      <c r="AX53" s="449">
        <v>45522</v>
      </c>
      <c r="AY53" s="449">
        <v>45523</v>
      </c>
      <c r="AZ53" s="449">
        <v>45524</v>
      </c>
      <c r="BA53" s="449">
        <v>45525</v>
      </c>
      <c r="BB53" s="449">
        <v>45526</v>
      </c>
      <c r="BC53" s="449">
        <v>45527</v>
      </c>
      <c r="BD53" s="449">
        <v>45528</v>
      </c>
      <c r="BE53" s="449">
        <v>45529</v>
      </c>
      <c r="BF53" s="449">
        <v>45530</v>
      </c>
      <c r="BG53" s="449">
        <v>45531</v>
      </c>
      <c r="BH53" s="449">
        <v>45532</v>
      </c>
      <c r="BI53" s="449">
        <v>45533</v>
      </c>
      <c r="BJ53" s="449">
        <v>45534</v>
      </c>
      <c r="BK53" s="449">
        <v>45535</v>
      </c>
      <c r="BL53" s="454">
        <v>45536</v>
      </c>
      <c r="BM53" s="449">
        <v>45537</v>
      </c>
      <c r="BN53" s="449">
        <v>45538</v>
      </c>
      <c r="BO53" s="449">
        <v>45539</v>
      </c>
      <c r="BP53" s="449">
        <v>45540</v>
      </c>
      <c r="BQ53" s="449">
        <v>45541</v>
      </c>
      <c r="BR53" s="449">
        <v>45542</v>
      </c>
      <c r="BS53" s="449">
        <v>45543</v>
      </c>
      <c r="BT53" s="449">
        <v>45544</v>
      </c>
      <c r="BU53" s="449">
        <v>45545</v>
      </c>
      <c r="BV53" s="449">
        <v>45546</v>
      </c>
      <c r="BW53" s="449">
        <v>45547</v>
      </c>
      <c r="BX53" s="449">
        <v>45548</v>
      </c>
      <c r="BY53" s="449">
        <v>45549</v>
      </c>
      <c r="BZ53" s="449">
        <v>45550</v>
      </c>
      <c r="CA53" s="449">
        <v>45551</v>
      </c>
      <c r="CB53" s="449">
        <v>45552</v>
      </c>
      <c r="CC53" s="449">
        <v>45553</v>
      </c>
      <c r="CD53" s="449">
        <v>45554</v>
      </c>
      <c r="CE53" s="449">
        <v>45555</v>
      </c>
      <c r="CF53" s="449">
        <v>45556</v>
      </c>
      <c r="CG53" s="449">
        <v>45557</v>
      </c>
      <c r="CH53" s="449">
        <v>45558</v>
      </c>
      <c r="CI53" s="449">
        <v>45559</v>
      </c>
      <c r="CJ53" s="449">
        <v>45560</v>
      </c>
      <c r="CK53" s="449">
        <v>45561</v>
      </c>
      <c r="CL53" s="449">
        <v>45562</v>
      </c>
      <c r="CM53" s="449">
        <v>45563</v>
      </c>
      <c r="CN53" s="449">
        <v>45564</v>
      </c>
      <c r="CO53" s="450">
        <v>45565</v>
      </c>
    </row>
    <row r="54" spans="1:94" ht="14.25" thickBot="1">
      <c r="A54" s="451" t="s">
        <v>503</v>
      </c>
      <c r="B54" s="458" cm="1">
        <f t="array" aca="1" ref="B54" ca="1">INDIRECT(ADDRESS(ROW($A$44),(COLUMN(A44)*2+1),1))</f>
        <v>0</v>
      </c>
      <c r="C54" s="459" cm="1">
        <f t="array" aca="1" ref="C54" ca="1">INDIRECT(ADDRESS(ROW($A$44),(COLUMN(B44)*2+1),1))</f>
        <v>0</v>
      </c>
      <c r="D54" s="459" cm="1">
        <f t="array" aca="1" ref="D54" ca="1">INDIRECT(ADDRESS(ROW($A$44),(COLUMN(C44)*2+1),1))</f>
        <v>28</v>
      </c>
      <c r="E54" s="459" cm="1">
        <f t="array" aca="1" ref="E54" ca="1">INDIRECT(ADDRESS(ROW($A$44),(COLUMN(D44)*2+1),1))</f>
        <v>31</v>
      </c>
      <c r="F54" s="459" cm="1">
        <f t="array" aca="1" ref="F54" ca="1">INDIRECT(ADDRESS(ROW($A$44),(COLUMN(E44)*2+1),1))</f>
        <v>31</v>
      </c>
      <c r="G54" s="459" cm="1">
        <f t="array" aca="1" ref="G54" ca="1">INDIRECT(ADDRESS(ROW($A$44),(COLUMN(F44)*2+1),1))</f>
        <v>38</v>
      </c>
      <c r="H54" s="459" cm="1">
        <f t="array" aca="1" ref="H54" ca="1">INDIRECT(ADDRESS(ROW($A$44),(COLUMN(G44)*2+1),1))</f>
        <v>39</v>
      </c>
      <c r="I54" s="459" cm="1">
        <f t="array" aca="1" ref="I54" ca="1">INDIRECT(ADDRESS(ROW($A$44),(COLUMN(H44)*2+1),1))</f>
        <v>52</v>
      </c>
      <c r="J54" s="459" cm="1">
        <f t="array" aca="1" ref="J54" ca="1">INDIRECT(ADDRESS(ROW($A$44),(COLUMN(I44)*2+1),1))</f>
        <v>62</v>
      </c>
      <c r="K54" s="459" cm="1">
        <f t="array" aca="1" ref="K54" ca="1">INDIRECT(ADDRESS(ROW($A$44),(COLUMN(J44)*2+1),1))</f>
        <v>71</v>
      </c>
      <c r="L54" s="459" cm="1">
        <f t="array" aca="1" ref="L54" ca="1">INDIRECT(ADDRESS(ROW($A$44),(COLUMN(K44)*2+1),1))</f>
        <v>81</v>
      </c>
      <c r="M54" s="459" cm="1">
        <f t="array" aca="1" ref="M54" ca="1">INDIRECT(ADDRESS(ROW($A$44),(COLUMN(L44)*2+1),1))</f>
        <v>81</v>
      </c>
      <c r="N54" s="459" cm="1">
        <f t="array" aca="1" ref="N54" ca="1">INDIRECT(ADDRESS(ROW($A$44),(COLUMN(M44)*2+1),1))</f>
        <v>81</v>
      </c>
      <c r="O54" s="459" cm="1">
        <f t="array" aca="1" ref="O54" ca="1">INDIRECT(ADDRESS(ROW($A$44),(COLUMN(N44)*2+1),1))</f>
        <v>104</v>
      </c>
      <c r="P54" s="459" cm="1">
        <f t="array" aca="1" ref="P54" ca="1">INDIRECT(ADDRESS(ROW($A$44),(COLUMN(O44)*2+1),1))</f>
        <v>112</v>
      </c>
      <c r="Q54" s="459" t="e" cm="1">
        <f t="array" aca="1" ref="Q54" ca="1">INDIRECT(ADDRESS(ROW($A$44),(COLUMN(P44)*2+1),1))</f>
        <v>#REF!</v>
      </c>
      <c r="R54" s="459" t="e" cm="1">
        <f t="array" aca="1" ref="R54" ca="1">INDIRECT(ADDRESS(ROW($A$44),(COLUMN(Q44)*2+1),1))</f>
        <v>#REF!</v>
      </c>
      <c r="S54" s="459" t="e" cm="1">
        <f t="array" aca="1" ref="S54" ca="1">INDIRECT(ADDRESS(ROW($A$44),(COLUMN(R44)*2+1),1))</f>
        <v>#REF!</v>
      </c>
      <c r="T54" s="459" t="e" cm="1">
        <f t="array" aca="1" ref="T54" ca="1">INDIRECT(ADDRESS(ROW($A$44),(COLUMN(S44)*2+1),1))</f>
        <v>#REF!</v>
      </c>
      <c r="U54" s="459" t="e" cm="1">
        <f t="array" aca="1" ref="U54" ca="1">INDIRECT(ADDRESS(ROW($A$44),(COLUMN(T44)*2+1),1))</f>
        <v>#REF!</v>
      </c>
      <c r="V54" s="459" t="e" cm="1">
        <f t="array" aca="1" ref="V54" ca="1">INDIRECT(ADDRESS(ROW($A$44),(COLUMN(U44)*2+1),1))</f>
        <v>#REF!</v>
      </c>
      <c r="W54" s="459" t="e" cm="1">
        <f t="array" aca="1" ref="W54" ca="1">INDIRECT(ADDRESS(ROW($A$44),(COLUMN(V44)*2+1),1))</f>
        <v>#REF!</v>
      </c>
      <c r="X54" s="459" t="e" cm="1">
        <f t="array" aca="1" ref="X54" ca="1">INDIRECT(ADDRESS(ROW($A$44),(COLUMN(W44)*2+1),1))</f>
        <v>#REF!</v>
      </c>
      <c r="Y54" s="459" t="e" cm="1">
        <f t="array" aca="1" ref="Y54" ca="1">INDIRECT(ADDRESS(ROW($A$44),(COLUMN(X44)*2+1),1))</f>
        <v>#REF!</v>
      </c>
      <c r="Z54" s="459" t="e" cm="1">
        <f t="array" aca="1" ref="Z54" ca="1">INDIRECT(ADDRESS(ROW($A$44),(COLUMN(Y44)*2+1),1))</f>
        <v>#REF!</v>
      </c>
      <c r="AA54" s="459" t="e" cm="1">
        <f t="array" aca="1" ref="AA54" ca="1">INDIRECT(ADDRESS(ROW($A$44),(COLUMN(Z44)*2+1),1))</f>
        <v>#REF!</v>
      </c>
      <c r="AB54" s="459" t="e" cm="1">
        <f t="array" aca="1" ref="AB54" ca="1">INDIRECT(ADDRESS(ROW($A$44),(COLUMN(AA44)*2+1),1))</f>
        <v>#REF!</v>
      </c>
      <c r="AC54" s="459" t="e" cm="1">
        <f t="array" aca="1" ref="AC54" ca="1">INDIRECT(ADDRESS(ROW($A$44),(COLUMN(AB44)*2+1),1))</f>
        <v>#REF!</v>
      </c>
      <c r="AD54" s="459" t="e" cm="1">
        <f t="array" aca="1" ref="AD54" ca="1">INDIRECT(ADDRESS(ROW($A$44),(COLUMN(AC44)*2+1),1))</f>
        <v>#REF!</v>
      </c>
      <c r="AE54" s="459" t="e" cm="1">
        <f t="array" aca="1" ref="AE54" ca="1">INDIRECT(ADDRESS(ROW($A$44),(COLUMN(AD44)*2+1),1))</f>
        <v>#REF!</v>
      </c>
      <c r="AF54" s="459" t="e" cm="1">
        <f t="array" aca="1" ref="AF54" ca="1">INDIRECT(ADDRESS(ROW($A$44),(COLUMN(AE44)*2+1),1))</f>
        <v>#REF!</v>
      </c>
      <c r="AG54" s="458" cm="1">
        <f t="array" aca="1" ref="AG54" ca="1">INDIRECT(ADDRESS(ROW($A$46),(COLUMN(A46)*2+1),1))</f>
        <v>112</v>
      </c>
      <c r="AH54" s="459" cm="1">
        <f t="array" aca="1" ref="AH54" ca="1">INDIRECT(ADDRESS(ROW($A$46),(COLUMN(B46)*2+1),1))</f>
        <v>112</v>
      </c>
      <c r="AI54" s="459" cm="1">
        <f t="array" aca="1" ref="AI54" ca="1">INDIRECT(ADDRESS(ROW($A$46),(COLUMN(C46)*2+1),1))</f>
        <v>112</v>
      </c>
      <c r="AJ54" s="459" cm="1">
        <f t="array" aca="1" ref="AJ54" ca="1">INDIRECT(ADDRESS(ROW($A$46),(COLUMN(D46)*2+1),1))</f>
        <v>112</v>
      </c>
      <c r="AK54" s="459" cm="1">
        <f t="array" aca="1" ref="AK54" ca="1">INDIRECT(ADDRESS(ROW($A$46),(COLUMN(E46)*2+1),1))</f>
        <v>112</v>
      </c>
      <c r="AL54" s="459" cm="1">
        <f t="array" aca="1" ref="AL54" ca="1">INDIRECT(ADDRESS(ROW($A$46),(COLUMN(F46)*2+1),1))</f>
        <v>112</v>
      </c>
      <c r="AM54" s="459" cm="1">
        <f t="array" aca="1" ref="AM54" ca="1">INDIRECT(ADDRESS(ROW($A$46),(COLUMN(G46)*2+1),1))</f>
        <v>112</v>
      </c>
      <c r="AN54" s="459" cm="1">
        <f t="array" aca="1" ref="AN54" ca="1">INDIRECT(ADDRESS(ROW($A$46),(COLUMN(H46)*2+1),1))</f>
        <v>112</v>
      </c>
      <c r="AO54" s="459" cm="1">
        <f t="array" aca="1" ref="AO54" ca="1">INDIRECT(ADDRESS(ROW($A$46),(COLUMN(I46)*2+1),1))</f>
        <v>112</v>
      </c>
      <c r="AP54" s="459" cm="1">
        <f t="array" aca="1" ref="AP54" ca="1">INDIRECT(ADDRESS(ROW($A$46),(COLUMN(J46)*2+1),1))</f>
        <v>112</v>
      </c>
      <c r="AQ54" s="459" cm="1">
        <f t="array" aca="1" ref="AQ54" ca="1">INDIRECT(ADDRESS(ROW($A$46),(COLUMN(K46)*2+1),1))</f>
        <v>112</v>
      </c>
      <c r="AR54" s="459" cm="1">
        <f t="array" aca="1" ref="AR54" ca="1">INDIRECT(ADDRESS(ROW($A$46),(COLUMN(L46)*2+1),1))</f>
        <v>112</v>
      </c>
      <c r="AS54" s="459" cm="1">
        <f t="array" aca="1" ref="AS54" ca="1">INDIRECT(ADDRESS(ROW($A$46),(COLUMN(M46)*2+1),1))</f>
        <v>112</v>
      </c>
      <c r="AT54" s="459" cm="1">
        <f t="array" aca="1" ref="AT54" ca="1">INDIRECT(ADDRESS(ROW($A$46),(COLUMN(N46)*2+1),1))</f>
        <v>112</v>
      </c>
      <c r="AU54" s="459" cm="1">
        <f t="array" aca="1" ref="AU54" ca="1">INDIRECT(ADDRESS(ROW($A$46),(COLUMN(O46)*2+1),1))</f>
        <v>112</v>
      </c>
      <c r="AV54" s="459" t="e" cm="1">
        <f t="array" aca="1" ref="AV54" ca="1">INDIRECT(ADDRESS(ROW($A$46),(COLUMN(P46)*2+1),1))</f>
        <v>#REF!</v>
      </c>
      <c r="AW54" s="459" t="e" cm="1">
        <f t="array" aca="1" ref="AW54" ca="1">INDIRECT(ADDRESS(ROW($A$46),(COLUMN(Q46)*2+1),1))</f>
        <v>#REF!</v>
      </c>
      <c r="AX54" s="459" t="e" cm="1">
        <f t="array" aca="1" ref="AX54" ca="1">INDIRECT(ADDRESS(ROW($A$46),(COLUMN(R46)*2+1),1))</f>
        <v>#REF!</v>
      </c>
      <c r="AY54" s="459" t="e" cm="1">
        <f t="array" aca="1" ref="AY54" ca="1">INDIRECT(ADDRESS(ROW($A$46),(COLUMN(S46)*2+1),1))</f>
        <v>#REF!</v>
      </c>
      <c r="AZ54" s="459" t="e" cm="1">
        <f t="array" aca="1" ref="AZ54" ca="1">INDIRECT(ADDRESS(ROW($A$46),(COLUMN(T46)*2+1),1))</f>
        <v>#REF!</v>
      </c>
      <c r="BA54" s="459" t="e" cm="1">
        <f t="array" aca="1" ref="BA54" ca="1">INDIRECT(ADDRESS(ROW($A$46),(COLUMN(U46)*2+1),1))</f>
        <v>#REF!</v>
      </c>
      <c r="BB54" s="459" t="e" cm="1">
        <f t="array" aca="1" ref="BB54" ca="1">INDIRECT(ADDRESS(ROW($A$46),(COLUMN(V46)*2+1),1))</f>
        <v>#REF!</v>
      </c>
      <c r="BC54" s="459" t="e" cm="1">
        <f t="array" aca="1" ref="BC54" ca="1">INDIRECT(ADDRESS(ROW($A$46),(COLUMN(W46)*2+1),1))</f>
        <v>#REF!</v>
      </c>
      <c r="BD54" s="459" t="e" cm="1">
        <f t="array" aca="1" ref="BD54" ca="1">INDIRECT(ADDRESS(ROW($A$46),(COLUMN(X46)*2+1),1))</f>
        <v>#REF!</v>
      </c>
      <c r="BE54" s="459" t="e" cm="1">
        <f t="array" aca="1" ref="BE54" ca="1">INDIRECT(ADDRESS(ROW($A$46),(COLUMN(Y46)*2+1),1))</f>
        <v>#REF!</v>
      </c>
      <c r="BF54" s="459" t="e" cm="1">
        <f t="array" aca="1" ref="BF54" ca="1">INDIRECT(ADDRESS(ROW($A$46),(COLUMN(Z46)*2+1),1))</f>
        <v>#REF!</v>
      </c>
      <c r="BG54" s="459" t="e" cm="1">
        <f t="array" aca="1" ref="BG54" ca="1">INDIRECT(ADDRESS(ROW($A$46),(COLUMN(AA46)*2+1),1))</f>
        <v>#REF!</v>
      </c>
      <c r="BH54" s="459" t="e" cm="1">
        <f t="array" aca="1" ref="BH54" ca="1">INDIRECT(ADDRESS(ROW($A$46),(COLUMN(AB46)*2+1),1))</f>
        <v>#REF!</v>
      </c>
      <c r="BI54" s="459" t="e" cm="1">
        <f t="array" aca="1" ref="BI54" ca="1">INDIRECT(ADDRESS(ROW($A$46),(COLUMN(AC46)*2+1),1))</f>
        <v>#REF!</v>
      </c>
      <c r="BJ54" s="459" t="e" cm="1">
        <f t="array" aca="1" ref="BJ54" ca="1">INDIRECT(ADDRESS(ROW($A$46),(COLUMN(AD46)*2+1),1))</f>
        <v>#REF!</v>
      </c>
      <c r="BK54" s="459" t="e" cm="1">
        <f t="array" aca="1" ref="BK54" ca="1">INDIRECT(ADDRESS(ROW($A$46),(COLUMN(AE46)*2+1),1))</f>
        <v>#REF!</v>
      </c>
      <c r="BL54" s="458" cm="1">
        <f t="array" aca="1" ref="BL54" ca="1">INDIRECT(ADDRESS(ROW($A$48),(COLUMN(A48)*2+1),1))</f>
        <v>112</v>
      </c>
      <c r="BM54" s="459" cm="1">
        <f t="array" aca="1" ref="BM54" ca="1">INDIRECT(ADDRESS(ROW($A$48),(COLUMN(B48)*2+1),1))</f>
        <v>0</v>
      </c>
      <c r="BN54" s="459" cm="1">
        <f t="array" aca="1" ref="BN54" ca="1">INDIRECT(ADDRESS(ROW($A$48),(COLUMN(C48)*2+1),1))</f>
        <v>0</v>
      </c>
      <c r="BO54" s="459" cm="1">
        <f t="array" aca="1" ref="BO54" ca="1">INDIRECT(ADDRESS(ROW($A$48),(COLUMN(D48)*2+1),1))</f>
        <v>0</v>
      </c>
      <c r="BP54" s="459" cm="1">
        <f t="array" aca="1" ref="BP54" ca="1">INDIRECT(ADDRESS(ROW($A$48),(COLUMN(E48)*2+1),1))</f>
        <v>0</v>
      </c>
      <c r="BQ54" s="459" cm="1">
        <f t="array" aca="1" ref="BQ54" ca="1">INDIRECT(ADDRESS(ROW($A$48),(COLUMN(F48)*2+1),1))</f>
        <v>0</v>
      </c>
      <c r="BR54" s="459" cm="1">
        <f t="array" aca="1" ref="BR54" ca="1">INDIRECT(ADDRESS(ROW($A$48),(COLUMN(G48)*2+1),1))</f>
        <v>0</v>
      </c>
      <c r="BS54" s="459" cm="1">
        <f t="array" aca="1" ref="BS54" ca="1">INDIRECT(ADDRESS(ROW($A$48),(COLUMN(H48)*2+1),1))</f>
        <v>0</v>
      </c>
      <c r="BT54" s="459" cm="1">
        <f t="array" aca="1" ref="BT54" ca="1">INDIRECT(ADDRESS(ROW($A$48),(COLUMN(I48)*2+1),1))</f>
        <v>0</v>
      </c>
      <c r="BU54" s="459" cm="1">
        <f t="array" aca="1" ref="BU54" ca="1">INDIRECT(ADDRESS(ROW($A$48),(COLUMN(J48)*2+1),1))</f>
        <v>0</v>
      </c>
      <c r="BV54" s="459" cm="1">
        <f t="array" aca="1" ref="BV54" ca="1">INDIRECT(ADDRESS(ROW($A$48),(COLUMN(K48)*2+1),1))</f>
        <v>0</v>
      </c>
      <c r="BW54" s="459" cm="1">
        <f t="array" aca="1" ref="BW54" ca="1">INDIRECT(ADDRESS(ROW($A$48),(COLUMN(L48)*2+1),1))</f>
        <v>0</v>
      </c>
      <c r="BX54" s="459" cm="1">
        <f t="array" aca="1" ref="BX54" ca="1">INDIRECT(ADDRESS(ROW($A$48),(COLUMN(M48)*2+1),1))</f>
        <v>0</v>
      </c>
      <c r="BY54" s="459" cm="1">
        <f t="array" aca="1" ref="BY54" ca="1">INDIRECT(ADDRESS(ROW($A$48),(COLUMN(N48)*2+1),1))</f>
        <v>0</v>
      </c>
      <c r="BZ54" s="459" cm="1">
        <f t="array" aca="1" ref="BZ54" ca="1">INDIRECT(ADDRESS(ROW($A$48),(COLUMN(O48)*2+1),1))</f>
        <v>0</v>
      </c>
      <c r="CA54" s="459" t="e" cm="1">
        <f t="array" aca="1" ref="CA54" ca="1">INDIRECT(ADDRESS(ROW($A$48),(COLUMN(P48)*2+1),1))</f>
        <v>#REF!</v>
      </c>
      <c r="CB54" s="459" t="e" cm="1">
        <f t="array" aca="1" ref="CB54" ca="1">INDIRECT(ADDRESS(ROW($A$48),(COLUMN(Q48)*2+1),1))</f>
        <v>#REF!</v>
      </c>
      <c r="CC54" s="459" t="e" cm="1">
        <f t="array" aca="1" ref="CC54" ca="1">INDIRECT(ADDRESS(ROW($A$48),(COLUMN(R48)*2+1),1))</f>
        <v>#REF!</v>
      </c>
      <c r="CD54" s="459" t="e" cm="1">
        <f t="array" aca="1" ref="CD54" ca="1">INDIRECT(ADDRESS(ROW($A$48),(COLUMN(S48)*2+1),1))</f>
        <v>#REF!</v>
      </c>
      <c r="CE54" s="459" t="e" cm="1">
        <f t="array" aca="1" ref="CE54" ca="1">INDIRECT(ADDRESS(ROW($A$48),(COLUMN(T48)*2+1),1))</f>
        <v>#REF!</v>
      </c>
      <c r="CF54" s="459" t="e" cm="1">
        <f t="array" aca="1" ref="CF54" ca="1">INDIRECT(ADDRESS(ROW($A$48),(COLUMN(U48)*2+1),1))</f>
        <v>#REF!</v>
      </c>
      <c r="CG54" s="459" t="e" cm="1">
        <f t="array" aca="1" ref="CG54" ca="1">INDIRECT(ADDRESS(ROW($A$48),(COLUMN(V48)*2+1),1))</f>
        <v>#REF!</v>
      </c>
      <c r="CH54" s="459" t="e" cm="1">
        <f t="array" aca="1" ref="CH54" ca="1">INDIRECT(ADDRESS(ROW($A$48),(COLUMN(W48)*2+1),1))</f>
        <v>#REF!</v>
      </c>
      <c r="CI54" s="459" t="e" cm="1">
        <f t="array" aca="1" ref="CI54" ca="1">INDIRECT(ADDRESS(ROW($A$48),(COLUMN(X48)*2+1),1))</f>
        <v>#REF!</v>
      </c>
      <c r="CJ54" s="459" t="e" cm="1">
        <f t="array" aca="1" ref="CJ54" ca="1">INDIRECT(ADDRESS(ROW($A$48),(COLUMN(Y48)*2+1),1))</f>
        <v>#REF!</v>
      </c>
      <c r="CK54" s="459" t="e" cm="1">
        <f t="array" aca="1" ref="CK54" ca="1">INDIRECT(ADDRESS(ROW($A$48),(COLUMN(Z48)*2+1),1))</f>
        <v>#REF!</v>
      </c>
      <c r="CL54" s="459" t="e" cm="1">
        <f t="array" aca="1" ref="CL54" ca="1">INDIRECT(ADDRESS(ROW($A$48),(COLUMN(AA48)*2+1),1))</f>
        <v>#REF!</v>
      </c>
      <c r="CM54" s="459" t="e" cm="1">
        <f t="array" aca="1" ref="CM54" ca="1">INDIRECT(ADDRESS(ROW($A$48),(COLUMN(AB48)*2+1),1))</f>
        <v>#REF!</v>
      </c>
      <c r="CN54" s="459" t="e" cm="1">
        <f t="array" aca="1" ref="CN54" ca="1">INDIRECT(ADDRESS(ROW($A$48),(COLUMN(AC48)*2+1),1))</f>
        <v>#REF!</v>
      </c>
      <c r="CO54" s="459" t="e" cm="1">
        <f t="array" aca="1" ref="CO54" ca="1">INDIRECT(ADDRESS(ROW($A$48),(COLUMN(AD48)*2+1),1))</f>
        <v>#REF!</v>
      </c>
    </row>
    <row r="55" spans="1:94">
      <c r="B55" s="457"/>
      <c r="C55" s="457"/>
      <c r="D55" s="457"/>
      <c r="E55" s="457"/>
      <c r="F55" s="457"/>
      <c r="G55" s="457"/>
      <c r="H55" s="457"/>
      <c r="I55" s="457"/>
      <c r="J55" s="457"/>
      <c r="K55" s="457"/>
      <c r="L55" s="457"/>
      <c r="M55" s="457"/>
      <c r="N55" s="457"/>
      <c r="O55" s="457"/>
      <c r="P55" s="457"/>
      <c r="Q55" s="457"/>
      <c r="R55" s="457"/>
      <c r="S55" s="457"/>
      <c r="T55" s="457"/>
      <c r="U55" s="457"/>
      <c r="V55" s="457"/>
      <c r="W55" s="457"/>
      <c r="X55" s="457"/>
      <c r="Y55" s="457"/>
      <c r="Z55" s="457"/>
      <c r="AA55" s="457"/>
      <c r="AB55" s="457"/>
      <c r="AC55" s="457"/>
      <c r="AD55" s="457"/>
      <c r="AE55" s="457"/>
      <c r="AF55" s="457"/>
    </row>
    <row r="56" spans="1:94">
      <c r="B56" s="457"/>
      <c r="C56" s="457"/>
      <c r="D56" s="457"/>
      <c r="E56" s="457"/>
      <c r="F56" s="457"/>
      <c r="G56" s="457"/>
      <c r="H56" s="457"/>
      <c r="I56" s="457"/>
      <c r="J56" s="457"/>
      <c r="K56" s="457"/>
      <c r="L56" s="457"/>
      <c r="M56" s="457"/>
      <c r="N56" s="457"/>
      <c r="O56" s="457"/>
      <c r="P56" s="457"/>
      <c r="Q56" s="457"/>
      <c r="R56" s="457"/>
      <c r="S56" s="457"/>
      <c r="T56" s="457"/>
      <c r="U56" s="457"/>
      <c r="V56" s="457"/>
      <c r="W56" s="457"/>
      <c r="X56" s="457"/>
      <c r="Y56" s="457"/>
      <c r="Z56" s="457"/>
      <c r="AA56" s="457"/>
      <c r="AB56" s="457"/>
      <c r="AC56" s="457"/>
      <c r="AD56" s="457"/>
      <c r="AE56" s="457"/>
      <c r="AF56" s="457"/>
    </row>
    <row r="57" spans="1:94">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row>
    <row r="58" spans="1:94">
      <c r="B58" s="457"/>
      <c r="C58" s="457"/>
      <c r="D58" s="457"/>
      <c r="E58" s="457"/>
      <c r="F58" s="457"/>
      <c r="G58" s="457"/>
      <c r="H58" s="457"/>
      <c r="I58" s="457"/>
      <c r="J58" s="457"/>
      <c r="K58" s="457"/>
      <c r="L58" s="457"/>
      <c r="M58" s="457"/>
      <c r="N58" s="457"/>
      <c r="O58" s="457"/>
      <c r="P58" s="457"/>
      <c r="Q58" s="457"/>
      <c r="R58" s="457"/>
      <c r="S58" s="457"/>
      <c r="T58" s="457"/>
      <c r="U58" s="457"/>
      <c r="V58" s="457"/>
      <c r="W58" s="457"/>
      <c r="X58" s="457"/>
      <c r="Y58" s="457"/>
      <c r="Z58" s="457"/>
      <c r="AA58" s="457"/>
      <c r="AB58" s="457"/>
      <c r="AC58" s="457"/>
      <c r="AD58" s="457"/>
      <c r="AE58" s="457"/>
      <c r="AF58" s="457"/>
    </row>
    <row r="130" spans="2:45">
      <c r="C130">
        <f>COUNTIF(B133:B142,"*")</f>
        <v>1</v>
      </c>
    </row>
    <row r="133" spans="2:45" ht="45" customHeight="1">
      <c r="B133" s="666" t="str">
        <f>'1月'!$B$132</f>
        <v>工藤　虹都</v>
      </c>
      <c r="C133" s="656"/>
      <c r="D133" s="656"/>
      <c r="E133" s="656"/>
      <c r="F133" s="656"/>
      <c r="G133" s="656"/>
      <c r="H133" s="656"/>
      <c r="I133" s="656"/>
      <c r="J133" s="656"/>
      <c r="K133" s="656"/>
      <c r="L133" s="656"/>
      <c r="M133" s="656"/>
      <c r="N133" s="656"/>
      <c r="O133" s="656"/>
      <c r="P133" s="656"/>
      <c r="Q133" s="656"/>
      <c r="R133" s="656"/>
      <c r="S133" s="656"/>
      <c r="T133" s="656"/>
      <c r="U133" s="656"/>
      <c r="V133" s="656"/>
      <c r="W133" s="656"/>
      <c r="X133" s="656"/>
      <c r="Y133" s="656"/>
      <c r="Z133" s="656"/>
      <c r="AA133" s="656"/>
      <c r="AB133" s="656"/>
      <c r="AC133" s="656"/>
      <c r="AD133" s="656"/>
      <c r="AE133" s="656"/>
      <c r="AF133" s="656"/>
      <c r="AG133" s="656"/>
      <c r="AH133" s="656"/>
      <c r="AI133" s="656"/>
      <c r="AJ133" s="656"/>
      <c r="AK133" s="656"/>
      <c r="AL133" s="656"/>
      <c r="AM133" s="656"/>
    </row>
    <row r="143" spans="2:45">
      <c r="D143">
        <f>SUM(D133:D142)</f>
        <v>0</v>
      </c>
      <c r="E143">
        <f t="shared" ref="E143:AS143" si="0">SUM(E133:E142)</f>
        <v>0</v>
      </c>
      <c r="F143">
        <f t="shared" si="0"/>
        <v>0</v>
      </c>
      <c r="G143">
        <f t="shared" si="0"/>
        <v>0</v>
      </c>
      <c r="H143">
        <f t="shared" si="0"/>
        <v>0</v>
      </c>
      <c r="I143">
        <f t="shared" si="0"/>
        <v>0</v>
      </c>
      <c r="J143">
        <f t="shared" si="0"/>
        <v>0</v>
      </c>
      <c r="K143">
        <f t="shared" si="0"/>
        <v>0</v>
      </c>
      <c r="L143">
        <f t="shared" si="0"/>
        <v>0</v>
      </c>
      <c r="M143">
        <f t="shared" si="0"/>
        <v>0</v>
      </c>
      <c r="N143">
        <f t="shared" si="0"/>
        <v>0</v>
      </c>
      <c r="O143">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phoneticPr fontId="1"/>
  <pageMargins left="0.7" right="0.7" top="0.75" bottom="0.75" header="0.3" footer="0.3"/>
  <pageSetup paperSize="9" scale="72"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631F0-965C-4219-9010-A3975D6E2FD4}">
  <sheetPr codeName="Sheet20"/>
  <dimension ref="A1:C159"/>
  <sheetViews>
    <sheetView workbookViewId="0">
      <selection activeCell="N22" sqref="N22"/>
    </sheetView>
  </sheetViews>
  <sheetFormatPr defaultRowHeight="13.5"/>
  <cols>
    <col min="2" max="2" width="13.25" style="418" customWidth="1"/>
  </cols>
  <sheetData>
    <row r="1" spans="1:3">
      <c r="A1">
        <f ca="1">RAND()</f>
        <v>0.5901774913230815</v>
      </c>
      <c r="B1" s="134" t="s">
        <v>9</v>
      </c>
    </row>
    <row r="2" spans="1:3">
      <c r="A2">
        <f t="shared" ref="A2:A65" ca="1" si="0">RAND()</f>
        <v>0.12129244062999822</v>
      </c>
      <c r="B2" s="134" t="s">
        <v>230</v>
      </c>
    </row>
    <row r="3" spans="1:3">
      <c r="A3">
        <f t="shared" ca="1" si="0"/>
        <v>0.8144942990755687</v>
      </c>
      <c r="B3" s="134" t="s">
        <v>309</v>
      </c>
    </row>
    <row r="4" spans="1:3">
      <c r="A4">
        <f t="shared" ca="1" si="0"/>
        <v>0.60841140773688485</v>
      </c>
      <c r="B4" s="124" t="s">
        <v>240</v>
      </c>
    </row>
    <row r="5" spans="1:3">
      <c r="A5">
        <f t="shared" ca="1" si="0"/>
        <v>0.94004472962832364</v>
      </c>
      <c r="B5" s="134" t="s">
        <v>183</v>
      </c>
    </row>
    <row r="6" spans="1:3">
      <c r="A6">
        <f t="shared" ca="1" si="0"/>
        <v>0.14836549291105428</v>
      </c>
      <c r="B6" s="134" t="s">
        <v>160</v>
      </c>
    </row>
    <row r="7" spans="1:3">
      <c r="A7">
        <f t="shared" ca="1" si="0"/>
        <v>0.98258072533564322</v>
      </c>
      <c r="B7" s="134" t="s">
        <v>198</v>
      </c>
    </row>
    <row r="8" spans="1:3">
      <c r="A8">
        <f t="shared" ca="1" si="0"/>
        <v>0.78493963506030484</v>
      </c>
      <c r="B8" s="134" t="s">
        <v>42</v>
      </c>
    </row>
    <row r="9" spans="1:3">
      <c r="A9">
        <f t="shared" ca="1" si="0"/>
        <v>0.91126345833400202</v>
      </c>
      <c r="B9" s="134" t="s">
        <v>28</v>
      </c>
    </row>
    <row r="10" spans="1:3">
      <c r="A10">
        <f t="shared" ca="1" si="0"/>
        <v>0.19208937119413594</v>
      </c>
      <c r="B10" s="134" t="s">
        <v>129</v>
      </c>
    </row>
    <row r="11" spans="1:3">
      <c r="A11">
        <f t="shared" ca="1" si="0"/>
        <v>0.36709833232243239</v>
      </c>
      <c r="B11" s="124" t="s">
        <v>296</v>
      </c>
    </row>
    <row r="12" spans="1:3">
      <c r="A12">
        <f t="shared" ca="1" si="0"/>
        <v>7.2047845209758377E-2</v>
      </c>
      <c r="B12" s="134" t="s">
        <v>10</v>
      </c>
    </row>
    <row r="13" spans="1:3">
      <c r="A13">
        <f t="shared" ca="1" si="0"/>
        <v>0.76680786505986498</v>
      </c>
      <c r="B13" s="134" t="s">
        <v>112</v>
      </c>
    </row>
    <row r="14" spans="1:3">
      <c r="A14">
        <f t="shared" ca="1" si="0"/>
        <v>0.11734504504520327</v>
      </c>
      <c r="B14" s="134" t="s">
        <v>305</v>
      </c>
    </row>
    <row r="15" spans="1:3">
      <c r="A15">
        <f t="shared" ca="1" si="0"/>
        <v>5.4105674938794479E-2</v>
      </c>
      <c r="B15" s="134" t="s">
        <v>190</v>
      </c>
    </row>
    <row r="16" spans="1:3">
      <c r="A16">
        <f t="shared" ca="1" si="0"/>
        <v>0.34299633483442582</v>
      </c>
      <c r="B16" s="134" t="s">
        <v>18</v>
      </c>
      <c r="C16" t="s">
        <v>366</v>
      </c>
    </row>
    <row r="17" spans="1:2">
      <c r="A17">
        <f t="shared" ca="1" si="0"/>
        <v>0.40345489638149901</v>
      </c>
      <c r="B17" s="124" t="s">
        <v>53</v>
      </c>
    </row>
    <row r="18" spans="1:2">
      <c r="A18">
        <f t="shared" ca="1" si="0"/>
        <v>0.69211307236632547</v>
      </c>
      <c r="B18" s="417" t="s">
        <v>144</v>
      </c>
    </row>
    <row r="19" spans="1:2">
      <c r="A19">
        <f t="shared" ca="1" si="0"/>
        <v>0.15508629695383558</v>
      </c>
      <c r="B19" s="134" t="s">
        <v>304</v>
      </c>
    </row>
    <row r="20" spans="1:2">
      <c r="A20">
        <f t="shared" ca="1" si="0"/>
        <v>0.33265737975989984</v>
      </c>
      <c r="B20" s="134" t="s">
        <v>154</v>
      </c>
    </row>
    <row r="21" spans="1:2">
      <c r="A21">
        <f t="shared" ca="1" si="0"/>
        <v>0.53035034245210955</v>
      </c>
      <c r="B21" s="417" t="s">
        <v>314</v>
      </c>
    </row>
    <row r="22" spans="1:2">
      <c r="A22">
        <f t="shared" ca="1" si="0"/>
        <v>0.96501809793180715</v>
      </c>
      <c r="B22" s="134" t="s">
        <v>297</v>
      </c>
    </row>
    <row r="23" spans="1:2">
      <c r="A23">
        <f t="shared" ca="1" si="0"/>
        <v>0.60090446625779459</v>
      </c>
      <c r="B23" s="134" t="s">
        <v>16</v>
      </c>
    </row>
    <row r="24" spans="1:2">
      <c r="A24">
        <f t="shared" ca="1" si="0"/>
        <v>0.91967566839966541</v>
      </c>
      <c r="B24" s="134" t="s">
        <v>17</v>
      </c>
    </row>
    <row r="25" spans="1:2">
      <c r="A25">
        <f t="shared" ca="1" si="0"/>
        <v>0.36454569144630333</v>
      </c>
      <c r="B25" s="134" t="s">
        <v>268</v>
      </c>
    </row>
    <row r="26" spans="1:2">
      <c r="A26">
        <f t="shared" ca="1" si="0"/>
        <v>0.80038848422898112</v>
      </c>
      <c r="B26" s="134" t="s">
        <v>224</v>
      </c>
    </row>
    <row r="27" spans="1:2">
      <c r="A27">
        <f t="shared" ca="1" si="0"/>
        <v>0.24996822902876026</v>
      </c>
      <c r="B27" s="134" t="s">
        <v>220</v>
      </c>
    </row>
    <row r="28" spans="1:2">
      <c r="A28">
        <f t="shared" ca="1" si="0"/>
        <v>0.49024299775216273</v>
      </c>
      <c r="B28" s="134" t="s">
        <v>313</v>
      </c>
    </row>
    <row r="29" spans="1:2">
      <c r="A29">
        <f t="shared" ca="1" si="0"/>
        <v>0.91990775525497326</v>
      </c>
      <c r="B29" s="134" t="s">
        <v>6</v>
      </c>
    </row>
    <row r="30" spans="1:2">
      <c r="A30">
        <f t="shared" ca="1" si="0"/>
        <v>0.15630017137415242</v>
      </c>
      <c r="B30" s="134" t="s">
        <v>176</v>
      </c>
    </row>
    <row r="31" spans="1:2">
      <c r="A31">
        <f t="shared" ca="1" si="0"/>
        <v>0.87178413107226194</v>
      </c>
      <c r="B31" s="134" t="s">
        <v>276</v>
      </c>
    </row>
    <row r="32" spans="1:2">
      <c r="A32">
        <f t="shared" ca="1" si="0"/>
        <v>0.16523406128858065</v>
      </c>
      <c r="B32" s="134" t="s">
        <v>45</v>
      </c>
    </row>
    <row r="33" spans="1:2">
      <c r="A33">
        <f t="shared" ca="1" si="0"/>
        <v>0.63309174500601118</v>
      </c>
      <c r="B33" s="134" t="s">
        <v>123</v>
      </c>
    </row>
    <row r="34" spans="1:2">
      <c r="A34">
        <f t="shared" ca="1" si="0"/>
        <v>0.896783743578912</v>
      </c>
      <c r="B34" s="134" t="s">
        <v>237</v>
      </c>
    </row>
    <row r="35" spans="1:2">
      <c r="A35">
        <f t="shared" ca="1" si="0"/>
        <v>0.17249344694175617</v>
      </c>
      <c r="B35" s="134" t="s">
        <v>22</v>
      </c>
    </row>
    <row r="36" spans="1:2">
      <c r="A36">
        <f t="shared" ca="1" si="0"/>
        <v>0.23559383113451637</v>
      </c>
      <c r="B36" s="134" t="s">
        <v>350</v>
      </c>
    </row>
    <row r="37" spans="1:2">
      <c r="A37">
        <f t="shared" ca="1" si="0"/>
        <v>0.74063863349648784</v>
      </c>
      <c r="B37" s="135" t="s">
        <v>308</v>
      </c>
    </row>
    <row r="38" spans="1:2">
      <c r="A38">
        <f t="shared" ca="1" si="0"/>
        <v>1.8463023213162177E-3</v>
      </c>
      <c r="B38" s="134" t="s">
        <v>351</v>
      </c>
    </row>
    <row r="39" spans="1:2">
      <c r="A39">
        <f t="shared" ca="1" si="0"/>
        <v>0.94219735351557521</v>
      </c>
      <c r="B39" s="134" t="s">
        <v>281</v>
      </c>
    </row>
    <row r="40" spans="1:2">
      <c r="A40">
        <f t="shared" ca="1" si="0"/>
        <v>8.0928562826797279E-2</v>
      </c>
      <c r="B40" s="134" t="s">
        <v>295</v>
      </c>
    </row>
    <row r="41" spans="1:2">
      <c r="A41">
        <f t="shared" ca="1" si="0"/>
        <v>0.94506233867714984</v>
      </c>
      <c r="B41" s="134" t="s">
        <v>41</v>
      </c>
    </row>
    <row r="42" spans="1:2">
      <c r="A42">
        <f t="shared" ca="1" si="0"/>
        <v>7.7172086602177448E-3</v>
      </c>
      <c r="B42" s="134" t="s">
        <v>263</v>
      </c>
    </row>
    <row r="43" spans="1:2">
      <c r="A43">
        <f t="shared" ca="1" si="0"/>
        <v>0.96546433192795322</v>
      </c>
      <c r="B43" s="134" t="s">
        <v>189</v>
      </c>
    </row>
    <row r="44" spans="1:2">
      <c r="A44">
        <f t="shared" ca="1" si="0"/>
        <v>0.78512214537852987</v>
      </c>
      <c r="B44" s="134" t="s">
        <v>341</v>
      </c>
    </row>
    <row r="45" spans="1:2">
      <c r="A45">
        <f t="shared" ca="1" si="0"/>
        <v>0.60249733889394053</v>
      </c>
      <c r="B45" s="134" t="s">
        <v>290</v>
      </c>
    </row>
    <row r="46" spans="1:2">
      <c r="A46">
        <f t="shared" ca="1" si="0"/>
        <v>0.69666248474664938</v>
      </c>
      <c r="B46" s="124" t="s">
        <v>8</v>
      </c>
    </row>
    <row r="47" spans="1:2">
      <c r="A47">
        <f t="shared" ca="1" si="0"/>
        <v>0.4165900485055456</v>
      </c>
      <c r="B47" s="134" t="s">
        <v>0</v>
      </c>
    </row>
    <row r="48" spans="1:2">
      <c r="A48">
        <f t="shared" ca="1" si="0"/>
        <v>0.44751053806146246</v>
      </c>
      <c r="B48" s="134" t="s">
        <v>283</v>
      </c>
    </row>
    <row r="49" spans="1:2">
      <c r="A49">
        <f t="shared" ca="1" si="0"/>
        <v>1.3306255800564104E-2</v>
      </c>
      <c r="B49" s="417" t="s">
        <v>311</v>
      </c>
    </row>
    <row r="50" spans="1:2">
      <c r="A50">
        <f t="shared" ca="1" si="0"/>
        <v>0.48624525172567035</v>
      </c>
      <c r="B50" s="134" t="s">
        <v>219</v>
      </c>
    </row>
    <row r="51" spans="1:2">
      <c r="A51">
        <f t="shared" ca="1" si="0"/>
        <v>0.11576556560519369</v>
      </c>
      <c r="B51" s="134" t="s">
        <v>315</v>
      </c>
    </row>
    <row r="52" spans="1:2">
      <c r="A52">
        <f t="shared" ca="1" si="0"/>
        <v>0.52754699734545007</v>
      </c>
      <c r="B52" s="134" t="s">
        <v>13</v>
      </c>
    </row>
    <row r="53" spans="1:2">
      <c r="A53">
        <f t="shared" ca="1" si="0"/>
        <v>0.52335433498349293</v>
      </c>
      <c r="B53" s="134" t="s">
        <v>29</v>
      </c>
    </row>
    <row r="54" spans="1:2">
      <c r="A54">
        <f t="shared" ca="1" si="0"/>
        <v>0.68942141849829697</v>
      </c>
      <c r="B54" s="134" t="s">
        <v>318</v>
      </c>
    </row>
    <row r="55" spans="1:2">
      <c r="A55">
        <f t="shared" ca="1" si="0"/>
        <v>0.45027708894517837</v>
      </c>
      <c r="B55" s="134" t="s">
        <v>151</v>
      </c>
    </row>
    <row r="56" spans="1:2">
      <c r="A56">
        <f t="shared" ca="1" si="0"/>
        <v>0.48526849952663065</v>
      </c>
      <c r="B56" s="134" t="s">
        <v>161</v>
      </c>
    </row>
    <row r="57" spans="1:2">
      <c r="A57">
        <f t="shared" ca="1" si="0"/>
        <v>0.92699425695385751</v>
      </c>
      <c r="B57" s="134" t="s">
        <v>232</v>
      </c>
    </row>
    <row r="58" spans="1:2">
      <c r="A58">
        <f t="shared" ca="1" si="0"/>
        <v>0.96596786731776774</v>
      </c>
      <c r="B58" s="134" t="s">
        <v>298</v>
      </c>
    </row>
    <row r="59" spans="1:2">
      <c r="A59">
        <f t="shared" ca="1" si="0"/>
        <v>0.83636298687443678</v>
      </c>
      <c r="B59" s="134" t="s">
        <v>111</v>
      </c>
    </row>
    <row r="60" spans="1:2">
      <c r="A60">
        <f t="shared" ca="1" si="0"/>
        <v>0.29665492834143437</v>
      </c>
      <c r="B60" s="134" t="s">
        <v>301</v>
      </c>
    </row>
    <row r="61" spans="1:2">
      <c r="A61">
        <f t="shared" ca="1" si="0"/>
        <v>0.86095608602843199</v>
      </c>
      <c r="B61" s="134" t="s">
        <v>293</v>
      </c>
    </row>
    <row r="62" spans="1:2">
      <c r="A62">
        <f t="shared" ca="1" si="0"/>
        <v>0.35213999432300724</v>
      </c>
      <c r="B62" s="134" t="s">
        <v>267</v>
      </c>
    </row>
    <row r="63" spans="1:2">
      <c r="A63">
        <f t="shared" ca="1" si="0"/>
        <v>0.22487987495761974</v>
      </c>
      <c r="B63" s="134" t="s">
        <v>355</v>
      </c>
    </row>
    <row r="64" spans="1:2">
      <c r="A64">
        <f t="shared" ca="1" si="0"/>
        <v>0.43788427123129459</v>
      </c>
      <c r="B64" s="134" t="s">
        <v>27</v>
      </c>
    </row>
    <row r="65" spans="1:2">
      <c r="A65">
        <f t="shared" ca="1" si="0"/>
        <v>0.36705434427859263</v>
      </c>
      <c r="B65" s="134" t="s">
        <v>312</v>
      </c>
    </row>
    <row r="66" spans="1:2">
      <c r="A66">
        <f t="shared" ref="A66:A129" ca="1" si="1">RAND()</f>
        <v>0.63598943978264055</v>
      </c>
      <c r="B66" s="134" t="s">
        <v>289</v>
      </c>
    </row>
    <row r="67" spans="1:2">
      <c r="A67">
        <f t="shared" ca="1" si="1"/>
        <v>0.58534110473180567</v>
      </c>
      <c r="B67" s="134" t="s">
        <v>152</v>
      </c>
    </row>
    <row r="68" spans="1:2">
      <c r="A68">
        <f t="shared" ca="1" si="1"/>
        <v>0.84522003844913318</v>
      </c>
      <c r="B68" s="134" t="s">
        <v>40</v>
      </c>
    </row>
    <row r="69" spans="1:2">
      <c r="A69">
        <f t="shared" ca="1" si="1"/>
        <v>0.16450505073126298</v>
      </c>
      <c r="B69" s="134" t="s">
        <v>14</v>
      </c>
    </row>
    <row r="70" spans="1:2">
      <c r="A70">
        <f t="shared" ca="1" si="1"/>
        <v>0.4680177685181699</v>
      </c>
      <c r="B70" s="134" t="s">
        <v>19</v>
      </c>
    </row>
    <row r="71" spans="1:2">
      <c r="A71">
        <f t="shared" ca="1" si="1"/>
        <v>0.27032496592716282</v>
      </c>
      <c r="B71" s="134" t="s">
        <v>287</v>
      </c>
    </row>
    <row r="72" spans="1:2">
      <c r="A72">
        <f t="shared" ca="1" si="1"/>
        <v>0.13030322962415486</v>
      </c>
      <c r="B72" s="134" t="s">
        <v>234</v>
      </c>
    </row>
    <row r="73" spans="1:2">
      <c r="A73">
        <f t="shared" ca="1" si="1"/>
        <v>0.13815304175806065</v>
      </c>
      <c r="B73" s="134" t="s">
        <v>155</v>
      </c>
    </row>
    <row r="74" spans="1:2">
      <c r="A74">
        <f t="shared" ca="1" si="1"/>
        <v>0.83675943384619111</v>
      </c>
      <c r="B74" s="134" t="s">
        <v>31</v>
      </c>
    </row>
    <row r="75" spans="1:2">
      <c r="A75">
        <f t="shared" ca="1" si="1"/>
        <v>9.1286052816963892E-2</v>
      </c>
      <c r="B75" s="134" t="s">
        <v>205</v>
      </c>
    </row>
    <row r="76" spans="1:2">
      <c r="A76">
        <f t="shared" ca="1" si="1"/>
        <v>0.72651871038807192</v>
      </c>
      <c r="B76" s="134" t="s">
        <v>174</v>
      </c>
    </row>
    <row r="77" spans="1:2">
      <c r="A77">
        <f t="shared" ca="1" si="1"/>
        <v>0.75718166295049472</v>
      </c>
      <c r="B77" s="124" t="s">
        <v>109</v>
      </c>
    </row>
    <row r="78" spans="1:2">
      <c r="A78">
        <f t="shared" ca="1" si="1"/>
        <v>0.87329210318635986</v>
      </c>
      <c r="B78" s="134" t="s">
        <v>64</v>
      </c>
    </row>
    <row r="79" spans="1:2">
      <c r="A79">
        <f t="shared" ca="1" si="1"/>
        <v>0.16127397025788059</v>
      </c>
      <c r="B79" s="134" t="s">
        <v>288</v>
      </c>
    </row>
    <row r="80" spans="1:2">
      <c r="A80">
        <f t="shared" ca="1" si="1"/>
        <v>0.87347797811574779</v>
      </c>
      <c r="B80" s="134" t="s">
        <v>300</v>
      </c>
    </row>
    <row r="81" spans="1:2">
      <c r="A81">
        <f t="shared" ca="1" si="1"/>
        <v>0.35553318994990768</v>
      </c>
      <c r="B81" s="134" t="s">
        <v>257</v>
      </c>
    </row>
    <row r="82" spans="1:2">
      <c r="A82">
        <f t="shared" ca="1" si="1"/>
        <v>0.17772408853548749</v>
      </c>
      <c r="B82" s="134" t="s">
        <v>1</v>
      </c>
    </row>
    <row r="83" spans="1:2">
      <c r="A83">
        <f t="shared" ca="1" si="1"/>
        <v>0.78339218678310263</v>
      </c>
      <c r="B83" s="134" t="s">
        <v>303</v>
      </c>
    </row>
    <row r="84" spans="1:2">
      <c r="A84">
        <f t="shared" ca="1" si="1"/>
        <v>0.5659546692780677</v>
      </c>
      <c r="B84" s="417" t="s">
        <v>145</v>
      </c>
    </row>
    <row r="85" spans="1:2">
      <c r="A85">
        <f t="shared" ca="1" si="1"/>
        <v>0.35176715725941088</v>
      </c>
      <c r="B85" s="134" t="s">
        <v>86</v>
      </c>
    </row>
    <row r="86" spans="1:2">
      <c r="A86">
        <f t="shared" ca="1" si="1"/>
        <v>0.21327540708565462</v>
      </c>
      <c r="B86" s="134" t="s">
        <v>11</v>
      </c>
    </row>
    <row r="87" spans="1:2">
      <c r="A87">
        <f t="shared" ca="1" si="1"/>
        <v>0.75535893532982812</v>
      </c>
      <c r="B87" s="134" t="s">
        <v>275</v>
      </c>
    </row>
    <row r="88" spans="1:2">
      <c r="A88">
        <f t="shared" ca="1" si="1"/>
        <v>0.93049907410235499</v>
      </c>
      <c r="B88" s="134" t="s">
        <v>261</v>
      </c>
    </row>
    <row r="89" spans="1:2">
      <c r="A89">
        <f t="shared" ca="1" si="1"/>
        <v>0.6174749518010928</v>
      </c>
      <c r="B89" s="134" t="s">
        <v>294</v>
      </c>
    </row>
    <row r="90" spans="1:2">
      <c r="A90">
        <f t="shared" ca="1" si="1"/>
        <v>0.53310469991099585</v>
      </c>
      <c r="B90" s="134" t="s">
        <v>20</v>
      </c>
    </row>
    <row r="91" spans="1:2">
      <c r="A91">
        <f t="shared" ca="1" si="1"/>
        <v>0.99882297465045644</v>
      </c>
      <c r="B91" s="134" t="s">
        <v>164</v>
      </c>
    </row>
    <row r="92" spans="1:2">
      <c r="A92">
        <f t="shared" ca="1" si="1"/>
        <v>0.12778598773445304</v>
      </c>
      <c r="B92" s="134" t="s">
        <v>184</v>
      </c>
    </row>
    <row r="93" spans="1:2">
      <c r="A93">
        <f t="shared" ca="1" si="1"/>
        <v>0.32514042299526213</v>
      </c>
      <c r="B93" s="134" t="s">
        <v>103</v>
      </c>
    </row>
    <row r="94" spans="1:2">
      <c r="A94">
        <f t="shared" ca="1" si="1"/>
        <v>0.77113075907823825</v>
      </c>
      <c r="B94" s="134" t="s">
        <v>286</v>
      </c>
    </row>
    <row r="95" spans="1:2">
      <c r="A95">
        <f t="shared" ca="1" si="1"/>
        <v>0.86686825160602798</v>
      </c>
      <c r="B95" s="134" t="s">
        <v>130</v>
      </c>
    </row>
    <row r="96" spans="1:2">
      <c r="A96">
        <f t="shared" ca="1" si="1"/>
        <v>0.73488919444404344</v>
      </c>
      <c r="B96" s="134" t="s">
        <v>277</v>
      </c>
    </row>
    <row r="97" spans="1:2">
      <c r="A97">
        <f t="shared" ca="1" si="1"/>
        <v>0.94589006142581666</v>
      </c>
      <c r="B97" s="134" t="s">
        <v>34</v>
      </c>
    </row>
    <row r="98" spans="1:2">
      <c r="A98">
        <f t="shared" ca="1" si="1"/>
        <v>0.26281180167607909</v>
      </c>
      <c r="B98" s="134" t="s">
        <v>104</v>
      </c>
    </row>
    <row r="99" spans="1:2">
      <c r="A99">
        <f t="shared" ca="1" si="1"/>
        <v>0.58597372816816695</v>
      </c>
      <c r="B99" s="124" t="s">
        <v>107</v>
      </c>
    </row>
    <row r="100" spans="1:2">
      <c r="A100">
        <f t="shared" ca="1" si="1"/>
        <v>0.1007651285545802</v>
      </c>
      <c r="B100" s="417" t="s">
        <v>299</v>
      </c>
    </row>
    <row r="101" spans="1:2">
      <c r="A101">
        <f t="shared" ca="1" si="1"/>
        <v>0.18727252881411793</v>
      </c>
      <c r="B101" s="134" t="s">
        <v>282</v>
      </c>
    </row>
    <row r="102" spans="1:2">
      <c r="A102">
        <f t="shared" ca="1" si="1"/>
        <v>9.9391043781104194E-2</v>
      </c>
      <c r="B102" s="134" t="s">
        <v>327</v>
      </c>
    </row>
    <row r="103" spans="1:2">
      <c r="A103">
        <f t="shared" ca="1" si="1"/>
        <v>0.20754079718358776</v>
      </c>
      <c r="B103" s="134" t="s">
        <v>102</v>
      </c>
    </row>
    <row r="104" spans="1:2">
      <c r="A104">
        <f t="shared" ca="1" si="1"/>
        <v>3.4498757455153961E-2</v>
      </c>
      <c r="B104" s="135" t="s">
        <v>25</v>
      </c>
    </row>
    <row r="105" spans="1:2">
      <c r="A105">
        <f t="shared" ca="1" si="1"/>
        <v>0.62423823092467368</v>
      </c>
      <c r="B105" s="134" t="s">
        <v>35</v>
      </c>
    </row>
    <row r="106" spans="1:2">
      <c r="A106">
        <f t="shared" ca="1" si="1"/>
        <v>0.35816473379258429</v>
      </c>
      <c r="B106" s="134" t="s">
        <v>32</v>
      </c>
    </row>
    <row r="107" spans="1:2">
      <c r="A107">
        <f t="shared" ca="1" si="1"/>
        <v>0.8042444612218872</v>
      </c>
      <c r="B107" s="134" t="s">
        <v>233</v>
      </c>
    </row>
    <row r="108" spans="1:2">
      <c r="A108">
        <f t="shared" ca="1" si="1"/>
        <v>0.31508484956037519</v>
      </c>
      <c r="B108" s="134" t="s">
        <v>262</v>
      </c>
    </row>
    <row r="109" spans="1:2">
      <c r="A109">
        <f t="shared" ca="1" si="1"/>
        <v>0.65572417019962603</v>
      </c>
      <c r="B109" s="134" t="s">
        <v>188</v>
      </c>
    </row>
    <row r="110" spans="1:2">
      <c r="A110">
        <f t="shared" ca="1" si="1"/>
        <v>4.5018934202138428E-2</v>
      </c>
      <c r="B110" s="134" t="s">
        <v>307</v>
      </c>
    </row>
    <row r="111" spans="1:2">
      <c r="A111">
        <f t="shared" ca="1" si="1"/>
        <v>0.79723273858496113</v>
      </c>
      <c r="B111" s="134" t="s">
        <v>15</v>
      </c>
    </row>
    <row r="112" spans="1:2">
      <c r="A112">
        <f t="shared" ca="1" si="1"/>
        <v>0.91363729791490433</v>
      </c>
      <c r="B112" s="134" t="s">
        <v>291</v>
      </c>
    </row>
    <row r="113" spans="1:2">
      <c r="A113">
        <f t="shared" ca="1" si="1"/>
        <v>0.97679391531682203</v>
      </c>
      <c r="B113" s="134" t="s">
        <v>157</v>
      </c>
    </row>
    <row r="114" spans="1:2">
      <c r="A114">
        <f t="shared" ca="1" si="1"/>
        <v>0.80331474645947376</v>
      </c>
      <c r="B114" s="134" t="s">
        <v>23</v>
      </c>
    </row>
    <row r="115" spans="1:2">
      <c r="A115">
        <f t="shared" ca="1" si="1"/>
        <v>0.43284642976957843</v>
      </c>
      <c r="B115" s="134" t="s">
        <v>44</v>
      </c>
    </row>
    <row r="116" spans="1:2">
      <c r="A116">
        <f t="shared" ca="1" si="1"/>
        <v>0.2243178489358848</v>
      </c>
      <c r="B116" s="134" t="s">
        <v>33</v>
      </c>
    </row>
    <row r="117" spans="1:2">
      <c r="A117">
        <f t="shared" ca="1" si="1"/>
        <v>0.91262290674128499</v>
      </c>
      <c r="B117" s="134" t="s">
        <v>285</v>
      </c>
    </row>
    <row r="118" spans="1:2">
      <c r="A118">
        <f t="shared" ca="1" si="1"/>
        <v>0.61764732572747005</v>
      </c>
      <c r="B118" s="124" t="s">
        <v>191</v>
      </c>
    </row>
    <row r="119" spans="1:2">
      <c r="A119">
        <f t="shared" ca="1" si="1"/>
        <v>0.87882584135775543</v>
      </c>
      <c r="B119" s="134" t="s">
        <v>306</v>
      </c>
    </row>
    <row r="120" spans="1:2">
      <c r="A120">
        <f t="shared" ca="1" si="1"/>
        <v>0.30622670557161236</v>
      </c>
      <c r="B120" s="134" t="s">
        <v>247</v>
      </c>
    </row>
    <row r="121" spans="1:2">
      <c r="A121">
        <f t="shared" ca="1" si="1"/>
        <v>0.30737515097820389</v>
      </c>
      <c r="B121" s="134" t="s">
        <v>207</v>
      </c>
    </row>
    <row r="122" spans="1:2">
      <c r="A122">
        <f t="shared" ca="1" si="1"/>
        <v>0.53732376818790906</v>
      </c>
      <c r="B122" s="134" t="s">
        <v>284</v>
      </c>
    </row>
    <row r="123" spans="1:2">
      <c r="A123">
        <f t="shared" ca="1" si="1"/>
        <v>0.16527132060382288</v>
      </c>
      <c r="B123" s="134" t="s">
        <v>43</v>
      </c>
    </row>
    <row r="124" spans="1:2">
      <c r="A124">
        <f t="shared" ca="1" si="1"/>
        <v>0.70437199280647567</v>
      </c>
      <c r="B124" s="134" t="s">
        <v>21</v>
      </c>
    </row>
    <row r="125" spans="1:2">
      <c r="A125">
        <f t="shared" ca="1" si="1"/>
        <v>0.55940216931191755</v>
      </c>
      <c r="B125" s="134" t="s">
        <v>292</v>
      </c>
    </row>
    <row r="126" spans="1:2">
      <c r="A126">
        <f t="shared" ca="1" si="1"/>
        <v>0.37475252730476649</v>
      </c>
      <c r="B126" s="134" t="s">
        <v>280</v>
      </c>
    </row>
    <row r="127" spans="1:2">
      <c r="A127">
        <f t="shared" ca="1" si="1"/>
        <v>0.37995695681020947</v>
      </c>
      <c r="B127" s="134" t="s">
        <v>124</v>
      </c>
    </row>
    <row r="128" spans="1:2">
      <c r="A128">
        <f t="shared" ca="1" si="1"/>
        <v>0.36628535578433019</v>
      </c>
      <c r="B128" s="124" t="s">
        <v>310</v>
      </c>
    </row>
    <row r="129" spans="1:2">
      <c r="A129">
        <f t="shared" ca="1" si="1"/>
        <v>0.9226376536008245</v>
      </c>
      <c r="B129" s="134" t="s">
        <v>223</v>
      </c>
    </row>
    <row r="130" spans="1:2">
      <c r="A130">
        <f t="shared" ref="A130:A159" ca="1" si="2">RAND()</f>
        <v>0.49723660996549501</v>
      </c>
      <c r="B130" s="124" t="s">
        <v>5</v>
      </c>
    </row>
    <row r="131" spans="1:2">
      <c r="A131">
        <f t="shared" ca="1" si="2"/>
        <v>0.80362247884835436</v>
      </c>
      <c r="B131" s="134" t="s">
        <v>26</v>
      </c>
    </row>
    <row r="132" spans="1:2">
      <c r="A132">
        <f t="shared" ca="1" si="2"/>
        <v>0.1319941289232659</v>
      </c>
      <c r="B132" s="134" t="s">
        <v>175</v>
      </c>
    </row>
    <row r="133" spans="1:2">
      <c r="A133">
        <f t="shared" ca="1" si="2"/>
        <v>0.17504007729084214</v>
      </c>
      <c r="B133" s="134" t="s">
        <v>105</v>
      </c>
    </row>
    <row r="134" spans="1:2">
      <c r="A134">
        <f t="shared" ca="1" si="2"/>
        <v>0.12265517243050661</v>
      </c>
      <c r="B134" s="134" t="s">
        <v>116</v>
      </c>
    </row>
    <row r="135" spans="1:2">
      <c r="A135">
        <f t="shared" ca="1" si="2"/>
        <v>0.79083607909630882</v>
      </c>
      <c r="B135" s="124" t="s">
        <v>248</v>
      </c>
    </row>
    <row r="136" spans="1:2">
      <c r="A136">
        <f t="shared" ca="1" si="2"/>
        <v>0.99161678035360246</v>
      </c>
      <c r="B136" s="134" t="s">
        <v>231</v>
      </c>
    </row>
    <row r="137" spans="1:2">
      <c r="A137">
        <f t="shared" ca="1" si="2"/>
        <v>0.76329726673830678</v>
      </c>
      <c r="B137" s="134" t="s">
        <v>36</v>
      </c>
    </row>
    <row r="138" spans="1:2">
      <c r="A138">
        <f t="shared" ca="1" si="2"/>
        <v>0.74487977069860445</v>
      </c>
      <c r="B138" s="134" t="s">
        <v>228</v>
      </c>
    </row>
    <row r="139" spans="1:2">
      <c r="A139">
        <f t="shared" ca="1" si="2"/>
        <v>0.91969117569712611</v>
      </c>
      <c r="B139" s="134" t="s">
        <v>242</v>
      </c>
    </row>
    <row r="140" spans="1:2">
      <c r="A140">
        <f t="shared" ca="1" si="2"/>
        <v>0.34176066262892779</v>
      </c>
      <c r="B140" s="275" t="s">
        <v>186</v>
      </c>
    </row>
    <row r="141" spans="1:2">
      <c r="A141">
        <f t="shared" ca="1" si="2"/>
        <v>7.6660105284166336E-2</v>
      </c>
      <c r="B141" s="134" t="s">
        <v>30</v>
      </c>
    </row>
    <row r="142" spans="1:2">
      <c r="A142">
        <f t="shared" ca="1" si="2"/>
        <v>0.74533319360202555</v>
      </c>
      <c r="B142" s="124" t="s">
        <v>235</v>
      </c>
    </row>
    <row r="143" spans="1:2">
      <c r="A143">
        <f t="shared" ca="1" si="2"/>
        <v>0.41335965471369196</v>
      </c>
      <c r="B143" s="134" t="s">
        <v>2</v>
      </c>
    </row>
    <row r="144" spans="1:2">
      <c r="A144">
        <f t="shared" ca="1" si="2"/>
        <v>0.36892106707139716</v>
      </c>
      <c r="B144" s="134" t="s">
        <v>225</v>
      </c>
    </row>
    <row r="145" spans="1:2">
      <c r="A145">
        <f t="shared" ca="1" si="2"/>
        <v>0.81813944196203847</v>
      </c>
      <c r="B145" s="134" t="s">
        <v>37</v>
      </c>
    </row>
    <row r="146" spans="1:2">
      <c r="A146">
        <f t="shared" ca="1" si="2"/>
        <v>0.80233338587536718</v>
      </c>
      <c r="B146" s="134" t="s">
        <v>153</v>
      </c>
    </row>
    <row r="147" spans="1:2">
      <c r="A147">
        <f t="shared" ca="1" si="2"/>
        <v>0.92928808282454167</v>
      </c>
      <c r="B147" s="134" t="s">
        <v>139</v>
      </c>
    </row>
    <row r="148" spans="1:2">
      <c r="A148">
        <f t="shared" ca="1" si="2"/>
        <v>0.25622964249809699</v>
      </c>
      <c r="B148" s="135" t="s">
        <v>181</v>
      </c>
    </row>
    <row r="149" spans="1:2">
      <c r="A149">
        <f t="shared" ca="1" si="2"/>
        <v>0.60590662661509032</v>
      </c>
      <c r="B149" s="134" t="s">
        <v>239</v>
      </c>
    </row>
    <row r="150" spans="1:2">
      <c r="A150">
        <f t="shared" ca="1" si="2"/>
        <v>0.26695404786505783</v>
      </c>
      <c r="B150" s="134" t="s">
        <v>7</v>
      </c>
    </row>
    <row r="151" spans="1:2">
      <c r="A151">
        <f t="shared" ca="1" si="2"/>
        <v>0.84489251532689569</v>
      </c>
      <c r="B151" s="134" t="s">
        <v>168</v>
      </c>
    </row>
    <row r="152" spans="1:2">
      <c r="A152">
        <f t="shared" ca="1" si="2"/>
        <v>0.71397412225712675</v>
      </c>
      <c r="B152" s="134" t="s">
        <v>187</v>
      </c>
    </row>
    <row r="153" spans="1:2">
      <c r="A153">
        <f t="shared" ca="1" si="2"/>
        <v>9.9958889874587453E-2</v>
      </c>
      <c r="B153" s="134" t="s">
        <v>48</v>
      </c>
    </row>
    <row r="154" spans="1:2">
      <c r="A154">
        <f t="shared" ca="1" si="2"/>
        <v>0.26368720510471022</v>
      </c>
      <c r="B154" s="134" t="s">
        <v>206</v>
      </c>
    </row>
    <row r="155" spans="1:2">
      <c r="A155">
        <f t="shared" ca="1" si="2"/>
        <v>0.88017411849176086</v>
      </c>
      <c r="B155" s="134" t="s">
        <v>302</v>
      </c>
    </row>
    <row r="156" spans="1:2">
      <c r="A156">
        <f t="shared" ca="1" si="2"/>
        <v>0.19979670389842985</v>
      </c>
      <c r="B156" s="124" t="s">
        <v>316</v>
      </c>
    </row>
    <row r="157" spans="1:2">
      <c r="A157">
        <f t="shared" ca="1" si="2"/>
        <v>0.14217793450940552</v>
      </c>
      <c r="B157" s="134" t="s">
        <v>319</v>
      </c>
    </row>
    <row r="158" spans="1:2">
      <c r="A158">
        <f t="shared" ca="1" si="2"/>
        <v>6.7685498903437891E-2</v>
      </c>
      <c r="B158" s="135" t="s">
        <v>340</v>
      </c>
    </row>
    <row r="159" spans="1:2">
      <c r="A159">
        <f t="shared" ca="1" si="2"/>
        <v>0.33795117536872865</v>
      </c>
      <c r="B159" s="134" t="s">
        <v>148</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グループランダム生成">
                <anchor moveWithCells="1">
                  <from>
                    <xdr:col>2</xdr:col>
                    <xdr:colOff>180975</xdr:colOff>
                    <xdr:row>2</xdr:row>
                    <xdr:rowOff>152400</xdr:rowOff>
                  </from>
                  <to>
                    <xdr:col>3</xdr:col>
                    <xdr:colOff>447675</xdr:colOff>
                    <xdr:row>6</xdr:row>
                    <xdr:rowOff>57150</xdr:rowOff>
                  </to>
                </anchor>
              </controlPr>
            </control>
          </mc:Choice>
        </mc:AlternateContent>
        <mc:AlternateContent xmlns:mc="http://schemas.openxmlformats.org/markup-compatibility/2006">
          <mc:Choice Requires="x14">
            <control shapeId="141314"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5943D-782E-4CEB-A512-13CF56E19F0B}">
  <sheetPr codeName="Sheet5"/>
  <dimension ref="A1:S27"/>
  <sheetViews>
    <sheetView topLeftCell="H1" workbookViewId="0">
      <selection activeCell="R18" sqref="R18"/>
    </sheetView>
  </sheetViews>
  <sheetFormatPr defaultRowHeight="13.5"/>
  <cols>
    <col min="1" max="1" width="12.375" bestFit="1" customWidth="1"/>
    <col min="2" max="2" width="14.125" bestFit="1" customWidth="1"/>
    <col min="3" max="4" width="10.25" bestFit="1" customWidth="1"/>
    <col min="5" max="5" width="12.375" bestFit="1" customWidth="1"/>
    <col min="6" max="6" width="11.375" bestFit="1" customWidth="1"/>
    <col min="7" max="7" width="10.25" bestFit="1" customWidth="1"/>
    <col min="8" max="8" width="14.375" bestFit="1" customWidth="1"/>
    <col min="9" max="9" width="12.375" bestFit="1" customWidth="1"/>
    <col min="10" max="10" width="10.25" bestFit="1" customWidth="1"/>
    <col min="11" max="11" width="13.75" bestFit="1" customWidth="1"/>
    <col min="12" max="12" width="14.375" bestFit="1" customWidth="1"/>
    <col min="13" max="13" width="12.375" bestFit="1" customWidth="1"/>
    <col min="14" max="14" width="11" bestFit="1" customWidth="1"/>
    <col min="15" max="15" width="16.125" bestFit="1" customWidth="1"/>
    <col min="16" max="16" width="14.375" bestFit="1" customWidth="1"/>
    <col min="17" max="18" width="12.375" bestFit="1" customWidth="1"/>
    <col min="19" max="19" width="11" bestFit="1" customWidth="1"/>
  </cols>
  <sheetData>
    <row r="1" spans="1:19">
      <c r="A1" s="677" t="s">
        <v>60</v>
      </c>
      <c r="B1" s="677" t="s">
        <v>213</v>
      </c>
      <c r="C1" s="677" t="s">
        <v>171</v>
      </c>
      <c r="D1" s="677" t="s">
        <v>80</v>
      </c>
      <c r="E1" s="677" t="s">
        <v>97</v>
      </c>
      <c r="F1" s="677" t="s">
        <v>82</v>
      </c>
      <c r="G1" s="677" t="s">
        <v>83</v>
      </c>
      <c r="H1" s="677" t="s">
        <v>84</v>
      </c>
      <c r="I1" s="677" t="s">
        <v>85</v>
      </c>
      <c r="J1" s="677" t="s">
        <v>87</v>
      </c>
      <c r="K1" s="677" t="s">
        <v>215</v>
      </c>
      <c r="L1" s="614" t="s">
        <v>218</v>
      </c>
      <c r="M1" s="677" t="s">
        <v>89</v>
      </c>
      <c r="N1" s="677" t="s">
        <v>54</v>
      </c>
      <c r="O1" s="677" t="s">
        <v>526</v>
      </c>
      <c r="P1" s="677" t="s">
        <v>147</v>
      </c>
      <c r="Q1" s="677" t="s">
        <v>49</v>
      </c>
      <c r="R1" s="677" t="s">
        <v>95</v>
      </c>
      <c r="S1" s="677" t="s">
        <v>59</v>
      </c>
    </row>
    <row r="2" spans="1:19">
      <c r="A2" s="614" t="s">
        <v>349</v>
      </c>
      <c r="B2" s="677" t="s">
        <v>37</v>
      </c>
      <c r="C2" s="677" t="s">
        <v>224</v>
      </c>
      <c r="D2" s="677" t="s">
        <v>262</v>
      </c>
      <c r="E2" s="677" t="s">
        <v>225</v>
      </c>
      <c r="F2" s="677" t="s">
        <v>42</v>
      </c>
      <c r="G2" s="677" t="s">
        <v>350</v>
      </c>
      <c r="H2" s="614" t="s">
        <v>283</v>
      </c>
      <c r="I2" s="677" t="s">
        <v>523</v>
      </c>
      <c r="J2" s="614" t="s">
        <v>150</v>
      </c>
      <c r="K2" s="677" t="s">
        <v>230</v>
      </c>
      <c r="L2" s="614" t="s">
        <v>208</v>
      </c>
      <c r="M2" s="677" t="s">
        <v>46</v>
      </c>
      <c r="N2" s="677" t="s">
        <v>57</v>
      </c>
      <c r="O2" s="677" t="s">
        <v>137</v>
      </c>
      <c r="P2" s="677" t="s">
        <v>27</v>
      </c>
      <c r="Q2" s="677" t="s">
        <v>52</v>
      </c>
      <c r="R2" s="677" t="s">
        <v>508</v>
      </c>
      <c r="S2" s="677"/>
    </row>
    <row r="3" spans="1:19">
      <c r="A3" s="507" t="s">
        <v>511</v>
      </c>
      <c r="B3" s="677" t="s">
        <v>8</v>
      </c>
      <c r="C3" s="677" t="s">
        <v>165</v>
      </c>
      <c r="D3" s="677" t="s">
        <v>4</v>
      </c>
      <c r="E3" s="677" t="s">
        <v>326</v>
      </c>
      <c r="F3" s="677"/>
      <c r="G3" s="677" t="s">
        <v>227</v>
      </c>
      <c r="H3" s="614" t="s">
        <v>239</v>
      </c>
      <c r="I3" s="677" t="s">
        <v>161</v>
      </c>
      <c r="J3" s="614" t="s">
        <v>88</v>
      </c>
      <c r="K3" s="677" t="s">
        <v>305</v>
      </c>
      <c r="L3" s="614" t="s">
        <v>104</v>
      </c>
      <c r="M3" s="677" t="s">
        <v>270</v>
      </c>
      <c r="N3" s="677" t="s">
        <v>56</v>
      </c>
      <c r="O3" s="677" t="s">
        <v>61</v>
      </c>
      <c r="P3" s="677" t="s">
        <v>29</v>
      </c>
      <c r="Q3" s="677" t="s">
        <v>50</v>
      </c>
      <c r="R3" s="677" t="s">
        <v>507</v>
      </c>
      <c r="S3" s="677"/>
    </row>
    <row r="4" spans="1:19">
      <c r="A4" s="614" t="s">
        <v>7</v>
      </c>
      <c r="B4" s="677" t="s">
        <v>219</v>
      </c>
      <c r="C4" s="677" t="s">
        <v>240</v>
      </c>
      <c r="D4" s="677" t="s">
        <v>11</v>
      </c>
      <c r="E4" s="677" t="s">
        <v>43</v>
      </c>
      <c r="F4" s="677"/>
      <c r="G4" s="677" t="s">
        <v>188</v>
      </c>
      <c r="H4" s="614" t="s">
        <v>183</v>
      </c>
      <c r="I4" s="677" t="s">
        <v>148</v>
      </c>
      <c r="J4" s="614" t="s">
        <v>19</v>
      </c>
      <c r="K4" s="677" t="s">
        <v>125</v>
      </c>
      <c r="L4" s="614" t="s">
        <v>235</v>
      </c>
      <c r="M4" s="677" t="s">
        <v>118</v>
      </c>
      <c r="N4" s="677" t="s">
        <v>55</v>
      </c>
      <c r="O4" s="614" t="s">
        <v>179</v>
      </c>
      <c r="P4" s="677" t="s">
        <v>198</v>
      </c>
      <c r="Q4" s="677" t="s">
        <v>51</v>
      </c>
      <c r="R4" s="677" t="s">
        <v>504</v>
      </c>
      <c r="S4" s="677"/>
    </row>
    <row r="5" spans="1:19">
      <c r="A5" s="614" t="s">
        <v>223</v>
      </c>
      <c r="B5" s="677" t="s">
        <v>17</v>
      </c>
      <c r="C5" s="677" t="s">
        <v>116</v>
      </c>
      <c r="D5" s="677"/>
      <c r="E5" s="677" t="s">
        <v>170</v>
      </c>
      <c r="F5" s="677"/>
      <c r="G5" s="677" t="s">
        <v>164</v>
      </c>
      <c r="H5" s="614" t="s">
        <v>168</v>
      </c>
      <c r="I5" s="677" t="s">
        <v>86</v>
      </c>
      <c r="J5" s="614" t="s">
        <v>236</v>
      </c>
      <c r="K5" s="677" t="s">
        <v>31</v>
      </c>
      <c r="L5" s="614" t="s">
        <v>21</v>
      </c>
      <c r="M5" s="677" t="s">
        <v>222</v>
      </c>
      <c r="N5" s="677" t="s">
        <v>328</v>
      </c>
      <c r="O5" s="614" t="s">
        <v>126</v>
      </c>
      <c r="P5" s="677" t="s">
        <v>157</v>
      </c>
      <c r="Q5" s="677" t="s">
        <v>167</v>
      </c>
      <c r="R5" s="677" t="s">
        <v>143</v>
      </c>
      <c r="S5" s="677"/>
    </row>
    <row r="6" spans="1:19">
      <c r="A6" s="614" t="s">
        <v>142</v>
      </c>
      <c r="B6" s="677" t="s">
        <v>10</v>
      </c>
      <c r="C6" s="677" t="s">
        <v>163</v>
      </c>
      <c r="D6" s="677"/>
      <c r="E6" s="677" t="s">
        <v>226</v>
      </c>
      <c r="F6" s="677"/>
      <c r="G6" s="677"/>
      <c r="H6" s="614" t="s">
        <v>242</v>
      </c>
      <c r="I6" s="677" t="s">
        <v>3</v>
      </c>
      <c r="J6" s="614" t="s">
        <v>114</v>
      </c>
      <c r="K6" s="677" t="s">
        <v>249</v>
      </c>
      <c r="L6" s="614" t="s">
        <v>268</v>
      </c>
      <c r="M6" s="677" t="s">
        <v>47</v>
      </c>
      <c r="N6" s="677"/>
      <c r="O6" s="614" t="s">
        <v>62</v>
      </c>
      <c r="P6" s="677" t="s">
        <v>351</v>
      </c>
      <c r="Q6" s="677" t="s">
        <v>141</v>
      </c>
      <c r="R6" s="677" t="s">
        <v>211</v>
      </c>
      <c r="S6" s="677"/>
    </row>
    <row r="7" spans="1:19">
      <c r="A7" s="614" t="s">
        <v>6</v>
      </c>
      <c r="B7" s="677" t="s">
        <v>124</v>
      </c>
      <c r="C7" s="677" t="s">
        <v>20</v>
      </c>
      <c r="D7" s="677"/>
      <c r="E7" s="677" t="s">
        <v>100</v>
      </c>
      <c r="F7" s="677"/>
      <c r="G7" s="677"/>
      <c r="H7" s="614" t="s">
        <v>144</v>
      </c>
      <c r="I7" s="677" t="s">
        <v>277</v>
      </c>
      <c r="J7" s="614" t="s">
        <v>264</v>
      </c>
      <c r="K7" s="677" t="s">
        <v>515</v>
      </c>
      <c r="L7" s="614" t="s">
        <v>35</v>
      </c>
      <c r="M7" s="677" t="s">
        <v>159</v>
      </c>
      <c r="N7" s="677"/>
      <c r="O7" s="677" t="s">
        <v>63</v>
      </c>
      <c r="P7" s="677" t="s">
        <v>103</v>
      </c>
      <c r="Q7" s="677" t="s">
        <v>92</v>
      </c>
      <c r="R7" s="677" t="s">
        <v>193</v>
      </c>
      <c r="S7" s="677"/>
    </row>
    <row r="8" spans="1:19">
      <c r="A8" s="614" t="s">
        <v>117</v>
      </c>
      <c r="B8" s="677" t="s">
        <v>166</v>
      </c>
      <c r="C8" s="677"/>
      <c r="D8" s="677"/>
      <c r="E8" s="677" t="s">
        <v>41</v>
      </c>
      <c r="F8" s="677"/>
      <c r="G8" s="677"/>
      <c r="H8" s="614" t="s">
        <v>9</v>
      </c>
      <c r="I8" s="677" t="s">
        <v>234</v>
      </c>
      <c r="J8" s="614" t="s">
        <v>14</v>
      </c>
      <c r="K8" s="677" t="s">
        <v>209</v>
      </c>
      <c r="L8" s="614" t="s">
        <v>102</v>
      </c>
      <c r="M8" s="677" t="s">
        <v>158</v>
      </c>
      <c r="N8" s="677"/>
      <c r="O8" s="677" t="s">
        <v>135</v>
      </c>
      <c r="P8" s="677" t="s">
        <v>107</v>
      </c>
      <c r="Q8" s="677" t="s">
        <v>93</v>
      </c>
      <c r="R8" s="677" t="s">
        <v>238</v>
      </c>
      <c r="S8" s="677"/>
    </row>
    <row r="9" spans="1:19">
      <c r="A9" s="614" t="s">
        <v>355</v>
      </c>
      <c r="B9" s="677" t="s">
        <v>220</v>
      </c>
      <c r="C9" s="677"/>
      <c r="D9" s="677"/>
      <c r="E9" s="677"/>
      <c r="F9" s="677"/>
      <c r="G9" s="677"/>
      <c r="H9" s="614" t="s">
        <v>53</v>
      </c>
      <c r="I9" s="677" t="s">
        <v>187</v>
      </c>
      <c r="J9" s="614" t="s">
        <v>2</v>
      </c>
      <c r="K9" s="677" t="s">
        <v>121</v>
      </c>
      <c r="L9" s="614" t="s">
        <v>105</v>
      </c>
      <c r="M9" s="677" t="s">
        <v>177</v>
      </c>
      <c r="N9" s="677"/>
      <c r="O9" s="677" t="s">
        <v>180</v>
      </c>
      <c r="P9" s="677" t="s">
        <v>190</v>
      </c>
      <c r="Q9" s="677" t="s">
        <v>241</v>
      </c>
      <c r="R9" s="677" t="s">
        <v>201</v>
      </c>
      <c r="S9" s="677"/>
    </row>
    <row r="10" spans="1:19">
      <c r="A10" s="614" t="s">
        <v>207</v>
      </c>
      <c r="B10" s="677" t="s">
        <v>0</v>
      </c>
      <c r="C10" s="677"/>
      <c r="D10" s="677"/>
      <c r="E10" s="677"/>
      <c r="F10" s="677"/>
      <c r="G10" s="677"/>
      <c r="H10" s="614" t="s">
        <v>160</v>
      </c>
      <c r="I10" s="677" t="s">
        <v>185</v>
      </c>
      <c r="J10" s="614" t="s">
        <v>261</v>
      </c>
      <c r="K10" s="677" t="s">
        <v>145</v>
      </c>
      <c r="L10" s="614" t="s">
        <v>138</v>
      </c>
      <c r="M10" s="677" t="s">
        <v>195</v>
      </c>
      <c r="N10" s="677"/>
      <c r="O10" s="677" t="s">
        <v>173</v>
      </c>
      <c r="P10" s="677" t="s">
        <v>24</v>
      </c>
      <c r="Q10" s="677"/>
      <c r="R10" s="677" t="s">
        <v>255</v>
      </c>
      <c r="S10" s="677"/>
    </row>
    <row r="11" spans="1:19">
      <c r="A11" s="614" t="s">
        <v>13</v>
      </c>
      <c r="B11" s="677" t="s">
        <v>33</v>
      </c>
      <c r="C11" s="677"/>
      <c r="D11" s="677"/>
      <c r="E11" s="677"/>
      <c r="F11" s="677"/>
      <c r="G11" s="677"/>
      <c r="H11" s="614" t="s">
        <v>265</v>
      </c>
      <c r="I11" s="677"/>
      <c r="J11" s="614" t="s">
        <v>237</v>
      </c>
      <c r="K11" s="677" t="s">
        <v>5</v>
      </c>
      <c r="L11" s="614" t="s">
        <v>26</v>
      </c>
      <c r="M11" s="677" t="s">
        <v>509</v>
      </c>
      <c r="N11" s="677"/>
      <c r="O11" s="677" t="s">
        <v>67</v>
      </c>
      <c r="P11" s="677" t="s">
        <v>108</v>
      </c>
      <c r="Q11" s="677"/>
      <c r="R11" s="677" t="s">
        <v>278</v>
      </c>
      <c r="S11" s="677"/>
    </row>
    <row r="12" spans="1:19">
      <c r="A12" s="614" t="s">
        <v>139</v>
      </c>
      <c r="B12" s="677" t="s">
        <v>1</v>
      </c>
      <c r="C12" s="677"/>
      <c r="D12" s="677"/>
      <c r="E12" s="677"/>
      <c r="F12" s="677"/>
      <c r="G12" s="677"/>
      <c r="H12" s="614" t="s">
        <v>123</v>
      </c>
      <c r="I12" s="677"/>
      <c r="J12" s="614" t="s">
        <v>131</v>
      </c>
      <c r="K12" s="677" t="s">
        <v>38</v>
      </c>
      <c r="L12" s="614" t="s">
        <v>245</v>
      </c>
      <c r="M12" s="677"/>
      <c r="N12" s="677"/>
      <c r="O12" s="677" t="s">
        <v>66</v>
      </c>
      <c r="P12" s="677" t="s">
        <v>154</v>
      </c>
      <c r="Q12" s="677"/>
      <c r="R12" s="677" t="s">
        <v>279</v>
      </c>
      <c r="S12" s="677"/>
    </row>
    <row r="13" spans="1:19">
      <c r="A13" s="614" t="s">
        <v>34</v>
      </c>
      <c r="B13" s="677" t="s">
        <v>315</v>
      </c>
      <c r="C13" s="677"/>
      <c r="D13" s="677"/>
      <c r="E13" s="677"/>
      <c r="F13" s="677"/>
      <c r="G13" s="677"/>
      <c r="H13" s="614" t="s">
        <v>231</v>
      </c>
      <c r="I13" s="677"/>
      <c r="J13" s="614" t="s">
        <v>12</v>
      </c>
      <c r="K13" s="677" t="s">
        <v>266</v>
      </c>
      <c r="L13" s="614" t="s">
        <v>233</v>
      </c>
      <c r="M13" s="677" t="s">
        <v>64</v>
      </c>
      <c r="N13" s="677"/>
      <c r="O13" s="677" t="s">
        <v>65</v>
      </c>
      <c r="P13" s="677" t="s">
        <v>30</v>
      </c>
      <c r="Q13" s="677"/>
      <c r="R13" s="677" t="s">
        <v>484</v>
      </c>
      <c r="S13" s="677"/>
    </row>
    <row r="14" spans="1:19">
      <c r="A14" s="614" t="s">
        <v>206</v>
      </c>
      <c r="B14" s="677" t="s">
        <v>106</v>
      </c>
      <c r="C14" s="677"/>
      <c r="D14" s="677"/>
      <c r="E14" s="677"/>
      <c r="F14" s="677"/>
      <c r="G14" s="677"/>
      <c r="H14" s="677"/>
      <c r="I14" s="677"/>
      <c r="J14" s="677"/>
      <c r="K14" s="677" t="s">
        <v>44</v>
      </c>
      <c r="L14" s="614" t="s">
        <v>22</v>
      </c>
      <c r="M14" s="677" t="s">
        <v>205</v>
      </c>
      <c r="N14" s="677"/>
      <c r="O14" s="677" t="s">
        <v>68</v>
      </c>
      <c r="P14" s="677" t="s">
        <v>36</v>
      </c>
      <c r="Q14" s="677"/>
      <c r="R14" s="677" t="s">
        <v>485</v>
      </c>
      <c r="S14" s="677"/>
    </row>
    <row r="15" spans="1:19">
      <c r="A15" s="614" t="s">
        <v>184</v>
      </c>
      <c r="B15" s="677" t="s">
        <v>15</v>
      </c>
      <c r="C15" s="677"/>
      <c r="D15" s="677"/>
      <c r="E15" s="677"/>
      <c r="F15" s="677"/>
      <c r="G15" s="677"/>
      <c r="H15" s="677"/>
      <c r="I15" s="677"/>
      <c r="J15" s="677"/>
      <c r="K15" s="677" t="s">
        <v>175</v>
      </c>
      <c r="L15" s="614" t="s">
        <v>132</v>
      </c>
      <c r="M15" s="677" t="s">
        <v>119</v>
      </c>
      <c r="N15" s="677"/>
      <c r="O15" s="677" t="s">
        <v>136</v>
      </c>
      <c r="P15" s="677" t="s">
        <v>109</v>
      </c>
      <c r="Q15" s="677"/>
      <c r="R15" s="677" t="s">
        <v>505</v>
      </c>
      <c r="S15" s="677"/>
    </row>
    <row r="16" spans="1:19">
      <c r="A16" s="507" t="s">
        <v>510</v>
      </c>
      <c r="B16" s="677" t="s">
        <v>221</v>
      </c>
      <c r="C16" s="677"/>
      <c r="D16" s="677"/>
      <c r="E16" s="677"/>
      <c r="F16" s="677"/>
      <c r="G16" s="677"/>
      <c r="H16" s="677"/>
      <c r="I16" s="677"/>
      <c r="J16" s="677"/>
      <c r="K16" s="677" t="s">
        <v>169</v>
      </c>
      <c r="L16" s="614" t="s">
        <v>176</v>
      </c>
      <c r="M16" s="677" t="s">
        <v>111</v>
      </c>
      <c r="N16" s="677"/>
      <c r="O16" s="677" t="s">
        <v>133</v>
      </c>
      <c r="P16" s="677" t="s">
        <v>153</v>
      </c>
      <c r="Q16" s="677"/>
      <c r="R16" s="677" t="s">
        <v>506</v>
      </c>
      <c r="S16" s="677"/>
    </row>
    <row r="17" spans="1:19">
      <c r="A17" s="677"/>
      <c r="B17" s="677" t="s">
        <v>18</v>
      </c>
      <c r="C17" s="677"/>
      <c r="D17" s="677"/>
      <c r="E17" s="677"/>
      <c r="F17" s="677"/>
      <c r="G17" s="677"/>
      <c r="H17" s="677"/>
      <c r="I17" s="677"/>
      <c r="J17" s="677"/>
      <c r="K17" s="677" t="s">
        <v>23</v>
      </c>
      <c r="L17" s="677"/>
      <c r="M17" s="677" t="s">
        <v>275</v>
      </c>
      <c r="N17" s="677"/>
      <c r="O17" s="677" t="s">
        <v>113</v>
      </c>
      <c r="P17" s="677" t="s">
        <v>129</v>
      </c>
      <c r="Q17" s="677"/>
      <c r="R17" s="677" t="s">
        <v>574</v>
      </c>
      <c r="S17" s="677"/>
    </row>
    <row r="18" spans="1:19">
      <c r="A18" s="677"/>
      <c r="B18" s="677" t="s">
        <v>146</v>
      </c>
      <c r="C18" s="677"/>
      <c r="D18" s="677"/>
      <c r="E18" s="677"/>
      <c r="F18" s="677"/>
      <c r="G18" s="677"/>
      <c r="H18" s="677"/>
      <c r="I18" s="677"/>
      <c r="J18" s="677"/>
      <c r="K18" s="677" t="s">
        <v>16</v>
      </c>
      <c r="L18" s="677"/>
      <c r="M18" s="677" t="s">
        <v>48</v>
      </c>
      <c r="N18" s="677"/>
      <c r="O18" s="677" t="s">
        <v>149</v>
      </c>
      <c r="P18" s="677" t="s">
        <v>112</v>
      </c>
      <c r="Q18" s="677"/>
      <c r="R18" s="677"/>
      <c r="S18" s="677"/>
    </row>
    <row r="19" spans="1:19">
      <c r="A19" s="677"/>
      <c r="B19" s="677"/>
      <c r="C19" s="677"/>
      <c r="D19" s="677"/>
      <c r="E19" s="677"/>
      <c r="F19" s="677"/>
      <c r="G19" s="677"/>
      <c r="H19" s="677"/>
      <c r="I19" s="677"/>
      <c r="J19" s="677"/>
      <c r="K19" s="677" t="s">
        <v>276</v>
      </c>
      <c r="L19" s="677"/>
      <c r="M19" s="677" t="s">
        <v>535</v>
      </c>
      <c r="N19" s="677"/>
      <c r="O19" s="677" t="s">
        <v>178</v>
      </c>
      <c r="P19" s="677" t="s">
        <v>94</v>
      </c>
      <c r="Q19" s="677"/>
      <c r="R19" s="677"/>
      <c r="S19" s="677"/>
    </row>
    <row r="20" spans="1:19">
      <c r="A20" s="677"/>
      <c r="B20" s="677"/>
      <c r="C20" s="677"/>
      <c r="D20" s="677"/>
      <c r="E20" s="677"/>
      <c r="F20" s="677"/>
      <c r="G20" s="677"/>
      <c r="H20" s="677"/>
      <c r="I20" s="677"/>
      <c r="J20" s="677"/>
      <c r="K20" s="677" t="s">
        <v>199</v>
      </c>
      <c r="L20" s="677"/>
      <c r="M20" s="677" t="s">
        <v>91</v>
      </c>
      <c r="N20" s="677"/>
      <c r="O20" s="677" t="s">
        <v>196</v>
      </c>
      <c r="P20" s="677" t="s">
        <v>28</v>
      </c>
      <c r="Q20" s="677"/>
      <c r="R20" s="677"/>
      <c r="S20" s="677"/>
    </row>
    <row r="21" spans="1:19">
      <c r="A21" s="677"/>
      <c r="B21" s="677"/>
      <c r="C21" s="677"/>
      <c r="D21" s="677"/>
      <c r="E21" s="677"/>
      <c r="F21" s="677"/>
      <c r="G21" s="677"/>
      <c r="H21" s="677"/>
      <c r="I21" s="677"/>
      <c r="J21" s="677"/>
      <c r="K21" s="677" t="s">
        <v>115</v>
      </c>
      <c r="L21" s="677"/>
      <c r="M21" s="677"/>
      <c r="N21" s="677"/>
      <c r="O21" s="677"/>
      <c r="P21" s="677" t="s">
        <v>32</v>
      </c>
      <c r="Q21" s="677"/>
      <c r="R21" s="677"/>
      <c r="S21" s="677"/>
    </row>
    <row r="22" spans="1:19">
      <c r="A22" s="677"/>
      <c r="B22" s="677"/>
      <c r="C22" s="677"/>
      <c r="D22" s="677"/>
      <c r="E22" s="677"/>
      <c r="F22" s="677"/>
      <c r="G22" s="677"/>
      <c r="H22" s="677"/>
      <c r="I22" s="677"/>
      <c r="J22" s="677"/>
      <c r="K22" s="677" t="s">
        <v>186</v>
      </c>
      <c r="L22" s="677"/>
      <c r="M22" s="677"/>
      <c r="N22" s="677"/>
      <c r="O22" s="677"/>
      <c r="P22" s="677" t="s">
        <v>327</v>
      </c>
      <c r="Q22" s="677"/>
      <c r="R22" s="677"/>
      <c r="S22" s="677"/>
    </row>
    <row r="23" spans="1:19">
      <c r="A23" s="677"/>
      <c r="B23" s="677"/>
      <c r="C23" s="677"/>
      <c r="D23" s="677"/>
      <c r="E23" s="677"/>
      <c r="F23" s="677"/>
      <c r="G23" s="677"/>
      <c r="H23" s="677"/>
      <c r="I23" s="677"/>
      <c r="J23" s="677"/>
      <c r="K23" s="677" t="s">
        <v>25</v>
      </c>
      <c r="L23" s="677"/>
      <c r="M23" s="677"/>
      <c r="N23" s="677"/>
      <c r="O23" s="677"/>
      <c r="P23" s="677" t="s">
        <v>189</v>
      </c>
      <c r="Q23" s="677"/>
      <c r="R23" s="677"/>
      <c r="S23" s="677"/>
    </row>
    <row r="24" spans="1:19">
      <c r="A24" s="677"/>
      <c r="B24" s="677"/>
      <c r="C24" s="677"/>
      <c r="D24" s="677"/>
      <c r="E24" s="677"/>
      <c r="F24" s="677"/>
      <c r="G24" s="677"/>
      <c r="H24" s="677"/>
      <c r="I24" s="677"/>
      <c r="J24" s="677"/>
      <c r="K24" s="677" t="s">
        <v>45</v>
      </c>
      <c r="L24" s="677"/>
      <c r="M24" s="677"/>
      <c r="N24" s="677"/>
      <c r="O24" s="677"/>
      <c r="P24" s="677" t="s">
        <v>482</v>
      </c>
      <c r="Q24" s="677"/>
      <c r="R24" s="677"/>
      <c r="S24" s="677"/>
    </row>
    <row r="25" spans="1:19">
      <c r="A25" s="677"/>
      <c r="B25" s="677"/>
      <c r="C25" s="677"/>
      <c r="D25" s="677"/>
      <c r="E25" s="677"/>
      <c r="F25" s="677"/>
      <c r="G25" s="677"/>
      <c r="H25" s="677"/>
      <c r="I25" s="677"/>
      <c r="J25" s="677"/>
      <c r="K25" s="677" t="s">
        <v>228</v>
      </c>
      <c r="L25" s="677"/>
      <c r="M25" s="677"/>
      <c r="N25" s="677"/>
      <c r="O25" s="677"/>
      <c r="P25" s="677" t="s">
        <v>181</v>
      </c>
      <c r="Q25" s="677"/>
      <c r="R25" s="677"/>
      <c r="S25" s="677"/>
    </row>
    <row r="26" spans="1:19">
      <c r="A26" s="677"/>
      <c r="B26" s="677"/>
      <c r="C26" s="677"/>
      <c r="D26" s="677"/>
      <c r="E26" s="677"/>
      <c r="F26" s="677"/>
      <c r="G26" s="677"/>
      <c r="H26" s="677"/>
      <c r="I26" s="677"/>
      <c r="J26" s="677"/>
      <c r="K26" s="677"/>
      <c r="L26" s="677"/>
      <c r="M26" s="677"/>
      <c r="N26" s="677"/>
      <c r="O26" s="677"/>
      <c r="P26" s="677" t="s">
        <v>39</v>
      </c>
      <c r="Q26" s="677"/>
      <c r="R26" s="677"/>
      <c r="S26" s="677"/>
    </row>
    <row r="27" spans="1:19">
      <c r="A27" s="677"/>
      <c r="B27" s="677"/>
      <c r="C27" s="677"/>
      <c r="D27" s="677"/>
      <c r="E27" s="677"/>
      <c r="F27" s="677"/>
      <c r="G27" s="677"/>
      <c r="H27" s="677"/>
      <c r="I27" s="677"/>
      <c r="J27" s="677"/>
      <c r="K27" s="677"/>
      <c r="L27" s="677"/>
      <c r="M27" s="677"/>
      <c r="N27" s="677"/>
      <c r="O27" s="677"/>
      <c r="P27" s="677" t="s">
        <v>197</v>
      </c>
      <c r="Q27" s="677"/>
      <c r="R27" s="677"/>
      <c r="S27" s="677"/>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5F911-A8F5-4786-9B13-0DAB98A419CA}">
  <sheetPr codeName="Sheet12"/>
  <dimension ref="A1:A10"/>
  <sheetViews>
    <sheetView workbookViewId="0">
      <selection activeCell="E13" sqref="E13"/>
    </sheetView>
  </sheetViews>
  <sheetFormatPr defaultRowHeight="13.5"/>
  <cols>
    <col min="1" max="1" width="15.875" bestFit="1" customWidth="1"/>
  </cols>
  <sheetData>
    <row r="1" spans="1:1">
      <c r="A1" t="s">
        <v>528</v>
      </c>
    </row>
    <row r="2" spans="1:1">
      <c r="A2" t="s">
        <v>529</v>
      </c>
    </row>
    <row r="3" spans="1:1">
      <c r="A3" t="s">
        <v>530</v>
      </c>
    </row>
    <row r="4" spans="1:1">
      <c r="A4" t="s">
        <v>531</v>
      </c>
    </row>
    <row r="5" spans="1:1">
      <c r="A5" t="s">
        <v>532</v>
      </c>
    </row>
    <row r="6" spans="1:1">
      <c r="A6" t="s">
        <v>533</v>
      </c>
    </row>
    <row r="7" spans="1:1">
      <c r="A7" t="s">
        <v>576</v>
      </c>
    </row>
    <row r="8" spans="1:1">
      <c r="A8" t="s">
        <v>98</v>
      </c>
    </row>
    <row r="9" spans="1:1">
      <c r="A9" t="s">
        <v>588</v>
      </c>
    </row>
    <row r="10" spans="1:1">
      <c r="A10" t="s">
        <v>534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FFF31-E0FA-4477-9815-81EEC8D3C4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28</vt:i4>
      </vt:variant>
    </vt:vector>
  </HeadingPairs>
  <TitlesOfParts>
    <vt:vector size="44" baseType="lpstr">
      <vt:lpstr>登録</vt:lpstr>
      <vt:lpstr>使い方</vt:lpstr>
      <vt:lpstr>グループ作成</vt:lpstr>
      <vt:lpstr>集計表(1～3月) </vt:lpstr>
      <vt:lpstr>DB</vt:lpstr>
      <vt:lpstr>1月</vt:lpstr>
      <vt:lpstr>1月集計表</vt:lpstr>
      <vt:lpstr>2月</vt:lpstr>
      <vt:lpstr>2月集計表</vt:lpstr>
      <vt:lpstr>3月</vt:lpstr>
      <vt:lpstr>3月集計表</vt:lpstr>
      <vt:lpstr>1~3月口数有</vt:lpstr>
      <vt:lpstr>グラフ</vt:lpstr>
      <vt:lpstr>ツール予備</vt:lpstr>
      <vt:lpstr>従業員マスタ</vt:lpstr>
      <vt:lpstr>加入契機マスタ</vt:lpstr>
      <vt:lpstr>'1~3月口数有'!Print_Area</vt:lpstr>
      <vt:lpstr>'1月'!Print_Area</vt:lpstr>
      <vt:lpstr>'1月集計表'!Print_Area</vt:lpstr>
      <vt:lpstr>'2月'!Print_Area</vt:lpstr>
      <vt:lpstr>'2月集計表'!Print_Area</vt:lpstr>
      <vt:lpstr>'3月'!Print_Area</vt:lpstr>
      <vt:lpstr>'3月集計表'!Print_Area</vt:lpstr>
      <vt:lpstr>グラフ!Print_Area</vt:lpstr>
      <vt:lpstr>'集計表(1～3月) '!Print_Area</vt:lpstr>
      <vt:lpstr>ケアスタッフ</vt:lpstr>
      <vt:lpstr>サポーター</vt:lpstr>
      <vt:lpstr>ハチレイ</vt:lpstr>
      <vt:lpstr>ムツ湊</vt:lpstr>
      <vt:lpstr>会館ホール</vt:lpstr>
      <vt:lpstr>経理部</vt:lpstr>
      <vt:lpstr>互助会パートナー</vt:lpstr>
      <vt:lpstr>互助会集金</vt:lpstr>
      <vt:lpstr>仕入部</vt:lpstr>
      <vt:lpstr>取引先業者</vt:lpstr>
      <vt:lpstr>生花部</vt:lpstr>
      <vt:lpstr>担当者</vt:lpstr>
      <vt:lpstr>調理部・ギフト</vt:lpstr>
      <vt:lpstr>典礼部</vt:lpstr>
      <vt:lpstr>納棺部</vt:lpstr>
      <vt:lpstr>販売部</vt:lpstr>
      <vt:lpstr>報恩SV事務</vt:lpstr>
      <vt:lpstr>報恩互助会</vt:lpstr>
      <vt:lpstr>報恩八田P社員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t-sasaki</dc:creator>
  <cp:lastModifiedBy>hatta.group.nakamura.h@gmail.com</cp:lastModifiedBy>
  <cp:lastPrinted>2025-01-15T06:38:41Z</cp:lastPrinted>
  <dcterms:created xsi:type="dcterms:W3CDTF">2015-01-21T08:17:44Z</dcterms:created>
  <dcterms:modified xsi:type="dcterms:W3CDTF">2025-01-16T05:30:54Z</dcterms:modified>
  <cp:contentStatus/>
</cp:coreProperties>
</file>